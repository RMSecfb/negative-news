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OneDrive\桌面\每日監控\DB\"/>
    </mc:Choice>
  </mc:AlternateContent>
  <xr:revisionPtr revIDLastSave="0" documentId="13_ncr:1_{DE88F329-C2C0-43D2-B886-E7F8A24911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ent" sheetId="1" r:id="rId1"/>
    <sheet name="Action" sheetId="2" r:id="rId2"/>
    <sheet name="Classification_Example" sheetId="3" r:id="rId3"/>
    <sheet name="主要網站" sheetId="4" r:id="rId4"/>
  </sheets>
  <definedNames>
    <definedName name="_xlnm._FilterDatabase" localSheetId="0" hidden="1">Event!$A$1:$O$53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6" i="1" l="1"/>
  <c r="L46" i="1"/>
  <c r="K46" i="1"/>
  <c r="M45" i="1"/>
  <c r="L45" i="1"/>
  <c r="K45" i="1"/>
  <c r="M44" i="1"/>
  <c r="L44" i="1"/>
  <c r="K44" i="1"/>
  <c r="M43" i="1"/>
  <c r="L43" i="1"/>
  <c r="K43" i="1"/>
  <c r="M42" i="1"/>
  <c r="L42" i="1"/>
  <c r="K42" i="1"/>
  <c r="M41" i="1"/>
  <c r="L41" i="1"/>
  <c r="K41" i="1"/>
  <c r="M40" i="1"/>
  <c r="L40" i="1"/>
  <c r="K40" i="1"/>
  <c r="M39" i="1"/>
  <c r="L39" i="1"/>
  <c r="K39" i="1"/>
  <c r="M38" i="1"/>
  <c r="L38" i="1"/>
  <c r="K38" i="1"/>
  <c r="M37" i="1"/>
  <c r="L37" i="1"/>
  <c r="K37" i="1"/>
  <c r="M36" i="1"/>
  <c r="L36" i="1"/>
  <c r="K36" i="1"/>
  <c r="M35" i="1"/>
  <c r="L35" i="1"/>
  <c r="K35" i="1"/>
  <c r="M34" i="1"/>
  <c r="L34" i="1"/>
  <c r="K34" i="1"/>
  <c r="M33" i="1"/>
  <c r="L33" i="1"/>
  <c r="K33" i="1"/>
  <c r="M32" i="1"/>
  <c r="L32" i="1"/>
  <c r="K32" i="1"/>
  <c r="M31" i="1"/>
  <c r="L31" i="1"/>
  <c r="K31" i="1"/>
  <c r="M30" i="1"/>
  <c r="L30" i="1"/>
  <c r="K30" i="1"/>
  <c r="M29" i="1"/>
  <c r="L29" i="1"/>
  <c r="K29" i="1"/>
  <c r="M28" i="1"/>
  <c r="L28" i="1"/>
  <c r="K28" i="1"/>
  <c r="M27" i="1"/>
  <c r="L27" i="1"/>
  <c r="K27" i="1"/>
  <c r="M26" i="1"/>
  <c r="L26" i="1"/>
  <c r="K26" i="1"/>
  <c r="M25" i="1"/>
  <c r="L25" i="1"/>
  <c r="K25" i="1"/>
  <c r="M24" i="1"/>
  <c r="L24" i="1"/>
  <c r="K24" i="1"/>
  <c r="M23" i="1"/>
  <c r="L23" i="1"/>
  <c r="K23" i="1"/>
  <c r="M22" i="1"/>
  <c r="L22" i="1"/>
  <c r="K22" i="1"/>
  <c r="M21" i="1"/>
  <c r="L21" i="1"/>
  <c r="K21" i="1"/>
  <c r="M20" i="1"/>
  <c r="L20" i="1"/>
  <c r="K20" i="1"/>
  <c r="M19" i="1"/>
  <c r="L19" i="1"/>
  <c r="K19" i="1"/>
  <c r="M18" i="1"/>
  <c r="L18" i="1"/>
  <c r="K18" i="1"/>
  <c r="M17" i="1"/>
  <c r="L17" i="1"/>
  <c r="K17" i="1"/>
  <c r="M16" i="1"/>
  <c r="L16" i="1"/>
  <c r="K16" i="1"/>
  <c r="M15" i="1"/>
  <c r="L15" i="1"/>
  <c r="K15" i="1"/>
  <c r="M14" i="1"/>
  <c r="L14" i="1"/>
  <c r="K14" i="1"/>
  <c r="M13" i="1"/>
  <c r="L13" i="1"/>
  <c r="K13" i="1"/>
  <c r="M12" i="1"/>
  <c r="L12" i="1"/>
  <c r="K12" i="1"/>
  <c r="M11" i="1"/>
  <c r="L11" i="1"/>
  <c r="K11" i="1"/>
  <c r="M10" i="1"/>
  <c r="L10" i="1"/>
  <c r="K10" i="1"/>
  <c r="M9" i="1"/>
  <c r="L9" i="1"/>
  <c r="K9" i="1"/>
  <c r="M8" i="1"/>
  <c r="L8" i="1"/>
  <c r="K8" i="1"/>
  <c r="M7" i="1"/>
  <c r="L7" i="1"/>
  <c r="K7" i="1"/>
  <c r="M6" i="1"/>
  <c r="L6" i="1"/>
  <c r="K6" i="1"/>
  <c r="M5" i="1"/>
  <c r="L5" i="1"/>
  <c r="K5" i="1"/>
  <c r="M4" i="1"/>
  <c r="L4" i="1"/>
  <c r="K4" i="1"/>
  <c r="M3" i="1"/>
  <c r="L3" i="1"/>
  <c r="K3" i="1"/>
  <c r="M2" i="1"/>
  <c r="L2" i="1"/>
  <c r="K2" i="1"/>
</calcChain>
</file>

<file path=xl/sharedStrings.xml><?xml version="1.0" encoding="utf-8"?>
<sst xmlns="http://schemas.openxmlformats.org/spreadsheetml/2006/main" count="610" uniqueCount="393">
  <si>
    <t>Event_ID</t>
  </si>
  <si>
    <t>欄位</t>
  </si>
  <si>
    <t>Level</t>
  </si>
  <si>
    <t>Event_type</t>
  </si>
  <si>
    <t>Event_Code</t>
  </si>
  <si>
    <t>內容</t>
  </si>
  <si>
    <t>新聞案例</t>
  </si>
  <si>
    <t>顯示</t>
  </si>
  <si>
    <t>事件中文</t>
  </si>
  <si>
    <t>甲骨文CDS創高、信評遭降 為何可能成為美股警訊？</t>
  </si>
  <si>
    <t>股票代碼</t>
  </si>
  <si>
    <t>ORCL</t>
  </si>
  <si>
    <t>候選事件1</t>
  </si>
  <si>
    <t>Action</t>
  </si>
  <si>
    <r>
      <rPr>
        <sz val="11"/>
        <color theme="1"/>
        <rFont val="Calibri"/>
        <family val="2"/>
      </rPr>
      <t>CREDIT_DOWNGRADE</t>
    </r>
    <r>
      <rPr>
        <sz val="11"/>
        <color theme="1"/>
        <rFont val="微軟正黑體"/>
        <family val="2"/>
        <charset val="136"/>
      </rPr>
      <t>｜</t>
    </r>
    <r>
      <rPr>
        <sz val="11"/>
        <color theme="1"/>
        <rFont val="Calibri"/>
        <family val="2"/>
      </rPr>
      <t>Level 4</t>
    </r>
    <r>
      <rPr>
        <sz val="11"/>
        <color theme="1"/>
        <rFont val="微軟正黑體"/>
        <family val="2"/>
        <charset val="136"/>
      </rPr>
      <t>｜</t>
    </r>
    <r>
      <rPr>
        <sz val="11"/>
        <color theme="1"/>
        <rFont val="Calibri"/>
        <family val="2"/>
      </rPr>
      <t>Primary_Priority 92</t>
    </r>
    <r>
      <rPr>
        <sz val="11"/>
        <color theme="1"/>
        <rFont val="微軟正黑體"/>
        <family val="2"/>
        <charset val="136"/>
      </rPr>
      <t>｜</t>
    </r>
    <r>
      <rPr>
        <sz val="11"/>
        <color theme="1"/>
        <rFont val="Calibri"/>
        <family val="2"/>
      </rPr>
      <t>IMPACT</t>
    </r>
  </si>
  <si>
    <t>候選事件2</t>
  </si>
  <si>
    <r>
      <rPr>
        <sz val="11"/>
        <color theme="1"/>
        <rFont val="Calibri"/>
        <family val="2"/>
      </rPr>
      <t>CDS_SPREAD_WIDENING</t>
    </r>
    <r>
      <rPr>
        <sz val="11"/>
        <color theme="1"/>
        <rFont val="微軟正黑體"/>
        <family val="2"/>
        <charset val="136"/>
      </rPr>
      <t>｜</t>
    </r>
    <r>
      <rPr>
        <sz val="11"/>
        <color theme="1"/>
        <rFont val="Calibri"/>
        <family val="2"/>
      </rPr>
      <t>Level 3</t>
    </r>
    <r>
      <rPr>
        <sz val="11"/>
        <color theme="1"/>
        <rFont val="微軟正黑體"/>
        <family val="2"/>
        <charset val="136"/>
      </rPr>
      <t>｜</t>
    </r>
    <r>
      <rPr>
        <sz val="11"/>
        <color theme="1"/>
        <rFont val="Calibri"/>
        <family val="2"/>
      </rPr>
      <t>Primary_Priority 88</t>
    </r>
    <r>
      <rPr>
        <sz val="11"/>
        <color theme="1"/>
        <rFont val="微軟正黑體"/>
        <family val="2"/>
        <charset val="136"/>
      </rPr>
      <t>｜</t>
    </r>
    <r>
      <rPr>
        <sz val="11"/>
        <color theme="1"/>
        <rFont val="Calibri"/>
        <family val="2"/>
      </rPr>
      <t>MARKET_REACTION</t>
    </r>
  </si>
  <si>
    <t>Primary_Priority</t>
  </si>
  <si>
    <t>Event_Role</t>
  </si>
  <si>
    <t>Keyword</t>
  </si>
  <si>
    <r>
      <rPr>
        <sz val="11"/>
        <color theme="1"/>
        <rFont val="Calibri"/>
        <family val="2"/>
      </rPr>
      <t>Primary Event (</t>
    </r>
    <r>
      <rPr>
        <sz val="11"/>
        <color theme="1"/>
        <rFont val="Microsoft JhengHei"/>
        <family val="2"/>
        <charset val="136"/>
      </rPr>
      <t>現階段呈現</t>
    </r>
    <r>
      <rPr>
        <sz val="11"/>
        <color theme="1"/>
        <rFont val="Calibri"/>
        <family val="2"/>
      </rPr>
      <t>)</t>
    </r>
  </si>
  <si>
    <t>Review_Days</t>
  </si>
  <si>
    <t>Notify</t>
  </si>
  <si>
    <t>Watchlist</t>
  </si>
  <si>
    <t>Position_Review</t>
  </si>
  <si>
    <t>重大事件</t>
  </si>
  <si>
    <t>CREDIT_DOWNGRADE</t>
  </si>
  <si>
    <t>Definition</t>
  </si>
  <si>
    <t>通知、檢視授信及自營部位、持續追蹤</t>
  </si>
  <si>
    <t>Secondary Event</t>
  </si>
  <si>
    <t>EVT001</t>
  </si>
  <si>
    <t>FINANCIAL</t>
  </si>
  <si>
    <t>BANKRUPTCY</t>
  </si>
  <si>
    <t>破產</t>
  </si>
  <si>
    <t>CAUSE</t>
  </si>
  <si>
    <t>chapter 11; bankruptcy; 破產; 倒閉</t>
  </si>
  <si>
    <t>高度關注</t>
  </si>
  <si>
    <t>一般關注</t>
  </si>
  <si>
    <t>通知、檢視授信及自營部位、加入觀察</t>
  </si>
  <si>
    <t>低度關注</t>
  </si>
  <si>
    <t>僅紀錄</t>
  </si>
  <si>
    <t>CDS_SPREAD_WIDENING</t>
  </si>
  <si>
    <t>建議Action</t>
  </si>
  <si>
    <t>人工確認</t>
  </si>
  <si>
    <t>來源</t>
  </si>
  <si>
    <t>https://news.cnyes.com/news/id/6539174</t>
  </si>
  <si>
    <t>avoid bankruptcy</t>
  </si>
  <si>
    <t>EVT002</t>
  </si>
  <si>
    <t>LIQUIDITY_CRISIS</t>
  </si>
  <si>
    <t>流動性危機</t>
  </si>
  <si>
    <t>liquidity crisis; cash crunch; 流動性危機; 資金吃緊; 自由現金流不足; 自由現金流下滑</t>
  </si>
  <si>
    <t/>
  </si>
  <si>
    <t>EVT003</t>
  </si>
  <si>
    <t>DEFAULT</t>
  </si>
  <si>
    <t>違約</t>
  </si>
  <si>
    <t>default; missed payment; 跳票; 財務違約; 未按期付款</t>
  </si>
  <si>
    <t>EVT004</t>
  </si>
  <si>
    <t>LEGAL</t>
  </si>
  <si>
    <t>DELISTING</t>
  </si>
  <si>
    <t>下市</t>
  </si>
  <si>
    <t>delisting; delisted; 下市; 下櫃</t>
  </si>
  <si>
    <t>EVT005</t>
  </si>
  <si>
    <t>ACCOUNTING_FRAUD</t>
  </si>
  <si>
    <t>會計舞弊</t>
  </si>
  <si>
    <t>accounting fraud; falsified; 會計舞弊; 舞弊; 財報造假; 偽造帳目</t>
  </si>
  <si>
    <t>舞弊</t>
  </si>
  <si>
    <t>EVT006</t>
  </si>
  <si>
    <t>TRADING_SUSPENSION</t>
  </si>
  <si>
    <t>停牌</t>
  </si>
  <si>
    <t>trading suspended; 停牌; 暫停交易</t>
  </si>
  <si>
    <t>EVT007</t>
  </si>
  <si>
    <t>GOING_CONCERN</t>
  </si>
  <si>
    <t>繼續經營疑慮</t>
  </si>
  <si>
    <t>going concern; 經營疑慮; 掏空</t>
  </si>
  <si>
    <t>持續經營疑慮</t>
  </si>
  <si>
    <t>EVT008</t>
  </si>
  <si>
    <t>REGULATORY_PENALTY</t>
  </si>
  <si>
    <t>監管裁罰</t>
  </si>
  <si>
    <t>possible penalty</t>
  </si>
  <si>
    <t>正式裁罰</t>
  </si>
  <si>
    <t>EVT009</t>
  </si>
  <si>
    <t>REGULATORY_INVESTIGATION</t>
  </si>
  <si>
    <t>監管調查</t>
  </si>
  <si>
    <t>SEC investigation; DOJ probe; CFTC; FTC; regulator investigates; 監管調查; 監理調查</t>
  </si>
  <si>
    <t>internal investigation</t>
  </si>
  <si>
    <t>主管機關正式調查</t>
  </si>
  <si>
    <t>EVT010</t>
  </si>
  <si>
    <t>FDA_WARNING</t>
  </si>
  <si>
    <t>FDA警告</t>
  </si>
  <si>
    <t>FDA warning letter; FDA action; FDA警告; FDA警示</t>
  </si>
  <si>
    <t>routine inspection</t>
  </si>
  <si>
    <t>FDA重大警示</t>
  </si>
  <si>
    <t>EVT011</t>
  </si>
  <si>
    <t>MAJOR_LITIGATION</t>
  </si>
  <si>
    <t>重大訴訟</t>
  </si>
  <si>
    <t>class action; government sues; attorney general; 訴訟; 起訴</t>
  </si>
  <si>
    <t>wins lawsuit</t>
  </si>
  <si>
    <t>EVT012</t>
  </si>
  <si>
    <t>GOVERNANCE</t>
  </si>
  <si>
    <t>INSIDER_TRADING</t>
  </si>
  <si>
    <t>內線交易</t>
  </si>
  <si>
    <t>insider trading; 內線交易; 內線</t>
  </si>
  <si>
    <t>內線</t>
  </si>
  <si>
    <t>EVT013</t>
  </si>
  <si>
    <t>EXECUTIVE_MISCONDUCT</t>
  </si>
  <si>
    <t>高管不當行為</t>
  </si>
  <si>
    <t>misconduct; bribery; 高管不當行為; 行賄; 受賄; 收賄; 賄賂; 貪腐</t>
  </si>
  <si>
    <t>高管</t>
  </si>
  <si>
    <t>EVT014</t>
  </si>
  <si>
    <t>GEOPOLITICAL</t>
  </si>
  <si>
    <t>SANCTION</t>
  </si>
  <si>
    <t>制裁</t>
  </si>
  <si>
    <t>sanction; 制裁</t>
  </si>
  <si>
    <t>EVT015</t>
  </si>
  <si>
    <t>RESTATEMENT</t>
  </si>
  <si>
    <t>重編財報</t>
  </si>
  <si>
    <t>IMPACT</t>
  </si>
  <si>
    <t>restatement; 重編財報; 財報重編; 重編</t>
  </si>
  <si>
    <t>重編</t>
  </si>
  <si>
    <t>EVT016</t>
  </si>
  <si>
    <t>GUIDANCE_WITHDRAWN</t>
  </si>
  <si>
    <t>撤回財測</t>
  </si>
  <si>
    <t>withdraw guidance; 撤回財測; 財測撤回</t>
  </si>
  <si>
    <t>EVT017</t>
  </si>
  <si>
    <t>ANTITRUST_INVESTIGATION</t>
  </si>
  <si>
    <t>反壟斷調查</t>
  </si>
  <si>
    <t>antitrust; 反壟斷; 反托拉斯</t>
  </si>
  <si>
    <t>反壟斷</t>
  </si>
  <si>
    <t>EVT018</t>
  </si>
  <si>
    <t>信用調降</t>
  </si>
  <si>
    <t>Moody downgrade; S&amp;P downgrade; Fitch downgrade; 信用調降; 信評調降; 穆迪降評; 標普降評; 惠譽降評; 穆迪調降; 標普調降; 惠譽調降</t>
  </si>
  <si>
    <t>analyst downgrade</t>
  </si>
  <si>
    <t>信評調降</t>
  </si>
  <si>
    <t>EVT019</t>
  </si>
  <si>
    <t>AUDITOR_RESIGNATION</t>
  </si>
  <si>
    <t>會計師辭任</t>
  </si>
  <si>
    <t>auditor resigns; 會計師辭任; 會計師請辭; 更換簽證會計師</t>
  </si>
  <si>
    <t>會計師</t>
  </si>
  <si>
    <t>EVT020</t>
  </si>
  <si>
    <t>OPERATIONS</t>
  </si>
  <si>
    <t>ENVIRONMENTAL_INCIDENT</t>
  </si>
  <si>
    <t>重大環境事故</t>
  </si>
  <si>
    <t>environmental spill; 環境事故; 排放; 化學品外洩; 化學品洩漏; 油污外洩; 石油洩漏; 有毒物質外洩; 廢水外洩</t>
  </si>
  <si>
    <t>環境</t>
  </si>
  <si>
    <t>EVT021</t>
  </si>
  <si>
    <t>PRODUCT_RECALL</t>
  </si>
  <si>
    <t>產品召回</t>
  </si>
  <si>
    <t>product recall; 召回; 回收產品; 下架回收</t>
  </si>
  <si>
    <t>召回</t>
  </si>
  <si>
    <t>EVT022</t>
  </si>
  <si>
    <t>CYBER</t>
  </si>
  <si>
    <t>CYBER_ATTACK</t>
  </si>
  <si>
    <t>資安攻擊</t>
  </si>
  <si>
    <t>cyber attack; ransomware; 資安; 駭客; 黑客; 網路攻擊; 系統遭入侵; 惡意軟體攻擊; 網路癱瘓</t>
  </si>
  <si>
    <t>資安</t>
  </si>
  <si>
    <t>EVT023</t>
  </si>
  <si>
    <t>DATA_BREACH</t>
  </si>
  <si>
    <t>資料外洩</t>
  </si>
  <si>
    <t>data breach; 資料外洩; 個資外洩; 機密資料外洩; 敏感資料外洩</t>
  </si>
  <si>
    <t>資料</t>
  </si>
  <si>
    <t>EVT024</t>
  </si>
  <si>
    <t>EARNINGS_WARNING</t>
  </si>
  <si>
    <t>財測下修</t>
  </si>
  <si>
    <t>guidance cut; profit warning; 財測下修</t>
  </si>
  <si>
    <t>EVT025</t>
  </si>
  <si>
    <t>FACTORY_SHUTDOWN</t>
  </si>
  <si>
    <t>工廠停工</t>
  </si>
  <si>
    <t>factory shutdown; 停工; 關廠; 停產; 撤廠</t>
  </si>
  <si>
    <t>停工</t>
  </si>
  <si>
    <t>EVT026</t>
  </si>
  <si>
    <t>CDS利差擴大／信用風險升高</t>
  </si>
  <si>
    <t>MARKET_REACTION</t>
  </si>
  <si>
    <t>CDS spread widens; CDS spread widening; credit default swap spread widens; CDS hits record high; CDS reaches all-time high; default swap cost rises; credit protection cost rises; 信用違約交換利差擴大; CDS利差擴大; 0CDS保費上升; CDS創高; CDS歷史新高; 違約保險成本上升; 信用風險指標升高; 信用違約交換</t>
  </si>
  <si>
    <t>CDS spread narrows; CDS spread tightens; CDS falls; credit risk eases; CDS利差收窄; CDS保費下降; 信用風險緩解</t>
  </si>
  <si>
    <r>
      <rPr>
        <sz val="11"/>
        <color theme="1"/>
        <rFont val="微軟正黑體"/>
        <family val="2"/>
        <charset val="136"/>
      </rPr>
      <t>公司信用違約交換</t>
    </r>
    <r>
      <rPr>
        <sz val="11"/>
        <color theme="1"/>
        <rFont val="Calibri"/>
        <family val="2"/>
      </rPr>
      <t>(CDS)</t>
    </r>
    <r>
      <rPr>
        <sz val="11"/>
        <color theme="1"/>
        <rFont val="細明體"/>
        <family val="3"/>
        <charset val="136"/>
      </rPr>
      <t>利差</t>
    </r>
  </si>
  <si>
    <t>EVT027</t>
  </si>
  <si>
    <t>CEO_DEPARTURE</t>
  </si>
  <si>
    <t>CEO異動</t>
  </si>
  <si>
    <t>CEO resigns; CEO異動; 執行長辭職; 執行長請辭; 執行長辭任; 執行長下台; 執行長離職; 執行長遭撤換</t>
  </si>
  <si>
    <t>planned retirement</t>
  </si>
  <si>
    <t>CEO</t>
  </si>
  <si>
    <t>EVT028</t>
  </si>
  <si>
    <t>EXPORT_RESTRICTION</t>
  </si>
  <si>
    <t>出口管制</t>
  </si>
  <si>
    <t>export restriction; export ban; 出口管制; 出口限制; 出口禁令; 禁止出口; 限制出口; 暫停出口</t>
  </si>
  <si>
    <t>出口限制</t>
  </si>
  <si>
    <t>EVT029</t>
  </si>
  <si>
    <t>CFO_DEPARTURE</t>
  </si>
  <si>
    <t>CFO異動</t>
  </si>
  <si>
    <t>CFO resigns; CFO異動; 財務長辭職; 財務長請辭; 財務長辭任; 財務長下台; 財務長離職; 財務長遭撤換</t>
  </si>
  <si>
    <t>CFO</t>
  </si>
  <si>
    <t>EVT030</t>
  </si>
  <si>
    <t>PRODUCT_DEFECT</t>
  </si>
  <si>
    <t>重大產品瑕疵</t>
  </si>
  <si>
    <t>product defect; 產品瑕疵; 產品不良</t>
  </si>
  <si>
    <t>瑕疵</t>
  </si>
  <si>
    <t>EVT031</t>
  </si>
  <si>
    <t>SUPPLY_CHAIN_DISRUPTION</t>
  </si>
  <si>
    <t>供應鏈中斷</t>
  </si>
  <si>
    <t>supply chain; 供應鏈中斷; 供應鏈斷鏈; 待料; 缺料</t>
  </si>
  <si>
    <t>供應鏈</t>
  </si>
  <si>
    <t>EVT032</t>
  </si>
  <si>
    <t>PATENT_LITIGATION</t>
  </si>
  <si>
    <t>專利訴訟</t>
  </si>
  <si>
    <t>patent lawsuit; 專利訴訟; 專利爭議</t>
  </si>
  <si>
    <t>wins patent case</t>
  </si>
  <si>
    <t>專利爭議</t>
  </si>
  <si>
    <t>EVT033</t>
  </si>
  <si>
    <t>MAJOR_CUSTOMER_LOSS</t>
  </si>
  <si>
    <t>重大客戶流失</t>
  </si>
  <si>
    <t>major customer loss; 重大客戶流失; 砍單</t>
  </si>
  <si>
    <t>客戶</t>
  </si>
  <si>
    <t>EVT034</t>
  </si>
  <si>
    <t>TRADE_RESTRICTION</t>
  </si>
  <si>
    <t>貿易限制</t>
  </si>
  <si>
    <t>trade restriction; 貿易限制</t>
  </si>
  <si>
    <t>EVT035</t>
  </si>
  <si>
    <t>MARKET</t>
  </si>
  <si>
    <t>SHORT_SELLER_REPORT</t>
  </si>
  <si>
    <t>放空機構報告</t>
  </si>
  <si>
    <t>short seller report; 放空機構報告</t>
  </si>
  <si>
    <t>放空</t>
  </si>
  <si>
    <t>EVT036</t>
  </si>
  <si>
    <t>PRIVACY_INCIDENT</t>
  </si>
  <si>
    <t>隱私事件</t>
  </si>
  <si>
    <t>privacy incident; 隱私事件</t>
  </si>
  <si>
    <t>隱私</t>
  </si>
  <si>
    <t>EVT037</t>
  </si>
  <si>
    <t>PRODUCTION_DELAY</t>
  </si>
  <si>
    <t>生產延遲</t>
  </si>
  <si>
    <t>production delay; 生產延遲; 延遲交貨</t>
  </si>
  <si>
    <t>延遲</t>
  </si>
  <si>
    <t>EVT038</t>
  </si>
  <si>
    <t>TARIFF</t>
  </si>
  <si>
    <t>關稅</t>
  </si>
  <si>
    <t>tariff; 關稅; 稅率</t>
  </si>
  <si>
    <t>EVT039</t>
  </si>
  <si>
    <t>BOARD_RESTRUCTURE</t>
  </si>
  <si>
    <t>董事會重大改組</t>
  </si>
  <si>
    <t>board reshuffle; 董事會改組; 董事會改選</t>
  </si>
  <si>
    <t>董事會</t>
  </si>
  <si>
    <t>EVT040</t>
  </si>
  <si>
    <t>ANALYST_DOWNGRADE</t>
  </si>
  <si>
    <t>分析師降評</t>
  </si>
  <si>
    <t>downgrade; target cut; 分析師調降; 調降目標價; 目標價下調; 目標價下修; 下修目標價</t>
  </si>
  <si>
    <t>credit downgrade</t>
  </si>
  <si>
    <t>EVT041</t>
  </si>
  <si>
    <t>VALUATION_CONCERN</t>
  </si>
  <si>
    <t>估值疑慮</t>
  </si>
  <si>
    <t>overvalued; high P/E ratio; 估質疑慮; 估值過高; 本益比過高</t>
  </si>
  <si>
    <t>估值</t>
  </si>
  <si>
    <t>EVT042</t>
  </si>
  <si>
    <t>PRICE_MOVEMENT</t>
  </si>
  <si>
    <t>股價下跌</t>
  </si>
  <si>
    <t>shares fall; 股價下跌; 股價大跌; 股價暴跌; 股價腰斬; 重挫</t>
  </si>
  <si>
    <t>after SEC</t>
  </si>
  <si>
    <t>價格</t>
  </si>
  <si>
    <t>EVT043</t>
  </si>
  <si>
    <t>SECTOR_MOVE</t>
  </si>
  <si>
    <t>產業下跌</t>
  </si>
  <si>
    <t>chip stocks fall; 產業下跌; 產業下滑; 產業沒落</t>
  </si>
  <si>
    <t>產業</t>
  </si>
  <si>
    <t>EVT044</t>
  </si>
  <si>
    <t>SYSTEM</t>
  </si>
  <si>
    <t>NOT_RELEVANT</t>
  </si>
  <si>
    <t>EVT045</t>
  </si>
  <si>
    <t>UNKNOWN</t>
  </si>
  <si>
    <t>未知</t>
  </si>
  <si>
    <t>判斷方向</t>
  </si>
  <si>
    <t>典型事件</t>
  </si>
  <si>
    <t>主要影響公司存續風險或持續經營能力</t>
  </si>
  <si>
    <t>破產、違約、下市、停牌、會計舞弊、持續經營疑慮</t>
  </si>
  <si>
    <t>重大法律、監管、信用或核心營運影響</t>
  </si>
  <si>
    <t>監管裁罰／調查、重大訴訟、信評調降、重大營運中斷</t>
  </si>
  <si>
    <t>已造成營運、財務或公司治理影響，需要持續追蹤</t>
  </si>
  <si>
    <t>財測下修、產品召回、資安攻擊、停工、供應鏈中斷</t>
  </si>
  <si>
    <t>可能影響公司表現，但尚未形成重大風險</t>
  </si>
  <si>
    <t>分析師降評、關稅、生產延遲、董事會改組</t>
  </si>
  <si>
    <t>市場反應或低影響事件，先行紀錄</t>
  </si>
  <si>
    <t>股價下跌、產業下跌、估值疑慮、單純天災</t>
  </si>
  <si>
    <t>非事件新聞、無關新聞，或尚無法判斷</t>
  </si>
  <si>
    <t>預測、估值文章、投資觀點、財報預告、技術分析、UNKNOWN</t>
  </si>
  <si>
    <t>Source</t>
    <phoneticPr fontId="12" type="noConversion"/>
  </si>
  <si>
    <t>網址</t>
  </si>
  <si>
    <t>Reuters</t>
  </si>
  <si>
    <t>https://www.reuters.com/markets/</t>
  </si>
  <si>
    <t>Bloomberg</t>
  </si>
  <si>
    <t>https://www.bloomberg.com/markets</t>
  </si>
  <si>
    <t>Wall Street Journal</t>
  </si>
  <si>
    <t>https://www.wsj.com/news/business</t>
  </si>
  <si>
    <t>Financial Times</t>
  </si>
  <si>
    <t>https://www.ft.com/markets</t>
  </si>
  <si>
    <t>Dow Jones Newswires</t>
  </si>
  <si>
    <t>https://www.dowjones.com/</t>
  </si>
  <si>
    <t>Associated Press Business</t>
  </si>
  <si>
    <t>https://apnews.com/business</t>
  </si>
  <si>
    <t>CNBC</t>
  </si>
  <si>
    <t>https://www.cnbc.com/world/?region=world</t>
  </si>
  <si>
    <t>MarketWatch</t>
  </si>
  <si>
    <t>https://www.marketwatch.com/</t>
  </si>
  <si>
    <t>Barron's</t>
  </si>
  <si>
    <t>https://www.barrons.com/</t>
  </si>
  <si>
    <t>Yahoo Finance</t>
  </si>
  <si>
    <t>https://finance.yahoo.com/</t>
  </si>
  <si>
    <t>Investing.com</t>
  </si>
  <si>
    <t>https://www.investing.com/news/</t>
  </si>
  <si>
    <t>TheStreet</t>
  </si>
  <si>
    <t>https://www.thestreet.com/</t>
  </si>
  <si>
    <t>Seeking Alpha</t>
  </si>
  <si>
    <t>https://seekingalpha.com/</t>
  </si>
  <si>
    <t>Benzinga</t>
  </si>
  <si>
    <t>https://www.benzinga.com/</t>
  </si>
  <si>
    <t>Motley Fool</t>
  </si>
  <si>
    <t>https://www.fool.com/</t>
  </si>
  <si>
    <t>Investor's Business Daily</t>
  </si>
  <si>
    <t>https://www.investors.com/</t>
  </si>
  <si>
    <t>IMF</t>
  </si>
  <si>
    <t>https://www.imf.org/en/News</t>
  </si>
  <si>
    <t>World Bank</t>
  </si>
  <si>
    <t>https://www.worldbank.org/en/news</t>
  </si>
  <si>
    <t>OECD</t>
  </si>
  <si>
    <t>https://www.oecd.org/newsroom/</t>
  </si>
  <si>
    <t>BIS</t>
  </si>
  <si>
    <t>https://www.bis.org/press/index.htm</t>
  </si>
  <si>
    <t>Federal Reserve</t>
  </si>
  <si>
    <t>https://www.federalreserve.gov/newsevents.htm</t>
  </si>
  <si>
    <t>U.S. Treasury</t>
  </si>
  <si>
    <t>https://home.treasury.gov/news</t>
  </si>
  <si>
    <t>SEC</t>
  </si>
  <si>
    <t>https://www.sec.gov/newsroom</t>
  </si>
  <si>
    <t>BLS</t>
  </si>
  <si>
    <t>https://www.bls.gov/news.release/</t>
  </si>
  <si>
    <t>BEA</t>
  </si>
  <si>
    <t>https://www.bea.gov/news</t>
  </si>
  <si>
    <t>ECB</t>
  </si>
  <si>
    <t>https://www.ecb.europa.eu/press</t>
  </si>
  <si>
    <t>Bank of England</t>
  </si>
  <si>
    <t>https://www.bankofengland.co.uk/news</t>
  </si>
  <si>
    <t>NATURAL_DISASTER</t>
  </si>
  <si>
    <t>天災</t>
  </si>
  <si>
    <t>earthquake; typhoon; hurricane; tornado; flood; flooding; wildfire; forest fire; tsunami; volcanic eruption; landslide; blizzard; drought; 地震; 颱風; 颶風; 龍捲風; 洪水; 淹水; 野火; 森林大火; 海嘯; 火山爆發; 土石流; 暴風雪; 乾旱; 天災</t>
  </si>
  <si>
    <t>N</t>
  </si>
  <si>
    <t>EARNINGS_MISS</t>
  </si>
  <si>
    <t>財報不如預期</t>
  </si>
  <si>
    <t>earnings miss; misses estimates; missed estimates; revenue miss; EPS miss; profit miss; below expectations; weaker-than-expected results; 財報不如預期; 營收不如預期; 每股盈餘不如預期; 獲利不如預期</t>
  </si>
  <si>
    <t>Y</t>
  </si>
  <si>
    <t>earnings preview; expected to report; ahead of earnings</t>
  </si>
  <si>
    <t>WORKFORCE_REDUCTION</t>
  </si>
  <si>
    <t>裁員或人力縮減</t>
  </si>
  <si>
    <t>layoff; layoffs; laid off; laid-off; job cuts; workforce reduction; headcount reduction; cuts jobs; eliminates positions; 裁員; 人力縮減; 精簡人力; 大幅減員; 縮減員工</t>
  </si>
  <si>
    <t>hiring freeze lifted; hiring plan; adds jobs</t>
  </si>
  <si>
    <t>OPERATING_DETERIORATION</t>
  </si>
  <si>
    <t>營運惡化</t>
  </si>
  <si>
    <t>operating deterioration; operations deteriorate; business deterioration; demand weakens; sales decline; revenue decline; margin pressure; margin compression; declining orders; operational weakness; 營運惡化; 營收下滑; 銷售下滑; 訂單下滑; 毛利承壓; 利潤率下滑; 需求疲弱</t>
  </si>
  <si>
    <t>temporary seasonal decline; industry-wide data only; market forecast</t>
  </si>
  <si>
    <t>PRODUCT_OR_SERVICE_DISCONTINUATION</t>
  </si>
  <si>
    <t>產品或服務終止</t>
  </si>
  <si>
    <t>discontinues product; product discontinued; ends service; service shutdown; shuts down service; retires product; phases out product; abandons tool; stops offering; 產品停產; 產品終止; 服務終止; 停止服務; 系統停用; 停止提供</t>
  </si>
  <si>
    <t>temporary maintenance; scheduled maintenance; product recall</t>
  </si>
  <si>
    <t>排除、不納入風險事件</t>
  </si>
  <si>
    <t>天災</t>
    <phoneticPr fontId="9" type="noConversion"/>
  </si>
  <si>
    <t>disaster recovery drill; earthquake drill; hurricane season outlook; weather forecast</t>
    <phoneticPr fontId="9" type="noConversion"/>
  </si>
  <si>
    <t>公司已公布財報，且營收低於市場預期</t>
    <phoneticPr fontId="9" type="noConversion"/>
  </si>
  <si>
    <t>公司已宣布或執行裁員</t>
    <phoneticPr fontId="9" type="noConversion"/>
  </si>
  <si>
    <t>公司營運惡化，但尚未達持續經營風險</t>
    <phoneticPr fontId="9" type="noConversion"/>
  </si>
  <si>
    <t>公司停止產品、服務或內部系統</t>
    <phoneticPr fontId="9" type="noConversion"/>
  </si>
  <si>
    <t>GENERAL_INFORMATION</t>
  </si>
  <si>
    <t>一般公司更新</t>
  </si>
  <si>
    <r>
      <t xml:space="preserve">corporate update; company update; business update; announces update; organizational update; management update; </t>
    </r>
    <r>
      <rPr>
        <sz val="11"/>
        <color theme="1"/>
        <rFont val="微軟正黑體"/>
        <family val="2"/>
        <charset val="136"/>
      </rPr>
      <t>公司更新</t>
    </r>
    <r>
      <rPr>
        <sz val="11"/>
        <color theme="1"/>
        <rFont val="Calibri"/>
        <family val="2"/>
      </rPr>
      <t xml:space="preserve">; </t>
    </r>
    <r>
      <rPr>
        <sz val="11"/>
        <color theme="1"/>
        <rFont val="微軟正黑體"/>
        <family val="2"/>
        <charset val="136"/>
      </rPr>
      <t>營運更新</t>
    </r>
    <r>
      <rPr>
        <sz val="11"/>
        <color theme="1"/>
        <rFont val="Calibri"/>
        <family val="2"/>
      </rPr>
      <t xml:space="preserve">; </t>
    </r>
    <r>
      <rPr>
        <sz val="11"/>
        <color theme="1"/>
        <rFont val="微軟正黑體"/>
        <family val="2"/>
        <charset val="136"/>
      </rPr>
      <t>一般公告</t>
    </r>
    <r>
      <rPr>
        <sz val="11"/>
        <color theme="1"/>
        <rFont val="Calibri"/>
        <family val="2"/>
        <scheme val="minor"/>
      </rPr>
      <t xml:space="preserve">; </t>
    </r>
    <r>
      <rPr>
        <sz val="11"/>
        <color theme="1"/>
        <rFont val="細明體"/>
        <family val="3"/>
        <charset val="136"/>
      </rPr>
      <t>一般資訊</t>
    </r>
    <r>
      <rPr>
        <sz val="11"/>
        <color theme="1"/>
        <rFont val="Calibri"/>
        <family val="2"/>
        <scheme val="minor"/>
      </rPr>
      <t xml:space="preserve">; </t>
    </r>
    <r>
      <rPr>
        <sz val="11"/>
        <color theme="1"/>
        <rFont val="細明體"/>
        <family val="3"/>
        <charset val="136"/>
      </rPr>
      <t>公司簡介</t>
    </r>
    <r>
      <rPr>
        <sz val="11"/>
        <color theme="1"/>
        <rFont val="Calibri"/>
        <family val="2"/>
        <scheme val="minor"/>
      </rPr>
      <t xml:space="preserve">; </t>
    </r>
    <r>
      <rPr>
        <sz val="11"/>
        <color theme="1"/>
        <rFont val="細明體"/>
        <family val="3"/>
        <charset val="136"/>
      </rPr>
      <t>公司背景</t>
    </r>
    <r>
      <rPr>
        <sz val="11"/>
        <color theme="1"/>
        <rFont val="Calibri"/>
        <family val="2"/>
        <scheme val="minor"/>
      </rPr>
      <t xml:space="preserve">; </t>
    </r>
    <r>
      <rPr>
        <sz val="11"/>
        <color theme="1"/>
        <rFont val="細明體"/>
        <family val="3"/>
        <charset val="136"/>
      </rPr>
      <t>企業介紹</t>
    </r>
    <phoneticPr fontId="12" type="noConversion"/>
  </si>
  <si>
    <t>guidance cut; earnings miss; CEO resigns; CFO resigns; investigation; shutdown</t>
  </si>
  <si>
    <t>僅為一般公司動態或例行更新，未揭露具體負面事件</t>
  </si>
  <si>
    <t>EVT046</t>
  </si>
  <si>
    <t>EVT047</t>
  </si>
  <si>
    <t>EVT048</t>
  </si>
  <si>
    <t>EVT049</t>
  </si>
  <si>
    <t>EVT050</t>
  </si>
  <si>
    <t>EVT052</t>
  </si>
  <si>
    <t>EVT053</t>
    <phoneticPr fontId="9" type="noConversion"/>
  </si>
  <si>
    <t>非主要公司網站</t>
    <phoneticPr fontId="9" type="noConversion"/>
  </si>
  <si>
    <t>NON_CORE_SOURCE</t>
    <phoneticPr fontId="9" type="noConversion"/>
  </si>
  <si>
    <t>TradingView</t>
  </si>
  <si>
    <t>https://tw.tradingview.com</t>
    <phoneticPr fontId="9" type="noConversion"/>
  </si>
  <si>
    <t>Nasdaq</t>
  </si>
  <si>
    <t>https://www.nasdaq.com/</t>
    <phoneticPr fontId="9" type="noConversion"/>
  </si>
  <si>
    <t>是非核心來源，且未偵測到任何事件</t>
    <phoneticPr fontId="9" type="noConversion"/>
  </si>
  <si>
    <r>
      <rPr>
        <sz val="11"/>
        <color rgb="FFFF0000"/>
        <rFont val="微軟正黑體"/>
        <family val="2"/>
        <charset val="136"/>
      </rPr>
      <t>無關新聞</t>
    </r>
    <r>
      <rPr>
        <sz val="11"/>
        <color rgb="FFFF0000"/>
        <rFont val="Microsoft JhengHei"/>
        <family val="2"/>
        <charset val="136"/>
      </rPr>
      <t>事件</t>
    </r>
    <phoneticPr fontId="9" type="noConversion"/>
  </si>
  <si>
    <r>
      <rPr>
        <sz val="11"/>
        <color rgb="FFFF0000"/>
        <rFont val="微軟正黑體"/>
        <family val="2"/>
        <charset val="136"/>
      </rPr>
      <t>無關</t>
    </r>
    <r>
      <rPr>
        <sz val="11"/>
        <color rgb="FFFF0000"/>
        <rFont val="Microsoft JhengHei"/>
        <family val="2"/>
      </rPr>
      <t>新聞事件</t>
    </r>
    <r>
      <rPr>
        <sz val="11"/>
        <color rgb="FFFF0000"/>
        <rFont val="Calibri"/>
        <family val="2"/>
      </rPr>
      <t>(</t>
    </r>
    <r>
      <rPr>
        <sz val="11"/>
        <color rgb="FFFF0000"/>
        <rFont val="微軟正黑體"/>
        <family val="2"/>
        <charset val="136"/>
      </rPr>
      <t>如市場彙整報告、市場活動資料、法說日</t>
    </r>
    <r>
      <rPr>
        <sz val="11"/>
        <color rgb="FFFF0000"/>
        <rFont val="Calibri"/>
        <family val="2"/>
      </rPr>
      <t>)</t>
    </r>
    <phoneticPr fontId="9" type="noConversion"/>
  </si>
  <si>
    <t>Should You Buy; Should You Hold; Worth Buying; Time to Cash Out; What to Expect; Stocks Mixed; Should You Sell ; Conference Call; Earnings Call Transcript; Pre-Market Earnings Report; After-Hours Earnings Report; Stock Market News; Analyst Blog; Top Analyst Reports; ETF Inflow; ETF Outflow; Option Activity; Key Metrics; What to Expect; On Deck; What's in Store; Ahead of Earnings; Expected to Beat; Expected to Grow; Worth Buying; Worth Holding; Worth Owning; Worth Investing; Prediction; ETF Movers</t>
    <phoneticPr fontId="9" type="noConversion"/>
  </si>
  <si>
    <t>Exclude_Keyword</t>
    <phoneticPr fontId="9" type="noConversion"/>
  </si>
  <si>
    <t>待人工覆核</t>
    <phoneticPr fontId="9" type="noConversion"/>
  </si>
  <si>
    <t>鉅亨網</t>
    <phoneticPr fontId="9" type="noConversion"/>
  </si>
  <si>
    <t>https://news.cnyes.com</t>
  </si>
  <si>
    <r>
      <t xml:space="preserve">penalty; settlement; sanctioned; </t>
    </r>
    <r>
      <rPr>
        <sz val="11"/>
        <color theme="1"/>
        <rFont val="微軟正黑體"/>
        <family val="2"/>
        <charset val="136"/>
      </rPr>
      <t>裁罰</t>
    </r>
    <r>
      <rPr>
        <sz val="11"/>
        <color theme="1"/>
        <rFont val="Calibri"/>
        <family val="2"/>
      </rPr>
      <t xml:space="preserve">; </t>
    </r>
    <r>
      <rPr>
        <sz val="11"/>
        <color theme="1"/>
        <rFont val="微軟正黑體"/>
        <family val="2"/>
        <charset val="136"/>
      </rPr>
      <t>罰款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</si>
</sst>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scheme val="minor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Microsoft JhengHei"/>
      <family val="2"/>
      <charset val="136"/>
    </font>
    <font>
      <sz val="11"/>
      <color theme="1"/>
      <name val="微軟正黑體"/>
      <family val="2"/>
      <charset val="136"/>
    </font>
    <font>
      <sz val="11"/>
      <color theme="1"/>
      <name val="細明體"/>
      <family val="3"/>
      <charset val="136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sz val="9"/>
      <name val="Calibri"/>
      <family val="3"/>
      <charset val="136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細明體"/>
      <family val="3"/>
      <charset val="136"/>
    </font>
    <font>
      <sz val="11"/>
      <color theme="1"/>
      <name val="Microsoft JhengHei"/>
      <family val="2"/>
    </font>
    <font>
      <sz val="11"/>
      <color rgb="FFFF0000"/>
      <name val="Microsoft JhengHei"/>
      <family val="2"/>
    </font>
    <font>
      <sz val="11"/>
      <color rgb="FFFF0000"/>
      <name val="Calibri"/>
      <family val="2"/>
      <charset val="136"/>
    </font>
    <font>
      <sz val="11"/>
      <color rgb="FFFF0000"/>
      <name val="微軟正黑體"/>
      <family val="2"/>
      <charset val="136"/>
    </font>
    <font>
      <sz val="11"/>
      <color rgb="FFFF0000"/>
      <name val="Microsoft JhengHei"/>
      <family val="2"/>
      <charset val="136"/>
    </font>
    <font>
      <sz val="11"/>
      <color theme="1"/>
      <name val="Microsoft JhengHei"/>
      <family val="2"/>
      <charset val="136"/>
    </font>
  </fonts>
  <fills count="1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E7E6E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48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/>
    </xf>
    <xf numFmtId="0" fontId="3" fillId="0" borderId="0" xfId="0" applyFont="1" applyAlignment="1">
      <alignment wrapText="1"/>
    </xf>
    <xf numFmtId="0" fontId="4" fillId="0" borderId="2" xfId="0" applyFont="1" applyBorder="1" applyAlignment="1">
      <alignment vertical="center" wrapText="1"/>
    </xf>
    <xf numFmtId="0" fontId="1" fillId="4" borderId="1" xfId="0" applyFont="1" applyFill="1" applyBorder="1" applyAlignment="1">
      <alignment vertical="center"/>
    </xf>
    <xf numFmtId="0" fontId="3" fillId="0" borderId="2" xfId="0" applyFont="1" applyBorder="1"/>
    <xf numFmtId="0" fontId="3" fillId="3" borderId="1" xfId="0" applyFont="1" applyFill="1" applyBorder="1"/>
    <xf numFmtId="0" fontId="3" fillId="0" borderId="2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3" borderId="1" xfId="0" applyFont="1" applyFill="1" applyBorder="1" applyAlignment="1">
      <alignment wrapText="1"/>
    </xf>
    <xf numFmtId="0" fontId="4" fillId="0" borderId="2" xfId="0" applyFont="1" applyBorder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/>
    </xf>
    <xf numFmtId="0" fontId="10" fillId="0" borderId="3" xfId="0" applyFont="1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5" borderId="0" xfId="0" applyFont="1" applyFill="1" applyAlignment="1">
      <alignment vertical="center"/>
    </xf>
    <xf numFmtId="0" fontId="11" fillId="5" borderId="0" xfId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11" fillId="6" borderId="0" xfId="1" applyFill="1" applyAlignment="1">
      <alignment vertical="center" wrapText="1"/>
    </xf>
    <xf numFmtId="0" fontId="3" fillId="7" borderId="0" xfId="0" applyFont="1" applyFill="1" applyAlignment="1">
      <alignment vertical="center" wrapText="1"/>
    </xf>
    <xf numFmtId="0" fontId="11" fillId="7" borderId="0" xfId="1" applyFill="1" applyAlignment="1">
      <alignment vertical="center" wrapText="1"/>
    </xf>
    <xf numFmtId="0" fontId="3" fillId="8" borderId="0" xfId="0" applyFont="1" applyFill="1" applyAlignment="1">
      <alignment vertical="center" wrapText="1"/>
    </xf>
    <xf numFmtId="0" fontId="11" fillId="8" borderId="0" xfId="1" applyFill="1" applyAlignment="1">
      <alignment vertical="center" wrapText="1"/>
    </xf>
    <xf numFmtId="0" fontId="3" fillId="9" borderId="0" xfId="0" applyFont="1" applyFill="1" applyAlignment="1">
      <alignment vertical="center" wrapText="1"/>
    </xf>
    <xf numFmtId="0" fontId="11" fillId="9" borderId="0" xfId="1" applyFill="1" applyAlignment="1">
      <alignment vertical="center" wrapText="1"/>
    </xf>
    <xf numFmtId="0" fontId="3" fillId="10" borderId="0" xfId="0" applyFont="1" applyFill="1" applyAlignment="1">
      <alignment vertical="center" wrapText="1"/>
    </xf>
    <xf numFmtId="0" fontId="11" fillId="10" borderId="0" xfId="1" applyFill="1" applyAlignment="1">
      <alignment vertical="center" wrapText="1"/>
    </xf>
    <xf numFmtId="0" fontId="0" fillId="11" borderId="0" xfId="0" applyFill="1" applyAlignment="1">
      <alignment vertical="center" wrapText="1"/>
    </xf>
    <xf numFmtId="0" fontId="0" fillId="12" borderId="0" xfId="0" applyFill="1" applyAlignment="1">
      <alignment vertical="center" wrapText="1"/>
    </xf>
    <xf numFmtId="0" fontId="13" fillId="11" borderId="0" xfId="0" applyFont="1" applyFill="1" applyAlignment="1">
      <alignment vertical="center" wrapText="1"/>
    </xf>
    <xf numFmtId="0" fontId="7" fillId="11" borderId="0" xfId="0" applyFont="1" applyFill="1" applyAlignment="1">
      <alignment vertical="center" wrapText="1"/>
    </xf>
    <xf numFmtId="0" fontId="5" fillId="12" borderId="0" xfId="0" applyFont="1" applyFill="1" applyAlignment="1">
      <alignment vertical="center" wrapText="1"/>
    </xf>
    <xf numFmtId="0" fontId="0" fillId="13" borderId="0" xfId="0" applyFill="1" applyAlignment="1">
      <alignment vertical="center" wrapText="1"/>
    </xf>
    <xf numFmtId="0" fontId="3" fillId="13" borderId="0" xfId="0" applyFont="1" applyFill="1" applyAlignment="1">
      <alignment vertical="center" wrapText="1"/>
    </xf>
    <xf numFmtId="0" fontId="7" fillId="13" borderId="0" xfId="0" applyFont="1" applyFill="1" applyAlignment="1">
      <alignment vertical="center" wrapText="1"/>
    </xf>
    <xf numFmtId="0" fontId="13" fillId="13" borderId="0" xfId="0" applyFont="1" applyFill="1" applyAlignment="1">
      <alignment vertical="center" wrapText="1"/>
    </xf>
    <xf numFmtId="0" fontId="0" fillId="14" borderId="0" xfId="0" applyFill="1"/>
    <xf numFmtId="0" fontId="11" fillId="14" borderId="0" xfId="1" applyFill="1"/>
    <xf numFmtId="0" fontId="5" fillId="13" borderId="0" xfId="0" applyFont="1" applyFill="1" applyAlignment="1">
      <alignment vertical="center" wrapText="1"/>
    </xf>
    <xf numFmtId="0" fontId="8" fillId="15" borderId="0" xfId="0" applyFont="1" applyFill="1" applyAlignment="1">
      <alignment vertical="center"/>
    </xf>
    <xf numFmtId="0" fontId="15" fillId="15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8" fillId="16" borderId="0" xfId="0" applyFont="1" applyFill="1"/>
    <xf numFmtId="0" fontId="0" fillId="16" borderId="0" xfId="0" applyFill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arketwatch.com/" TargetMode="External"/><Relationship Id="rId13" Type="http://schemas.openxmlformats.org/officeDocument/2006/relationships/hyperlink" Target="https://seekingalpha.com/" TargetMode="External"/><Relationship Id="rId18" Type="http://schemas.openxmlformats.org/officeDocument/2006/relationships/hyperlink" Target="https://www.worldbank.org/en/news" TargetMode="External"/><Relationship Id="rId26" Type="http://schemas.openxmlformats.org/officeDocument/2006/relationships/hyperlink" Target="https://www.ecb.europa.eu/press" TargetMode="External"/><Relationship Id="rId3" Type="http://schemas.openxmlformats.org/officeDocument/2006/relationships/hyperlink" Target="https://www.wsj.com/news/business" TargetMode="External"/><Relationship Id="rId21" Type="http://schemas.openxmlformats.org/officeDocument/2006/relationships/hyperlink" Target="https://www.federalreserve.gov/newsevents.htm" TargetMode="External"/><Relationship Id="rId7" Type="http://schemas.openxmlformats.org/officeDocument/2006/relationships/hyperlink" Target="https://www.cnbc.com/world/?region=world" TargetMode="External"/><Relationship Id="rId12" Type="http://schemas.openxmlformats.org/officeDocument/2006/relationships/hyperlink" Target="https://www.thestreet.com/" TargetMode="External"/><Relationship Id="rId17" Type="http://schemas.openxmlformats.org/officeDocument/2006/relationships/hyperlink" Target="https://www.imf.org/en/News" TargetMode="External"/><Relationship Id="rId25" Type="http://schemas.openxmlformats.org/officeDocument/2006/relationships/hyperlink" Target="https://www.bea.gov/news" TargetMode="External"/><Relationship Id="rId2" Type="http://schemas.openxmlformats.org/officeDocument/2006/relationships/hyperlink" Target="https://www.bloomberg.com/markets" TargetMode="External"/><Relationship Id="rId16" Type="http://schemas.openxmlformats.org/officeDocument/2006/relationships/hyperlink" Target="https://www.investors.com/" TargetMode="External"/><Relationship Id="rId20" Type="http://schemas.openxmlformats.org/officeDocument/2006/relationships/hyperlink" Target="https://www.bis.org/press/index.htm" TargetMode="External"/><Relationship Id="rId29" Type="http://schemas.openxmlformats.org/officeDocument/2006/relationships/hyperlink" Target="https://www.nasdaq.com/" TargetMode="External"/><Relationship Id="rId1" Type="http://schemas.openxmlformats.org/officeDocument/2006/relationships/hyperlink" Target="https://www.reuters.com/markets/" TargetMode="External"/><Relationship Id="rId6" Type="http://schemas.openxmlformats.org/officeDocument/2006/relationships/hyperlink" Target="https://apnews.com/business" TargetMode="External"/><Relationship Id="rId11" Type="http://schemas.openxmlformats.org/officeDocument/2006/relationships/hyperlink" Target="https://www.investing.com/news/" TargetMode="External"/><Relationship Id="rId24" Type="http://schemas.openxmlformats.org/officeDocument/2006/relationships/hyperlink" Target="https://www.bls.gov/news.release/" TargetMode="External"/><Relationship Id="rId5" Type="http://schemas.openxmlformats.org/officeDocument/2006/relationships/hyperlink" Target="https://www.dowjones.com/" TargetMode="External"/><Relationship Id="rId15" Type="http://schemas.openxmlformats.org/officeDocument/2006/relationships/hyperlink" Target="https://www.fool.com/" TargetMode="External"/><Relationship Id="rId23" Type="http://schemas.openxmlformats.org/officeDocument/2006/relationships/hyperlink" Target="https://www.sec.gov/newsroom" TargetMode="External"/><Relationship Id="rId28" Type="http://schemas.openxmlformats.org/officeDocument/2006/relationships/hyperlink" Target="https://tw.tradingview.com/" TargetMode="External"/><Relationship Id="rId10" Type="http://schemas.openxmlformats.org/officeDocument/2006/relationships/hyperlink" Target="https://finance.yahoo.com/" TargetMode="External"/><Relationship Id="rId19" Type="http://schemas.openxmlformats.org/officeDocument/2006/relationships/hyperlink" Target="https://www.oecd.org/newsroom/" TargetMode="External"/><Relationship Id="rId4" Type="http://schemas.openxmlformats.org/officeDocument/2006/relationships/hyperlink" Target="https://www.ft.com/markets" TargetMode="External"/><Relationship Id="rId9" Type="http://schemas.openxmlformats.org/officeDocument/2006/relationships/hyperlink" Target="https://www.barrons.com/" TargetMode="External"/><Relationship Id="rId14" Type="http://schemas.openxmlformats.org/officeDocument/2006/relationships/hyperlink" Target="https://www.benzinga.com/" TargetMode="External"/><Relationship Id="rId22" Type="http://schemas.openxmlformats.org/officeDocument/2006/relationships/hyperlink" Target="https://home.treasury.gov/news" TargetMode="External"/><Relationship Id="rId27" Type="http://schemas.openxmlformats.org/officeDocument/2006/relationships/hyperlink" Target="https://www.bankofengland.co.uk/new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Z999"/>
  <sheetViews>
    <sheetView tabSelected="1" topLeftCell="B1" workbookViewId="0">
      <pane ySplit="1" topLeftCell="A2" activePane="bottomLeft" state="frozen"/>
      <selection pane="bottomLeft" activeCell="H9" sqref="H9"/>
    </sheetView>
  </sheetViews>
  <sheetFormatPr defaultColWidth="14.44140625" defaultRowHeight="15" customHeight="1"/>
  <cols>
    <col min="1" max="1" width="11.44140625" customWidth="1"/>
    <col min="2" max="2" width="14.88671875" customWidth="1"/>
    <col min="3" max="3" width="27.6640625" customWidth="1"/>
    <col min="4" max="4" width="15.6640625" customWidth="1"/>
    <col min="5" max="5" width="6.44140625" customWidth="1"/>
    <col min="6" max="6" width="16.88671875" customWidth="1"/>
    <col min="7" max="7" width="20.109375" customWidth="1"/>
    <col min="8" max="8" width="81.109375" customWidth="1"/>
    <col min="9" max="9" width="38.109375" customWidth="1"/>
    <col min="10" max="10" width="13.88671875" customWidth="1"/>
    <col min="11" max="11" width="9.5546875" customWidth="1"/>
    <col min="12" max="12" width="12.44140625" customWidth="1"/>
    <col min="13" max="13" width="17.44140625" customWidth="1"/>
    <col min="14" max="14" width="22" customWidth="1"/>
    <col min="15" max="15" width="26.44140625" customWidth="1"/>
    <col min="16" max="23" width="8.6640625" customWidth="1"/>
  </cols>
  <sheetData>
    <row r="1" spans="1:23" ht="14.4">
      <c r="A1" s="1" t="s">
        <v>0</v>
      </c>
      <c r="B1" s="1" t="s">
        <v>3</v>
      </c>
      <c r="C1" s="4" t="s">
        <v>4</v>
      </c>
      <c r="D1" s="1" t="s">
        <v>8</v>
      </c>
      <c r="E1" s="7" t="s">
        <v>2</v>
      </c>
      <c r="F1" s="7" t="s">
        <v>17</v>
      </c>
      <c r="G1" s="1" t="s">
        <v>18</v>
      </c>
      <c r="H1" s="4" t="s">
        <v>19</v>
      </c>
      <c r="I1" s="1" t="s">
        <v>13</v>
      </c>
      <c r="J1" s="1" t="s">
        <v>21</v>
      </c>
      <c r="K1" s="1" t="s">
        <v>22</v>
      </c>
      <c r="L1" s="1" t="s">
        <v>23</v>
      </c>
      <c r="M1" s="1" t="s">
        <v>24</v>
      </c>
      <c r="N1" s="4" t="s">
        <v>388</v>
      </c>
      <c r="O1" s="1" t="s">
        <v>27</v>
      </c>
      <c r="P1" s="11"/>
      <c r="Q1" s="11"/>
      <c r="R1" s="11"/>
      <c r="S1" s="11"/>
      <c r="T1" s="11"/>
      <c r="U1" s="11"/>
      <c r="V1" s="11"/>
      <c r="W1" s="11"/>
    </row>
    <row r="2" spans="1:23" ht="14.4">
      <c r="A2" s="11" t="s">
        <v>30</v>
      </c>
      <c r="B2" s="11" t="s">
        <v>31</v>
      </c>
      <c r="C2" s="11" t="s">
        <v>32</v>
      </c>
      <c r="D2" s="11" t="s">
        <v>33</v>
      </c>
      <c r="E2" s="11">
        <v>5</v>
      </c>
      <c r="F2" s="11">
        <v>100</v>
      </c>
      <c r="G2" s="11" t="s">
        <v>34</v>
      </c>
      <c r="H2" s="11" t="s">
        <v>35</v>
      </c>
      <c r="I2" s="11" t="s">
        <v>28</v>
      </c>
      <c r="J2" s="11">
        <v>30</v>
      </c>
      <c r="K2" s="11" t="str">
        <f t="shared" ref="K2:K46" si="0">IF(ISNUMBER(FIND("通知",I2)),"Y","N")</f>
        <v>Y</v>
      </c>
      <c r="L2" s="11" t="str">
        <f t="shared" ref="L2:L46" si="1">IF(OR(ISNUMBER(FIND("持續追蹤",I2)),ISNUMBER(FIND("加入觀察",I2))),"Y","N")</f>
        <v>Y</v>
      </c>
      <c r="M2" s="11" t="str">
        <f t="shared" ref="M2:M46" si="2">IF(ISNUMBER(FIND("檢視",I2)),"Y","N")</f>
        <v>Y</v>
      </c>
      <c r="N2" s="11" t="s">
        <v>46</v>
      </c>
      <c r="O2" s="11" t="s">
        <v>33</v>
      </c>
      <c r="P2" s="11"/>
      <c r="Q2" s="11"/>
      <c r="R2" s="11"/>
      <c r="S2" s="11"/>
      <c r="T2" s="11"/>
      <c r="U2" s="11"/>
      <c r="V2" s="11"/>
      <c r="W2" s="11"/>
    </row>
    <row r="3" spans="1:23" ht="14.4">
      <c r="A3" s="11" t="s">
        <v>47</v>
      </c>
      <c r="B3" s="11" t="s">
        <v>31</v>
      </c>
      <c r="C3" s="11" t="s">
        <v>48</v>
      </c>
      <c r="D3" s="11" t="s">
        <v>49</v>
      </c>
      <c r="E3" s="11">
        <v>5</v>
      </c>
      <c r="F3" s="11">
        <v>99</v>
      </c>
      <c r="G3" s="11" t="s">
        <v>34</v>
      </c>
      <c r="H3" s="11" t="s">
        <v>50</v>
      </c>
      <c r="I3" s="11" t="s">
        <v>28</v>
      </c>
      <c r="J3" s="11">
        <v>30</v>
      </c>
      <c r="K3" s="11" t="str">
        <f t="shared" si="0"/>
        <v>Y</v>
      </c>
      <c r="L3" s="11" t="str">
        <f t="shared" si="1"/>
        <v>Y</v>
      </c>
      <c r="M3" s="11" t="str">
        <f t="shared" si="2"/>
        <v>Y</v>
      </c>
      <c r="N3" s="11" t="s">
        <v>51</v>
      </c>
      <c r="O3" s="11" t="s">
        <v>49</v>
      </c>
      <c r="P3" s="11"/>
      <c r="Q3" s="11"/>
      <c r="R3" s="11"/>
      <c r="S3" s="11"/>
      <c r="T3" s="11"/>
      <c r="U3" s="11"/>
      <c r="V3" s="11"/>
      <c r="W3" s="11"/>
    </row>
    <row r="4" spans="1:23" ht="14.4">
      <c r="A4" s="11" t="s">
        <v>52</v>
      </c>
      <c r="B4" s="11" t="s">
        <v>31</v>
      </c>
      <c r="C4" s="11" t="s">
        <v>53</v>
      </c>
      <c r="D4" s="11" t="s">
        <v>54</v>
      </c>
      <c r="E4" s="11">
        <v>5</v>
      </c>
      <c r="F4" s="11">
        <v>99</v>
      </c>
      <c r="G4" s="11" t="s">
        <v>34</v>
      </c>
      <c r="H4" s="11" t="s">
        <v>55</v>
      </c>
      <c r="I4" s="11" t="s">
        <v>28</v>
      </c>
      <c r="J4" s="11">
        <v>30</v>
      </c>
      <c r="K4" s="11" t="str">
        <f t="shared" si="0"/>
        <v>Y</v>
      </c>
      <c r="L4" s="11" t="str">
        <f t="shared" si="1"/>
        <v>Y</v>
      </c>
      <c r="M4" s="11" t="str">
        <f t="shared" si="2"/>
        <v>Y</v>
      </c>
      <c r="N4" s="11" t="s">
        <v>51</v>
      </c>
      <c r="O4" s="11" t="s">
        <v>54</v>
      </c>
      <c r="P4" s="11"/>
      <c r="Q4" s="11"/>
      <c r="R4" s="11"/>
      <c r="S4" s="11"/>
      <c r="T4" s="11"/>
      <c r="U4" s="11"/>
      <c r="V4" s="11"/>
      <c r="W4" s="11"/>
    </row>
    <row r="5" spans="1:23" ht="14.4">
      <c r="A5" s="11" t="s">
        <v>56</v>
      </c>
      <c r="B5" s="11" t="s">
        <v>57</v>
      </c>
      <c r="C5" s="11" t="s">
        <v>58</v>
      </c>
      <c r="D5" s="11" t="s">
        <v>59</v>
      </c>
      <c r="E5" s="11">
        <v>5</v>
      </c>
      <c r="F5" s="11">
        <v>98</v>
      </c>
      <c r="G5" s="11" t="s">
        <v>34</v>
      </c>
      <c r="H5" s="11" t="s">
        <v>60</v>
      </c>
      <c r="I5" s="11" t="s">
        <v>28</v>
      </c>
      <c r="J5" s="11">
        <v>30</v>
      </c>
      <c r="K5" s="11" t="str">
        <f t="shared" si="0"/>
        <v>Y</v>
      </c>
      <c r="L5" s="11" t="str">
        <f t="shared" si="1"/>
        <v>Y</v>
      </c>
      <c r="M5" s="11" t="str">
        <f t="shared" si="2"/>
        <v>Y</v>
      </c>
      <c r="N5" s="11" t="s">
        <v>51</v>
      </c>
      <c r="O5" s="11" t="s">
        <v>59</v>
      </c>
      <c r="P5" s="11"/>
      <c r="Q5" s="11"/>
      <c r="R5" s="11"/>
      <c r="S5" s="11"/>
      <c r="T5" s="11"/>
      <c r="U5" s="11"/>
      <c r="V5" s="11"/>
      <c r="W5" s="11"/>
    </row>
    <row r="6" spans="1:23" ht="14.4">
      <c r="A6" s="11" t="s">
        <v>61</v>
      </c>
      <c r="B6" s="11" t="s">
        <v>31</v>
      </c>
      <c r="C6" s="11" t="s">
        <v>62</v>
      </c>
      <c r="D6" s="11" t="s">
        <v>63</v>
      </c>
      <c r="E6" s="11">
        <v>5</v>
      </c>
      <c r="F6" s="11">
        <v>98</v>
      </c>
      <c r="G6" s="11" t="s">
        <v>34</v>
      </c>
      <c r="H6" s="11" t="s">
        <v>64</v>
      </c>
      <c r="I6" s="11" t="s">
        <v>28</v>
      </c>
      <c r="J6" s="11">
        <v>30</v>
      </c>
      <c r="K6" s="11" t="str">
        <f t="shared" si="0"/>
        <v>Y</v>
      </c>
      <c r="L6" s="11" t="str">
        <f t="shared" si="1"/>
        <v>Y</v>
      </c>
      <c r="M6" s="11" t="str">
        <f t="shared" si="2"/>
        <v>Y</v>
      </c>
      <c r="N6" s="11" t="s">
        <v>51</v>
      </c>
      <c r="O6" s="11" t="s">
        <v>65</v>
      </c>
      <c r="P6" s="11"/>
      <c r="Q6" s="11"/>
      <c r="R6" s="11"/>
      <c r="S6" s="11"/>
      <c r="T6" s="11"/>
      <c r="U6" s="11"/>
      <c r="V6" s="11"/>
      <c r="W6" s="11"/>
    </row>
    <row r="7" spans="1:23" ht="14.4">
      <c r="A7" s="11" t="s">
        <v>66</v>
      </c>
      <c r="B7" s="11" t="s">
        <v>57</v>
      </c>
      <c r="C7" s="11" t="s">
        <v>67</v>
      </c>
      <c r="D7" s="11" t="s">
        <v>68</v>
      </c>
      <c r="E7" s="11">
        <v>5</v>
      </c>
      <c r="F7" s="11">
        <v>97</v>
      </c>
      <c r="G7" s="11" t="s">
        <v>34</v>
      </c>
      <c r="H7" s="11" t="s">
        <v>69</v>
      </c>
      <c r="I7" s="11" t="s">
        <v>28</v>
      </c>
      <c r="J7" s="11">
        <v>30</v>
      </c>
      <c r="K7" s="11" t="str">
        <f t="shared" si="0"/>
        <v>Y</v>
      </c>
      <c r="L7" s="11" t="str">
        <f t="shared" si="1"/>
        <v>Y</v>
      </c>
      <c r="M7" s="11" t="str">
        <f t="shared" si="2"/>
        <v>Y</v>
      </c>
      <c r="N7" s="11" t="s">
        <v>51</v>
      </c>
      <c r="O7" s="11" t="s">
        <v>68</v>
      </c>
      <c r="P7" s="11"/>
      <c r="Q7" s="11"/>
      <c r="R7" s="11"/>
      <c r="S7" s="11"/>
      <c r="T7" s="11"/>
      <c r="U7" s="11"/>
      <c r="V7" s="11"/>
      <c r="W7" s="11"/>
    </row>
    <row r="8" spans="1:23" ht="14.4">
      <c r="A8" s="11" t="s">
        <v>70</v>
      </c>
      <c r="B8" s="11" t="s">
        <v>31</v>
      </c>
      <c r="C8" s="11" t="s">
        <v>71</v>
      </c>
      <c r="D8" s="11" t="s">
        <v>72</v>
      </c>
      <c r="E8" s="11">
        <v>5</v>
      </c>
      <c r="F8" s="11">
        <v>97</v>
      </c>
      <c r="G8" s="11" t="s">
        <v>34</v>
      </c>
      <c r="H8" s="11" t="s">
        <v>73</v>
      </c>
      <c r="I8" s="11" t="s">
        <v>28</v>
      </c>
      <c r="J8" s="11">
        <v>30</v>
      </c>
      <c r="K8" s="11" t="str">
        <f t="shared" si="0"/>
        <v>Y</v>
      </c>
      <c r="L8" s="11" t="str">
        <f t="shared" si="1"/>
        <v>Y</v>
      </c>
      <c r="M8" s="11" t="str">
        <f t="shared" si="2"/>
        <v>Y</v>
      </c>
      <c r="N8" s="11" t="s">
        <v>51</v>
      </c>
      <c r="O8" s="11" t="s">
        <v>74</v>
      </c>
      <c r="P8" s="11"/>
      <c r="Q8" s="11"/>
      <c r="R8" s="11"/>
      <c r="S8" s="11"/>
      <c r="T8" s="11"/>
      <c r="U8" s="11"/>
      <c r="V8" s="11"/>
      <c r="W8" s="11"/>
    </row>
    <row r="9" spans="1:23" ht="14.4">
      <c r="A9" s="11" t="s">
        <v>75</v>
      </c>
      <c r="B9" s="11" t="s">
        <v>57</v>
      </c>
      <c r="C9" s="11" t="s">
        <v>76</v>
      </c>
      <c r="D9" s="11" t="s">
        <v>77</v>
      </c>
      <c r="E9" s="11">
        <v>4</v>
      </c>
      <c r="F9" s="11">
        <v>96</v>
      </c>
      <c r="G9" s="11" t="s">
        <v>34</v>
      </c>
      <c r="H9" s="11" t="s">
        <v>392</v>
      </c>
      <c r="I9" s="11" t="s">
        <v>28</v>
      </c>
      <c r="J9" s="11">
        <v>20</v>
      </c>
      <c r="K9" s="11" t="str">
        <f t="shared" si="0"/>
        <v>Y</v>
      </c>
      <c r="L9" s="11" t="str">
        <f t="shared" si="1"/>
        <v>Y</v>
      </c>
      <c r="M9" s="11" t="str">
        <f t="shared" si="2"/>
        <v>Y</v>
      </c>
      <c r="N9" s="11" t="s">
        <v>78</v>
      </c>
      <c r="O9" s="11" t="s">
        <v>79</v>
      </c>
      <c r="P9" s="11"/>
      <c r="Q9" s="11"/>
      <c r="R9" s="11"/>
      <c r="S9" s="11"/>
      <c r="T9" s="11"/>
      <c r="U9" s="11"/>
      <c r="V9" s="11"/>
      <c r="W9" s="11"/>
    </row>
    <row r="10" spans="1:23" ht="14.4">
      <c r="A10" s="11" t="s">
        <v>80</v>
      </c>
      <c r="B10" s="11" t="s">
        <v>57</v>
      </c>
      <c r="C10" s="11" t="s">
        <v>81</v>
      </c>
      <c r="D10" s="11" t="s">
        <v>82</v>
      </c>
      <c r="E10" s="11">
        <v>4</v>
      </c>
      <c r="F10" s="11">
        <v>95</v>
      </c>
      <c r="G10" s="11" t="s">
        <v>34</v>
      </c>
      <c r="H10" s="11" t="s">
        <v>83</v>
      </c>
      <c r="I10" s="11" t="s">
        <v>28</v>
      </c>
      <c r="J10" s="11">
        <v>20</v>
      </c>
      <c r="K10" s="11" t="str">
        <f t="shared" si="0"/>
        <v>Y</v>
      </c>
      <c r="L10" s="11" t="str">
        <f t="shared" si="1"/>
        <v>Y</v>
      </c>
      <c r="M10" s="11" t="str">
        <f t="shared" si="2"/>
        <v>Y</v>
      </c>
      <c r="N10" s="11" t="s">
        <v>84</v>
      </c>
      <c r="O10" s="11" t="s">
        <v>85</v>
      </c>
      <c r="P10" s="11"/>
      <c r="Q10" s="11"/>
      <c r="R10" s="11"/>
      <c r="S10" s="11"/>
      <c r="T10" s="11"/>
      <c r="U10" s="11"/>
      <c r="V10" s="11"/>
      <c r="W10" s="11"/>
    </row>
    <row r="11" spans="1:23" ht="14.4">
      <c r="A11" s="11" t="s">
        <v>86</v>
      </c>
      <c r="B11" s="11" t="s">
        <v>57</v>
      </c>
      <c r="C11" s="11" t="s">
        <v>87</v>
      </c>
      <c r="D11" s="11" t="s">
        <v>88</v>
      </c>
      <c r="E11" s="11">
        <v>4</v>
      </c>
      <c r="F11" s="11">
        <v>93</v>
      </c>
      <c r="G11" s="11" t="s">
        <v>34</v>
      </c>
      <c r="H11" s="11" t="s">
        <v>89</v>
      </c>
      <c r="I11" s="11" t="s">
        <v>28</v>
      </c>
      <c r="J11" s="11">
        <v>20</v>
      </c>
      <c r="K11" s="11" t="str">
        <f t="shared" si="0"/>
        <v>Y</v>
      </c>
      <c r="L11" s="11" t="str">
        <f t="shared" si="1"/>
        <v>Y</v>
      </c>
      <c r="M11" s="11" t="str">
        <f t="shared" si="2"/>
        <v>Y</v>
      </c>
      <c r="N11" s="11" t="s">
        <v>90</v>
      </c>
      <c r="O11" s="11" t="s">
        <v>91</v>
      </c>
      <c r="P11" s="11"/>
      <c r="Q11" s="11"/>
      <c r="R11" s="11"/>
      <c r="S11" s="11"/>
      <c r="T11" s="11"/>
      <c r="U11" s="11"/>
      <c r="V11" s="11"/>
      <c r="W11" s="11"/>
    </row>
    <row r="12" spans="1:23" ht="14.4">
      <c r="A12" s="11" t="s">
        <v>92</v>
      </c>
      <c r="B12" s="11" t="s">
        <v>57</v>
      </c>
      <c r="C12" s="11" t="s">
        <v>93</v>
      </c>
      <c r="D12" s="11" t="s">
        <v>94</v>
      </c>
      <c r="E12" s="11">
        <v>4</v>
      </c>
      <c r="F12" s="11">
        <v>93</v>
      </c>
      <c r="G12" s="11" t="s">
        <v>34</v>
      </c>
      <c r="H12" s="11" t="s">
        <v>95</v>
      </c>
      <c r="I12" s="11" t="s">
        <v>28</v>
      </c>
      <c r="J12" s="11">
        <v>20</v>
      </c>
      <c r="K12" s="11" t="str">
        <f t="shared" si="0"/>
        <v>Y</v>
      </c>
      <c r="L12" s="11" t="str">
        <f t="shared" si="1"/>
        <v>Y</v>
      </c>
      <c r="M12" s="11" t="str">
        <f t="shared" si="2"/>
        <v>Y</v>
      </c>
      <c r="N12" s="11" t="s">
        <v>96</v>
      </c>
      <c r="O12" s="11" t="s">
        <v>94</v>
      </c>
      <c r="P12" s="11"/>
      <c r="Q12" s="11"/>
      <c r="R12" s="11"/>
      <c r="S12" s="11"/>
      <c r="T12" s="11"/>
      <c r="U12" s="11"/>
      <c r="V12" s="11"/>
      <c r="W12" s="11"/>
    </row>
    <row r="13" spans="1:23" ht="14.4">
      <c r="A13" s="11" t="s">
        <v>97</v>
      </c>
      <c r="B13" s="11" t="s">
        <v>98</v>
      </c>
      <c r="C13" s="11" t="s">
        <v>99</v>
      </c>
      <c r="D13" s="11" t="s">
        <v>100</v>
      </c>
      <c r="E13" s="11">
        <v>4</v>
      </c>
      <c r="F13" s="11">
        <v>92</v>
      </c>
      <c r="G13" s="11" t="s">
        <v>34</v>
      </c>
      <c r="H13" s="11" t="s">
        <v>101</v>
      </c>
      <c r="I13" s="11" t="s">
        <v>28</v>
      </c>
      <c r="J13" s="11">
        <v>20</v>
      </c>
      <c r="K13" s="11" t="str">
        <f t="shared" si="0"/>
        <v>Y</v>
      </c>
      <c r="L13" s="11" t="str">
        <f t="shared" si="1"/>
        <v>Y</v>
      </c>
      <c r="M13" s="11" t="str">
        <f t="shared" si="2"/>
        <v>Y</v>
      </c>
      <c r="N13" s="11" t="s">
        <v>51</v>
      </c>
      <c r="O13" s="11" t="s">
        <v>102</v>
      </c>
      <c r="P13" s="11"/>
      <c r="Q13" s="11"/>
      <c r="R13" s="11"/>
      <c r="S13" s="11"/>
      <c r="T13" s="11"/>
      <c r="U13" s="11"/>
      <c r="V13" s="11"/>
      <c r="W13" s="11"/>
    </row>
    <row r="14" spans="1:23" ht="14.4">
      <c r="A14" s="11" t="s">
        <v>103</v>
      </c>
      <c r="B14" s="11" t="s">
        <v>98</v>
      </c>
      <c r="C14" s="11" t="s">
        <v>104</v>
      </c>
      <c r="D14" s="11" t="s">
        <v>105</v>
      </c>
      <c r="E14" s="11">
        <v>4</v>
      </c>
      <c r="F14" s="11">
        <v>92</v>
      </c>
      <c r="G14" s="11" t="s">
        <v>34</v>
      </c>
      <c r="H14" s="11" t="s">
        <v>106</v>
      </c>
      <c r="I14" s="11" t="s">
        <v>28</v>
      </c>
      <c r="J14" s="11">
        <v>20</v>
      </c>
      <c r="K14" s="11" t="str">
        <f t="shared" si="0"/>
        <v>Y</v>
      </c>
      <c r="L14" s="11" t="str">
        <f t="shared" si="1"/>
        <v>Y</v>
      </c>
      <c r="M14" s="11" t="str">
        <f t="shared" si="2"/>
        <v>Y</v>
      </c>
      <c r="N14" s="11" t="s">
        <v>51</v>
      </c>
      <c r="O14" s="11" t="s">
        <v>107</v>
      </c>
      <c r="P14" s="11"/>
      <c r="Q14" s="11"/>
      <c r="R14" s="11"/>
      <c r="S14" s="11"/>
      <c r="T14" s="11"/>
      <c r="U14" s="11"/>
      <c r="V14" s="11"/>
      <c r="W14" s="11"/>
    </row>
    <row r="15" spans="1:23" ht="14.4">
      <c r="A15" s="11" t="s">
        <v>108</v>
      </c>
      <c r="B15" s="11" t="s">
        <v>109</v>
      </c>
      <c r="C15" s="11" t="s">
        <v>110</v>
      </c>
      <c r="D15" s="11" t="s">
        <v>111</v>
      </c>
      <c r="E15" s="11">
        <v>4</v>
      </c>
      <c r="F15" s="11">
        <v>91</v>
      </c>
      <c r="G15" s="11" t="s">
        <v>34</v>
      </c>
      <c r="H15" s="11" t="s">
        <v>112</v>
      </c>
      <c r="I15" s="11" t="s">
        <v>28</v>
      </c>
      <c r="J15" s="11">
        <v>20</v>
      </c>
      <c r="K15" s="11" t="str">
        <f t="shared" si="0"/>
        <v>Y</v>
      </c>
      <c r="L15" s="11" t="str">
        <f t="shared" si="1"/>
        <v>Y</v>
      </c>
      <c r="M15" s="11" t="str">
        <f t="shared" si="2"/>
        <v>Y</v>
      </c>
      <c r="N15" s="11" t="s">
        <v>51</v>
      </c>
      <c r="O15" s="11" t="s">
        <v>111</v>
      </c>
      <c r="P15" s="11"/>
      <c r="Q15" s="11"/>
      <c r="R15" s="11"/>
      <c r="S15" s="11"/>
      <c r="T15" s="11"/>
      <c r="U15" s="11"/>
      <c r="V15" s="11"/>
      <c r="W15" s="11"/>
    </row>
    <row r="16" spans="1:23" ht="14.4">
      <c r="A16" s="11" t="s">
        <v>113</v>
      </c>
      <c r="B16" s="11" t="s">
        <v>31</v>
      </c>
      <c r="C16" s="11" t="s">
        <v>114</v>
      </c>
      <c r="D16" s="11" t="s">
        <v>115</v>
      </c>
      <c r="E16" s="11">
        <v>4</v>
      </c>
      <c r="F16" s="11">
        <v>90</v>
      </c>
      <c r="G16" s="11" t="s">
        <v>116</v>
      </c>
      <c r="H16" s="11" t="s">
        <v>117</v>
      </c>
      <c r="I16" s="11" t="s">
        <v>28</v>
      </c>
      <c r="J16" s="11">
        <v>20</v>
      </c>
      <c r="K16" s="11" t="str">
        <f t="shared" si="0"/>
        <v>Y</v>
      </c>
      <c r="L16" s="11" t="str">
        <f t="shared" si="1"/>
        <v>Y</v>
      </c>
      <c r="M16" s="11" t="str">
        <f t="shared" si="2"/>
        <v>Y</v>
      </c>
      <c r="N16" s="11" t="s">
        <v>51</v>
      </c>
      <c r="O16" s="11" t="s">
        <v>118</v>
      </c>
      <c r="P16" s="11"/>
      <c r="Q16" s="11"/>
      <c r="R16" s="11"/>
      <c r="S16" s="11"/>
      <c r="T16" s="11"/>
      <c r="U16" s="11"/>
      <c r="V16" s="11"/>
      <c r="W16" s="11"/>
    </row>
    <row r="17" spans="1:23" ht="14.4">
      <c r="A17" s="11" t="s">
        <v>119</v>
      </c>
      <c r="B17" s="11" t="s">
        <v>31</v>
      </c>
      <c r="C17" s="11" t="s">
        <v>120</v>
      </c>
      <c r="D17" s="11" t="s">
        <v>121</v>
      </c>
      <c r="E17" s="11">
        <v>4</v>
      </c>
      <c r="F17" s="11">
        <v>94</v>
      </c>
      <c r="G17" s="11" t="s">
        <v>116</v>
      </c>
      <c r="H17" s="11" t="s">
        <v>122</v>
      </c>
      <c r="I17" s="11" t="s">
        <v>28</v>
      </c>
      <c r="J17" s="11">
        <v>15</v>
      </c>
      <c r="K17" s="11" t="str">
        <f t="shared" si="0"/>
        <v>Y</v>
      </c>
      <c r="L17" s="11" t="str">
        <f t="shared" si="1"/>
        <v>Y</v>
      </c>
      <c r="M17" s="11" t="str">
        <f t="shared" si="2"/>
        <v>Y</v>
      </c>
      <c r="N17" s="11" t="s">
        <v>51</v>
      </c>
      <c r="O17" s="11" t="s">
        <v>121</v>
      </c>
      <c r="P17" s="11"/>
      <c r="Q17" s="11"/>
      <c r="R17" s="11"/>
      <c r="S17" s="11"/>
      <c r="T17" s="11"/>
      <c r="U17" s="11"/>
      <c r="V17" s="11"/>
      <c r="W17" s="11"/>
    </row>
    <row r="18" spans="1:23" ht="14.4">
      <c r="A18" s="11" t="s">
        <v>123</v>
      </c>
      <c r="B18" s="11" t="s">
        <v>57</v>
      </c>
      <c r="C18" s="11" t="s">
        <v>124</v>
      </c>
      <c r="D18" s="11" t="s">
        <v>125</v>
      </c>
      <c r="E18" s="11">
        <v>4</v>
      </c>
      <c r="F18" s="11">
        <v>92</v>
      </c>
      <c r="G18" s="11" t="s">
        <v>34</v>
      </c>
      <c r="H18" s="11" t="s">
        <v>126</v>
      </c>
      <c r="I18" s="11" t="s">
        <v>28</v>
      </c>
      <c r="J18" s="11">
        <v>15</v>
      </c>
      <c r="K18" s="11" t="str">
        <f t="shared" si="0"/>
        <v>Y</v>
      </c>
      <c r="L18" s="11" t="str">
        <f t="shared" si="1"/>
        <v>Y</v>
      </c>
      <c r="M18" s="11" t="str">
        <f t="shared" si="2"/>
        <v>Y</v>
      </c>
      <c r="N18" s="11" t="s">
        <v>51</v>
      </c>
      <c r="O18" s="11" t="s">
        <v>127</v>
      </c>
      <c r="P18" s="11"/>
      <c r="Q18" s="11"/>
      <c r="R18" s="11"/>
      <c r="S18" s="11"/>
      <c r="T18" s="11"/>
      <c r="U18" s="11"/>
      <c r="V18" s="11"/>
      <c r="W18" s="11"/>
    </row>
    <row r="19" spans="1:23" ht="14.4">
      <c r="A19" s="11" t="s">
        <v>128</v>
      </c>
      <c r="B19" s="11" t="s">
        <v>31</v>
      </c>
      <c r="C19" s="11" t="s">
        <v>26</v>
      </c>
      <c r="D19" s="11" t="s">
        <v>129</v>
      </c>
      <c r="E19" s="11">
        <v>4</v>
      </c>
      <c r="F19" s="11">
        <v>92</v>
      </c>
      <c r="G19" s="11" t="s">
        <v>116</v>
      </c>
      <c r="H19" s="11" t="s">
        <v>130</v>
      </c>
      <c r="I19" s="11" t="s">
        <v>28</v>
      </c>
      <c r="J19" s="11">
        <v>15</v>
      </c>
      <c r="K19" s="11" t="str">
        <f t="shared" si="0"/>
        <v>Y</v>
      </c>
      <c r="L19" s="11" t="str">
        <f t="shared" si="1"/>
        <v>Y</v>
      </c>
      <c r="M19" s="11" t="str">
        <f t="shared" si="2"/>
        <v>Y</v>
      </c>
      <c r="N19" s="11" t="s">
        <v>131</v>
      </c>
      <c r="O19" s="11" t="s">
        <v>132</v>
      </c>
      <c r="P19" s="11"/>
      <c r="Q19" s="11"/>
      <c r="R19" s="11"/>
      <c r="S19" s="11"/>
      <c r="T19" s="11"/>
      <c r="U19" s="11"/>
      <c r="V19" s="11"/>
      <c r="W19" s="11"/>
    </row>
    <row r="20" spans="1:23" ht="14.4">
      <c r="A20" s="11" t="s">
        <v>133</v>
      </c>
      <c r="B20" s="11" t="s">
        <v>98</v>
      </c>
      <c r="C20" s="11" t="s">
        <v>134</v>
      </c>
      <c r="D20" s="11" t="s">
        <v>135</v>
      </c>
      <c r="E20" s="11">
        <v>4</v>
      </c>
      <c r="F20" s="11">
        <v>91</v>
      </c>
      <c r="G20" s="11" t="s">
        <v>34</v>
      </c>
      <c r="H20" s="11" t="s">
        <v>136</v>
      </c>
      <c r="I20" s="11" t="s">
        <v>28</v>
      </c>
      <c r="J20" s="11">
        <v>15</v>
      </c>
      <c r="K20" s="11" t="str">
        <f t="shared" si="0"/>
        <v>Y</v>
      </c>
      <c r="L20" s="11" t="str">
        <f t="shared" si="1"/>
        <v>Y</v>
      </c>
      <c r="M20" s="11" t="str">
        <f t="shared" si="2"/>
        <v>Y</v>
      </c>
      <c r="N20" s="11" t="s">
        <v>51</v>
      </c>
      <c r="O20" s="11" t="s">
        <v>137</v>
      </c>
      <c r="P20" s="11"/>
      <c r="Q20" s="11"/>
      <c r="R20" s="11"/>
      <c r="S20" s="11"/>
      <c r="T20" s="11"/>
      <c r="U20" s="11"/>
      <c r="V20" s="11"/>
      <c r="W20" s="11"/>
    </row>
    <row r="21" spans="1:23" ht="15.75" customHeight="1">
      <c r="A21" s="11" t="s">
        <v>138</v>
      </c>
      <c r="B21" s="11" t="s">
        <v>139</v>
      </c>
      <c r="C21" s="11" t="s">
        <v>140</v>
      </c>
      <c r="D21" s="11" t="s">
        <v>141</v>
      </c>
      <c r="E21" s="11">
        <v>4</v>
      </c>
      <c r="F21" s="11">
        <v>90</v>
      </c>
      <c r="G21" s="11" t="s">
        <v>34</v>
      </c>
      <c r="H21" s="11" t="s">
        <v>142</v>
      </c>
      <c r="I21" s="11" t="s">
        <v>28</v>
      </c>
      <c r="J21" s="11">
        <v>15</v>
      </c>
      <c r="K21" s="11" t="str">
        <f t="shared" si="0"/>
        <v>Y</v>
      </c>
      <c r="L21" s="11" t="str">
        <f t="shared" si="1"/>
        <v>Y</v>
      </c>
      <c r="M21" s="11" t="str">
        <f t="shared" si="2"/>
        <v>Y</v>
      </c>
      <c r="N21" s="11" t="s">
        <v>51</v>
      </c>
      <c r="O21" s="11" t="s">
        <v>143</v>
      </c>
      <c r="P21" s="11"/>
      <c r="Q21" s="11"/>
      <c r="R21" s="11"/>
      <c r="S21" s="11"/>
      <c r="T21" s="11"/>
      <c r="U21" s="11"/>
      <c r="V21" s="11"/>
      <c r="W21" s="11"/>
    </row>
    <row r="22" spans="1:23" ht="15.75" customHeight="1">
      <c r="A22" s="11" t="s">
        <v>144</v>
      </c>
      <c r="B22" s="11" t="s">
        <v>139</v>
      </c>
      <c r="C22" s="11" t="s">
        <v>145</v>
      </c>
      <c r="D22" s="11" t="s">
        <v>146</v>
      </c>
      <c r="E22" s="11">
        <v>3</v>
      </c>
      <c r="F22" s="11">
        <v>89</v>
      </c>
      <c r="G22" s="11" t="s">
        <v>34</v>
      </c>
      <c r="H22" s="11" t="s">
        <v>147</v>
      </c>
      <c r="I22" s="11" t="s">
        <v>38</v>
      </c>
      <c r="J22" s="11">
        <v>15</v>
      </c>
      <c r="K22" s="11" t="str">
        <f t="shared" si="0"/>
        <v>Y</v>
      </c>
      <c r="L22" s="11" t="str">
        <f t="shared" si="1"/>
        <v>Y</v>
      </c>
      <c r="M22" s="11" t="str">
        <f t="shared" si="2"/>
        <v>Y</v>
      </c>
      <c r="N22" s="11" t="s">
        <v>51</v>
      </c>
      <c r="O22" s="11" t="s">
        <v>148</v>
      </c>
      <c r="P22" s="11"/>
      <c r="Q22" s="11"/>
      <c r="R22" s="11"/>
      <c r="S22" s="11"/>
      <c r="T22" s="11"/>
      <c r="U22" s="11"/>
      <c r="V22" s="11"/>
      <c r="W22" s="11"/>
    </row>
    <row r="23" spans="1:23" ht="15.75" customHeight="1">
      <c r="A23" s="11" t="s">
        <v>149</v>
      </c>
      <c r="B23" s="11" t="s">
        <v>150</v>
      </c>
      <c r="C23" s="11" t="s">
        <v>151</v>
      </c>
      <c r="D23" s="11" t="s">
        <v>152</v>
      </c>
      <c r="E23" s="11">
        <v>3</v>
      </c>
      <c r="F23" s="11">
        <v>89</v>
      </c>
      <c r="G23" s="11" t="s">
        <v>34</v>
      </c>
      <c r="H23" s="11" t="s">
        <v>153</v>
      </c>
      <c r="I23" s="11" t="s">
        <v>38</v>
      </c>
      <c r="J23" s="11">
        <v>15</v>
      </c>
      <c r="K23" s="11" t="str">
        <f t="shared" si="0"/>
        <v>Y</v>
      </c>
      <c r="L23" s="11" t="str">
        <f t="shared" si="1"/>
        <v>Y</v>
      </c>
      <c r="M23" s="11" t="str">
        <f t="shared" si="2"/>
        <v>Y</v>
      </c>
      <c r="N23" s="11" t="s">
        <v>51</v>
      </c>
      <c r="O23" s="11" t="s">
        <v>154</v>
      </c>
      <c r="P23" s="11"/>
      <c r="Q23" s="11"/>
      <c r="R23" s="11"/>
      <c r="S23" s="11"/>
      <c r="T23" s="11"/>
      <c r="U23" s="11"/>
      <c r="V23" s="11"/>
      <c r="W23" s="11"/>
    </row>
    <row r="24" spans="1:23" ht="15.75" customHeight="1">
      <c r="A24" s="11" t="s">
        <v>155</v>
      </c>
      <c r="B24" s="11" t="s">
        <v>150</v>
      </c>
      <c r="C24" s="11" t="s">
        <v>156</v>
      </c>
      <c r="D24" s="11" t="s">
        <v>157</v>
      </c>
      <c r="E24" s="11">
        <v>3</v>
      </c>
      <c r="F24" s="11">
        <v>89</v>
      </c>
      <c r="G24" s="11" t="s">
        <v>34</v>
      </c>
      <c r="H24" s="11" t="s">
        <v>158</v>
      </c>
      <c r="I24" s="11" t="s">
        <v>38</v>
      </c>
      <c r="J24" s="11">
        <v>15</v>
      </c>
      <c r="K24" s="11" t="str">
        <f t="shared" si="0"/>
        <v>Y</v>
      </c>
      <c r="L24" s="11" t="str">
        <f t="shared" si="1"/>
        <v>Y</v>
      </c>
      <c r="M24" s="11" t="str">
        <f t="shared" si="2"/>
        <v>Y</v>
      </c>
      <c r="N24" s="11" t="s">
        <v>51</v>
      </c>
      <c r="O24" s="11" t="s">
        <v>159</v>
      </c>
      <c r="P24" s="11"/>
      <c r="Q24" s="11"/>
      <c r="R24" s="11"/>
      <c r="S24" s="11"/>
      <c r="T24" s="11"/>
      <c r="U24" s="11"/>
      <c r="V24" s="11"/>
      <c r="W24" s="11"/>
    </row>
    <row r="25" spans="1:23" ht="15.75" customHeight="1">
      <c r="A25" s="11" t="s">
        <v>160</v>
      </c>
      <c r="B25" s="11" t="s">
        <v>31</v>
      </c>
      <c r="C25" s="11" t="s">
        <v>161</v>
      </c>
      <c r="D25" s="11" t="s">
        <v>162</v>
      </c>
      <c r="E25" s="11">
        <v>3</v>
      </c>
      <c r="F25" s="11">
        <v>90</v>
      </c>
      <c r="G25" s="11" t="s">
        <v>116</v>
      </c>
      <c r="H25" s="11" t="s">
        <v>163</v>
      </c>
      <c r="I25" s="11" t="s">
        <v>38</v>
      </c>
      <c r="J25" s="11">
        <v>10</v>
      </c>
      <c r="K25" s="11" t="str">
        <f t="shared" si="0"/>
        <v>Y</v>
      </c>
      <c r="L25" s="11" t="str">
        <f t="shared" si="1"/>
        <v>Y</v>
      </c>
      <c r="M25" s="11" t="str">
        <f t="shared" si="2"/>
        <v>Y</v>
      </c>
      <c r="N25" s="11" t="s">
        <v>51</v>
      </c>
      <c r="O25" s="11" t="s">
        <v>162</v>
      </c>
      <c r="P25" s="11"/>
      <c r="Q25" s="11"/>
      <c r="R25" s="11"/>
      <c r="S25" s="11"/>
      <c r="T25" s="11"/>
      <c r="U25" s="11"/>
      <c r="V25" s="11"/>
      <c r="W25" s="11"/>
    </row>
    <row r="26" spans="1:23" ht="15.75" customHeight="1">
      <c r="A26" s="11" t="s">
        <v>164</v>
      </c>
      <c r="B26" s="11" t="s">
        <v>139</v>
      </c>
      <c r="C26" s="11" t="s">
        <v>165</v>
      </c>
      <c r="D26" s="11" t="s">
        <v>166</v>
      </c>
      <c r="E26" s="11">
        <v>3</v>
      </c>
      <c r="F26" s="11">
        <v>88</v>
      </c>
      <c r="G26" s="11" t="s">
        <v>116</v>
      </c>
      <c r="H26" s="11" t="s">
        <v>167</v>
      </c>
      <c r="I26" s="11" t="s">
        <v>38</v>
      </c>
      <c r="J26" s="11">
        <v>10</v>
      </c>
      <c r="K26" s="11" t="str">
        <f t="shared" si="0"/>
        <v>Y</v>
      </c>
      <c r="L26" s="11" t="str">
        <f t="shared" si="1"/>
        <v>Y</v>
      </c>
      <c r="M26" s="11" t="str">
        <f t="shared" si="2"/>
        <v>Y</v>
      </c>
      <c r="N26" s="11" t="s">
        <v>51</v>
      </c>
      <c r="O26" s="11" t="s">
        <v>168</v>
      </c>
      <c r="P26" s="11"/>
      <c r="Q26" s="11"/>
      <c r="R26" s="11"/>
      <c r="S26" s="11"/>
      <c r="T26" s="11"/>
      <c r="U26" s="11"/>
      <c r="V26" s="11"/>
      <c r="W26" s="11"/>
    </row>
    <row r="27" spans="1:23" ht="15.75" customHeight="1">
      <c r="A27" s="11" t="s">
        <v>169</v>
      </c>
      <c r="B27" s="14" t="s">
        <v>31</v>
      </c>
      <c r="C27" s="14" t="s">
        <v>41</v>
      </c>
      <c r="D27" s="14" t="s">
        <v>170</v>
      </c>
      <c r="E27" s="14">
        <v>3</v>
      </c>
      <c r="F27" s="14">
        <v>88</v>
      </c>
      <c r="G27" s="14" t="s">
        <v>171</v>
      </c>
      <c r="H27" s="14" t="s">
        <v>172</v>
      </c>
      <c r="I27" s="11" t="s">
        <v>38</v>
      </c>
      <c r="J27" s="14">
        <v>10</v>
      </c>
      <c r="K27" s="11" t="str">
        <f t="shared" si="0"/>
        <v>Y</v>
      </c>
      <c r="L27" s="11" t="str">
        <f t="shared" si="1"/>
        <v>Y</v>
      </c>
      <c r="M27" s="11" t="str">
        <f t="shared" si="2"/>
        <v>Y</v>
      </c>
      <c r="N27" s="14" t="s">
        <v>173</v>
      </c>
      <c r="O27" s="14" t="s">
        <v>174</v>
      </c>
      <c r="P27" s="11"/>
      <c r="Q27" s="11"/>
      <c r="R27" s="11"/>
      <c r="S27" s="11"/>
      <c r="T27" s="11"/>
      <c r="U27" s="11"/>
      <c r="V27" s="11"/>
      <c r="W27" s="11"/>
    </row>
    <row r="28" spans="1:23" ht="15.75" customHeight="1">
      <c r="A28" s="11" t="s">
        <v>175</v>
      </c>
      <c r="B28" s="11" t="s">
        <v>98</v>
      </c>
      <c r="C28" s="11" t="s">
        <v>176</v>
      </c>
      <c r="D28" s="11" t="s">
        <v>177</v>
      </c>
      <c r="E28" s="11">
        <v>3</v>
      </c>
      <c r="F28" s="11">
        <v>87</v>
      </c>
      <c r="G28" s="11" t="s">
        <v>116</v>
      </c>
      <c r="H28" s="11" t="s">
        <v>178</v>
      </c>
      <c r="I28" s="11" t="s">
        <v>38</v>
      </c>
      <c r="J28" s="11">
        <v>10</v>
      </c>
      <c r="K28" s="11" t="str">
        <f t="shared" si="0"/>
        <v>Y</v>
      </c>
      <c r="L28" s="11" t="str">
        <f t="shared" si="1"/>
        <v>Y</v>
      </c>
      <c r="M28" s="11" t="str">
        <f t="shared" si="2"/>
        <v>Y</v>
      </c>
      <c r="N28" s="11" t="s">
        <v>179</v>
      </c>
      <c r="O28" s="11" t="s">
        <v>180</v>
      </c>
      <c r="P28" s="11"/>
      <c r="Q28" s="11"/>
      <c r="R28" s="11"/>
      <c r="S28" s="11"/>
      <c r="T28" s="11"/>
      <c r="U28" s="11"/>
      <c r="V28" s="11"/>
      <c r="W28" s="11"/>
    </row>
    <row r="29" spans="1:23" ht="15.75" customHeight="1">
      <c r="A29" s="11" t="s">
        <v>181</v>
      </c>
      <c r="B29" s="11" t="s">
        <v>109</v>
      </c>
      <c r="C29" s="11" t="s">
        <v>182</v>
      </c>
      <c r="D29" s="11" t="s">
        <v>183</v>
      </c>
      <c r="E29" s="11">
        <v>3</v>
      </c>
      <c r="F29" s="11">
        <v>86</v>
      </c>
      <c r="G29" s="11" t="s">
        <v>34</v>
      </c>
      <c r="H29" s="11" t="s">
        <v>184</v>
      </c>
      <c r="I29" s="11" t="s">
        <v>38</v>
      </c>
      <c r="J29" s="11">
        <v>10</v>
      </c>
      <c r="K29" s="11" t="str">
        <f t="shared" si="0"/>
        <v>Y</v>
      </c>
      <c r="L29" s="11" t="str">
        <f t="shared" si="1"/>
        <v>Y</v>
      </c>
      <c r="M29" s="11" t="str">
        <f t="shared" si="2"/>
        <v>Y</v>
      </c>
      <c r="N29" s="11" t="s">
        <v>51</v>
      </c>
      <c r="O29" s="11" t="s">
        <v>185</v>
      </c>
      <c r="P29" s="11"/>
      <c r="Q29" s="11"/>
      <c r="R29" s="11"/>
      <c r="S29" s="11"/>
      <c r="T29" s="11"/>
      <c r="U29" s="11"/>
      <c r="V29" s="11"/>
      <c r="W29" s="11"/>
    </row>
    <row r="30" spans="1:23" ht="15.75" customHeight="1">
      <c r="A30" s="11" t="s">
        <v>186</v>
      </c>
      <c r="B30" s="11" t="s">
        <v>98</v>
      </c>
      <c r="C30" s="11" t="s">
        <v>187</v>
      </c>
      <c r="D30" s="11" t="s">
        <v>188</v>
      </c>
      <c r="E30" s="11">
        <v>3</v>
      </c>
      <c r="F30" s="11">
        <v>86</v>
      </c>
      <c r="G30" s="11" t="s">
        <v>116</v>
      </c>
      <c r="H30" s="11" t="s">
        <v>189</v>
      </c>
      <c r="I30" s="11" t="s">
        <v>38</v>
      </c>
      <c r="J30" s="11">
        <v>10</v>
      </c>
      <c r="K30" s="11" t="str">
        <f t="shared" si="0"/>
        <v>Y</v>
      </c>
      <c r="L30" s="11" t="str">
        <f t="shared" si="1"/>
        <v>Y</v>
      </c>
      <c r="M30" s="11" t="str">
        <f t="shared" si="2"/>
        <v>Y</v>
      </c>
      <c r="N30" s="11" t="s">
        <v>51</v>
      </c>
      <c r="O30" s="11" t="s">
        <v>190</v>
      </c>
      <c r="P30" s="11"/>
      <c r="Q30" s="11"/>
      <c r="R30" s="11"/>
      <c r="S30" s="11"/>
      <c r="T30" s="11"/>
      <c r="U30" s="11"/>
      <c r="V30" s="11"/>
      <c r="W30" s="11"/>
    </row>
    <row r="31" spans="1:23" ht="15.75" customHeight="1">
      <c r="A31" s="11" t="s">
        <v>191</v>
      </c>
      <c r="B31" s="11" t="s">
        <v>139</v>
      </c>
      <c r="C31" s="11" t="s">
        <v>192</v>
      </c>
      <c r="D31" s="11" t="s">
        <v>193</v>
      </c>
      <c r="E31" s="11">
        <v>3</v>
      </c>
      <c r="F31" s="11">
        <v>86</v>
      </c>
      <c r="G31" s="11" t="s">
        <v>34</v>
      </c>
      <c r="H31" s="11" t="s">
        <v>194</v>
      </c>
      <c r="I31" s="11" t="s">
        <v>38</v>
      </c>
      <c r="J31" s="11">
        <v>10</v>
      </c>
      <c r="K31" s="11" t="str">
        <f t="shared" si="0"/>
        <v>Y</v>
      </c>
      <c r="L31" s="11" t="str">
        <f t="shared" si="1"/>
        <v>Y</v>
      </c>
      <c r="M31" s="11" t="str">
        <f t="shared" si="2"/>
        <v>Y</v>
      </c>
      <c r="N31" s="11" t="s">
        <v>51</v>
      </c>
      <c r="O31" s="11" t="s">
        <v>195</v>
      </c>
      <c r="P31" s="11"/>
      <c r="Q31" s="11"/>
      <c r="R31" s="11"/>
      <c r="S31" s="11"/>
      <c r="T31" s="11"/>
      <c r="U31" s="11"/>
      <c r="V31" s="11"/>
      <c r="W31" s="11"/>
    </row>
    <row r="32" spans="1:23" ht="15.75" customHeight="1">
      <c r="A32" s="11" t="s">
        <v>196</v>
      </c>
      <c r="B32" s="11" t="s">
        <v>139</v>
      </c>
      <c r="C32" s="11" t="s">
        <v>197</v>
      </c>
      <c r="D32" s="11" t="s">
        <v>198</v>
      </c>
      <c r="E32" s="11">
        <v>3</v>
      </c>
      <c r="F32" s="11">
        <v>85</v>
      </c>
      <c r="G32" s="11" t="s">
        <v>116</v>
      </c>
      <c r="H32" s="11" t="s">
        <v>199</v>
      </c>
      <c r="I32" s="11" t="s">
        <v>38</v>
      </c>
      <c r="J32" s="11">
        <v>10</v>
      </c>
      <c r="K32" s="11" t="str">
        <f t="shared" si="0"/>
        <v>Y</v>
      </c>
      <c r="L32" s="11" t="str">
        <f t="shared" si="1"/>
        <v>Y</v>
      </c>
      <c r="M32" s="11" t="str">
        <f t="shared" si="2"/>
        <v>Y</v>
      </c>
      <c r="N32" s="11" t="s">
        <v>51</v>
      </c>
      <c r="O32" s="11" t="s">
        <v>200</v>
      </c>
      <c r="P32" s="11"/>
      <c r="Q32" s="11"/>
      <c r="R32" s="11"/>
      <c r="S32" s="11"/>
      <c r="T32" s="11"/>
      <c r="U32" s="11"/>
      <c r="V32" s="11"/>
      <c r="W32" s="11"/>
    </row>
    <row r="33" spans="1:23" ht="15.75" customHeight="1">
      <c r="A33" s="11" t="s">
        <v>201</v>
      </c>
      <c r="B33" s="11" t="s">
        <v>57</v>
      </c>
      <c r="C33" s="11" t="s">
        <v>202</v>
      </c>
      <c r="D33" s="11" t="s">
        <v>203</v>
      </c>
      <c r="E33" s="11">
        <v>3</v>
      </c>
      <c r="F33" s="11">
        <v>84</v>
      </c>
      <c r="G33" s="11" t="s">
        <v>34</v>
      </c>
      <c r="H33" s="11" t="s">
        <v>204</v>
      </c>
      <c r="I33" s="11" t="s">
        <v>38</v>
      </c>
      <c r="J33" s="11">
        <v>10</v>
      </c>
      <c r="K33" s="11" t="str">
        <f t="shared" si="0"/>
        <v>Y</v>
      </c>
      <c r="L33" s="11" t="str">
        <f t="shared" si="1"/>
        <v>Y</v>
      </c>
      <c r="M33" s="11" t="str">
        <f t="shared" si="2"/>
        <v>Y</v>
      </c>
      <c r="N33" s="11" t="s">
        <v>205</v>
      </c>
      <c r="O33" s="11" t="s">
        <v>206</v>
      </c>
      <c r="P33" s="11"/>
      <c r="Q33" s="11"/>
      <c r="R33" s="11"/>
      <c r="S33" s="11"/>
      <c r="T33" s="11"/>
      <c r="U33" s="11"/>
      <c r="V33" s="11"/>
      <c r="W33" s="11"/>
    </row>
    <row r="34" spans="1:23" ht="15.75" customHeight="1">
      <c r="A34" s="11" t="s">
        <v>207</v>
      </c>
      <c r="B34" s="11" t="s">
        <v>139</v>
      </c>
      <c r="C34" s="11" t="s">
        <v>208</v>
      </c>
      <c r="D34" s="11" t="s">
        <v>209</v>
      </c>
      <c r="E34" s="11">
        <v>3</v>
      </c>
      <c r="F34" s="11">
        <v>84</v>
      </c>
      <c r="G34" s="11" t="s">
        <v>116</v>
      </c>
      <c r="H34" s="11" t="s">
        <v>210</v>
      </c>
      <c r="I34" s="11" t="s">
        <v>38</v>
      </c>
      <c r="J34" s="11">
        <v>10</v>
      </c>
      <c r="K34" s="11" t="str">
        <f t="shared" si="0"/>
        <v>Y</v>
      </c>
      <c r="L34" s="11" t="str">
        <f t="shared" si="1"/>
        <v>Y</v>
      </c>
      <c r="M34" s="11" t="str">
        <f t="shared" si="2"/>
        <v>Y</v>
      </c>
      <c r="N34" s="11" t="s">
        <v>51</v>
      </c>
      <c r="O34" s="11" t="s">
        <v>211</v>
      </c>
      <c r="P34" s="11"/>
      <c r="Q34" s="11"/>
      <c r="R34" s="11"/>
      <c r="S34" s="11"/>
      <c r="T34" s="11"/>
      <c r="U34" s="11"/>
      <c r="V34" s="11"/>
      <c r="W34" s="11"/>
    </row>
    <row r="35" spans="1:23" ht="15.75" customHeight="1">
      <c r="A35" s="11" t="s">
        <v>212</v>
      </c>
      <c r="B35" s="11" t="s">
        <v>109</v>
      </c>
      <c r="C35" s="11" t="s">
        <v>213</v>
      </c>
      <c r="D35" s="11" t="s">
        <v>214</v>
      </c>
      <c r="E35" s="11">
        <v>3</v>
      </c>
      <c r="F35" s="11">
        <v>83</v>
      </c>
      <c r="G35" s="11" t="s">
        <v>34</v>
      </c>
      <c r="H35" s="11" t="s">
        <v>215</v>
      </c>
      <c r="I35" s="11" t="s">
        <v>38</v>
      </c>
      <c r="J35" s="11">
        <v>10</v>
      </c>
      <c r="K35" s="11" t="str">
        <f t="shared" si="0"/>
        <v>Y</v>
      </c>
      <c r="L35" s="11" t="str">
        <f t="shared" si="1"/>
        <v>Y</v>
      </c>
      <c r="M35" s="11" t="str">
        <f t="shared" si="2"/>
        <v>Y</v>
      </c>
      <c r="N35" s="11" t="s">
        <v>51</v>
      </c>
      <c r="O35" s="11" t="s">
        <v>214</v>
      </c>
      <c r="P35" s="11"/>
      <c r="Q35" s="11"/>
      <c r="R35" s="11"/>
      <c r="S35" s="11"/>
      <c r="T35" s="11"/>
      <c r="U35" s="11"/>
      <c r="V35" s="11"/>
      <c r="W35" s="11"/>
    </row>
    <row r="36" spans="1:23" ht="15.75" customHeight="1">
      <c r="A36" s="11" t="s">
        <v>216</v>
      </c>
      <c r="B36" s="11" t="s">
        <v>217</v>
      </c>
      <c r="C36" s="11" t="s">
        <v>218</v>
      </c>
      <c r="D36" s="11" t="s">
        <v>219</v>
      </c>
      <c r="E36" s="11">
        <v>3</v>
      </c>
      <c r="F36" s="11">
        <v>83</v>
      </c>
      <c r="G36" s="11" t="s">
        <v>116</v>
      </c>
      <c r="H36" s="11" t="s">
        <v>220</v>
      </c>
      <c r="I36" s="11" t="s">
        <v>38</v>
      </c>
      <c r="J36" s="11">
        <v>10</v>
      </c>
      <c r="K36" s="11" t="str">
        <f t="shared" si="0"/>
        <v>Y</v>
      </c>
      <c r="L36" s="11" t="str">
        <f t="shared" si="1"/>
        <v>Y</v>
      </c>
      <c r="M36" s="11" t="str">
        <f t="shared" si="2"/>
        <v>Y</v>
      </c>
      <c r="N36" s="11" t="s">
        <v>51</v>
      </c>
      <c r="O36" s="11" t="s">
        <v>221</v>
      </c>
      <c r="P36" s="11"/>
      <c r="Q36" s="11"/>
      <c r="R36" s="11"/>
      <c r="S36" s="11"/>
      <c r="T36" s="11"/>
      <c r="U36" s="11"/>
      <c r="V36" s="11"/>
      <c r="W36" s="11"/>
    </row>
    <row r="37" spans="1:23" ht="15.75" customHeight="1">
      <c r="A37" s="11" t="s">
        <v>222</v>
      </c>
      <c r="B37" s="11" t="s">
        <v>150</v>
      </c>
      <c r="C37" s="11" t="s">
        <v>223</v>
      </c>
      <c r="D37" s="11" t="s">
        <v>224</v>
      </c>
      <c r="E37" s="11">
        <v>2</v>
      </c>
      <c r="F37" s="11">
        <v>82</v>
      </c>
      <c r="G37" s="11" t="s">
        <v>116</v>
      </c>
      <c r="H37" s="11" t="s">
        <v>225</v>
      </c>
      <c r="I37" s="11" t="s">
        <v>40</v>
      </c>
      <c r="J37" s="11">
        <v>5</v>
      </c>
      <c r="K37" s="11" t="str">
        <f t="shared" si="0"/>
        <v>N</v>
      </c>
      <c r="L37" s="11" t="str">
        <f t="shared" si="1"/>
        <v>N</v>
      </c>
      <c r="M37" s="11" t="str">
        <f t="shared" si="2"/>
        <v>N</v>
      </c>
      <c r="N37" s="11" t="s">
        <v>51</v>
      </c>
      <c r="O37" s="11" t="s">
        <v>226</v>
      </c>
      <c r="P37" s="11"/>
      <c r="Q37" s="11"/>
      <c r="R37" s="11"/>
      <c r="S37" s="11"/>
      <c r="T37" s="11"/>
      <c r="U37" s="11"/>
      <c r="V37" s="11"/>
      <c r="W37" s="11"/>
    </row>
    <row r="38" spans="1:23" ht="15.75" customHeight="1">
      <c r="A38" s="11" t="s">
        <v>227</v>
      </c>
      <c r="B38" s="11" t="s">
        <v>139</v>
      </c>
      <c r="C38" s="11" t="s">
        <v>228</v>
      </c>
      <c r="D38" s="11" t="s">
        <v>229</v>
      </c>
      <c r="E38" s="11">
        <v>2</v>
      </c>
      <c r="F38" s="11">
        <v>80</v>
      </c>
      <c r="G38" s="11" t="s">
        <v>116</v>
      </c>
      <c r="H38" s="11" t="s">
        <v>230</v>
      </c>
      <c r="I38" s="11" t="s">
        <v>40</v>
      </c>
      <c r="J38" s="11">
        <v>5</v>
      </c>
      <c r="K38" s="11" t="str">
        <f t="shared" si="0"/>
        <v>N</v>
      </c>
      <c r="L38" s="11" t="str">
        <f t="shared" si="1"/>
        <v>N</v>
      </c>
      <c r="M38" s="11" t="str">
        <f t="shared" si="2"/>
        <v>N</v>
      </c>
      <c r="N38" s="11" t="s">
        <v>51</v>
      </c>
      <c r="O38" s="11" t="s">
        <v>231</v>
      </c>
      <c r="P38" s="11"/>
      <c r="Q38" s="11"/>
      <c r="R38" s="11"/>
      <c r="S38" s="11"/>
      <c r="T38" s="11"/>
      <c r="U38" s="11"/>
      <c r="V38" s="11"/>
      <c r="W38" s="11"/>
    </row>
    <row r="39" spans="1:23" ht="15.75" customHeight="1">
      <c r="A39" s="11" t="s">
        <v>232</v>
      </c>
      <c r="B39" s="11" t="s">
        <v>109</v>
      </c>
      <c r="C39" s="11" t="s">
        <v>233</v>
      </c>
      <c r="D39" s="11" t="s">
        <v>234</v>
      </c>
      <c r="E39" s="11">
        <v>2</v>
      </c>
      <c r="F39" s="11">
        <v>75</v>
      </c>
      <c r="G39" s="11" t="s">
        <v>116</v>
      </c>
      <c r="H39" s="11" t="s">
        <v>235</v>
      </c>
      <c r="I39" s="11" t="s">
        <v>40</v>
      </c>
      <c r="J39" s="11">
        <v>5</v>
      </c>
      <c r="K39" s="11" t="str">
        <f t="shared" si="0"/>
        <v>N</v>
      </c>
      <c r="L39" s="11" t="str">
        <f t="shared" si="1"/>
        <v>N</v>
      </c>
      <c r="M39" s="11" t="str">
        <f t="shared" si="2"/>
        <v>N</v>
      </c>
      <c r="N39" s="11" t="s">
        <v>51</v>
      </c>
      <c r="O39" s="11" t="s">
        <v>234</v>
      </c>
      <c r="P39" s="11"/>
      <c r="Q39" s="11"/>
      <c r="R39" s="11"/>
      <c r="S39" s="11"/>
      <c r="T39" s="11"/>
      <c r="U39" s="11"/>
      <c r="V39" s="11"/>
      <c r="W39" s="11"/>
    </row>
    <row r="40" spans="1:23" ht="15.75" customHeight="1">
      <c r="A40" s="11" t="s">
        <v>236</v>
      </c>
      <c r="B40" s="11" t="s">
        <v>98</v>
      </c>
      <c r="C40" s="11" t="s">
        <v>237</v>
      </c>
      <c r="D40" s="11" t="s">
        <v>238</v>
      </c>
      <c r="E40" s="11">
        <v>2</v>
      </c>
      <c r="F40" s="11">
        <v>72</v>
      </c>
      <c r="G40" s="11" t="s">
        <v>116</v>
      </c>
      <c r="H40" s="11" t="s">
        <v>239</v>
      </c>
      <c r="I40" s="11" t="s">
        <v>40</v>
      </c>
      <c r="J40" s="11">
        <v>5</v>
      </c>
      <c r="K40" s="11" t="str">
        <f t="shared" si="0"/>
        <v>N</v>
      </c>
      <c r="L40" s="11" t="str">
        <f t="shared" si="1"/>
        <v>N</v>
      </c>
      <c r="M40" s="11" t="str">
        <f t="shared" si="2"/>
        <v>N</v>
      </c>
      <c r="N40" s="11" t="s">
        <v>51</v>
      </c>
      <c r="O40" s="11" t="s">
        <v>240</v>
      </c>
      <c r="P40" s="11"/>
      <c r="Q40" s="11"/>
      <c r="R40" s="11"/>
      <c r="S40" s="11"/>
      <c r="T40" s="11"/>
      <c r="U40" s="11"/>
      <c r="V40" s="11"/>
      <c r="W40" s="11"/>
    </row>
    <row r="41" spans="1:23" ht="15.75" customHeight="1">
      <c r="A41" s="11" t="s">
        <v>241</v>
      </c>
      <c r="B41" s="11" t="s">
        <v>217</v>
      </c>
      <c r="C41" s="11" t="s">
        <v>242</v>
      </c>
      <c r="D41" s="11" t="s">
        <v>243</v>
      </c>
      <c r="E41" s="11">
        <v>2</v>
      </c>
      <c r="F41" s="11">
        <v>70</v>
      </c>
      <c r="G41" s="11" t="s">
        <v>116</v>
      </c>
      <c r="H41" s="11" t="s">
        <v>244</v>
      </c>
      <c r="I41" s="11" t="s">
        <v>40</v>
      </c>
      <c r="J41" s="11">
        <v>5</v>
      </c>
      <c r="K41" s="11" t="str">
        <f t="shared" si="0"/>
        <v>N</v>
      </c>
      <c r="L41" s="11" t="str">
        <f t="shared" si="1"/>
        <v>N</v>
      </c>
      <c r="M41" s="11" t="str">
        <f t="shared" si="2"/>
        <v>N</v>
      </c>
      <c r="N41" s="11" t="s">
        <v>245</v>
      </c>
      <c r="O41" s="43" t="s">
        <v>243</v>
      </c>
      <c r="P41" s="11"/>
      <c r="Q41" s="11"/>
      <c r="R41" s="11"/>
      <c r="S41" s="11"/>
      <c r="T41" s="11"/>
      <c r="U41" s="11"/>
      <c r="V41" s="11"/>
      <c r="W41" s="11"/>
    </row>
    <row r="42" spans="1:23" ht="15.75" customHeight="1">
      <c r="A42" s="11" t="s">
        <v>246</v>
      </c>
      <c r="B42" s="11" t="s">
        <v>217</v>
      </c>
      <c r="C42" s="11" t="s">
        <v>247</v>
      </c>
      <c r="D42" s="11" t="s">
        <v>248</v>
      </c>
      <c r="E42" s="11">
        <v>1</v>
      </c>
      <c r="F42" s="11">
        <v>40</v>
      </c>
      <c r="G42" s="11" t="s">
        <v>171</v>
      </c>
      <c r="H42" s="11" t="s">
        <v>249</v>
      </c>
      <c r="I42" s="11" t="s">
        <v>40</v>
      </c>
      <c r="J42" s="11">
        <v>3</v>
      </c>
      <c r="K42" s="11" t="str">
        <f t="shared" si="0"/>
        <v>N</v>
      </c>
      <c r="L42" s="11" t="str">
        <f t="shared" si="1"/>
        <v>N</v>
      </c>
      <c r="M42" s="11" t="str">
        <f t="shared" si="2"/>
        <v>N</v>
      </c>
      <c r="N42" s="11" t="s">
        <v>51</v>
      </c>
      <c r="O42" s="11" t="s">
        <v>250</v>
      </c>
      <c r="P42" s="11"/>
      <c r="Q42" s="11"/>
      <c r="R42" s="11"/>
      <c r="S42" s="11"/>
      <c r="T42" s="11"/>
      <c r="U42" s="11"/>
      <c r="V42" s="11"/>
      <c r="W42" s="11"/>
    </row>
    <row r="43" spans="1:23" ht="15.75" customHeight="1">
      <c r="A43" s="11" t="s">
        <v>251</v>
      </c>
      <c r="B43" s="11" t="s">
        <v>217</v>
      </c>
      <c r="C43" s="11" t="s">
        <v>252</v>
      </c>
      <c r="D43" s="11" t="s">
        <v>253</v>
      </c>
      <c r="E43" s="11">
        <v>1</v>
      </c>
      <c r="F43" s="11">
        <v>10</v>
      </c>
      <c r="G43" s="11" t="s">
        <v>171</v>
      </c>
      <c r="H43" s="11" t="s">
        <v>254</v>
      </c>
      <c r="I43" s="11" t="s">
        <v>40</v>
      </c>
      <c r="J43" s="11">
        <v>2</v>
      </c>
      <c r="K43" s="11" t="str">
        <f t="shared" si="0"/>
        <v>N</v>
      </c>
      <c r="L43" s="11" t="str">
        <f t="shared" si="1"/>
        <v>N</v>
      </c>
      <c r="M43" s="11" t="str">
        <f t="shared" si="2"/>
        <v>N</v>
      </c>
      <c r="N43" s="11" t="s">
        <v>255</v>
      </c>
      <c r="O43" s="11" t="s">
        <v>256</v>
      </c>
      <c r="P43" s="11"/>
      <c r="Q43" s="11"/>
      <c r="R43" s="11"/>
      <c r="S43" s="11"/>
      <c r="T43" s="11"/>
      <c r="U43" s="11"/>
      <c r="V43" s="11"/>
      <c r="W43" s="11"/>
    </row>
    <row r="44" spans="1:23" ht="15.75" customHeight="1">
      <c r="A44" s="11" t="s">
        <v>257</v>
      </c>
      <c r="B44" s="11" t="s">
        <v>217</v>
      </c>
      <c r="C44" s="11" t="s">
        <v>258</v>
      </c>
      <c r="D44" s="11" t="s">
        <v>259</v>
      </c>
      <c r="E44" s="11">
        <v>1</v>
      </c>
      <c r="F44" s="11">
        <v>9</v>
      </c>
      <c r="G44" s="11" t="s">
        <v>171</v>
      </c>
      <c r="H44" s="11" t="s">
        <v>260</v>
      </c>
      <c r="I44" s="11" t="s">
        <v>40</v>
      </c>
      <c r="J44" s="11">
        <v>2</v>
      </c>
      <c r="K44" s="11" t="str">
        <f t="shared" si="0"/>
        <v>N</v>
      </c>
      <c r="L44" s="11" t="str">
        <f t="shared" si="1"/>
        <v>N</v>
      </c>
      <c r="M44" s="11" t="str">
        <f t="shared" si="2"/>
        <v>N</v>
      </c>
      <c r="N44" s="11" t="s">
        <v>51</v>
      </c>
      <c r="O44" s="11" t="s">
        <v>261</v>
      </c>
      <c r="P44" s="11"/>
      <c r="Q44" s="11"/>
      <c r="R44" s="11"/>
      <c r="S44" s="11"/>
      <c r="T44" s="11"/>
      <c r="U44" s="11"/>
      <c r="V44" s="11"/>
      <c r="W44" s="11"/>
    </row>
    <row r="45" spans="1:23" ht="15.75" customHeight="1">
      <c r="A45" s="11" t="s">
        <v>262</v>
      </c>
      <c r="B45" s="11" t="s">
        <v>263</v>
      </c>
      <c r="C45" s="11" t="s">
        <v>264</v>
      </c>
      <c r="D45" s="43" t="s">
        <v>385</v>
      </c>
      <c r="E45" s="11">
        <v>0</v>
      </c>
      <c r="F45" s="43">
        <v>3</v>
      </c>
      <c r="G45" s="11" t="s">
        <v>263</v>
      </c>
      <c r="H45" s="43" t="s">
        <v>387</v>
      </c>
      <c r="I45" s="11" t="s">
        <v>43</v>
      </c>
      <c r="J45" s="11">
        <v>0</v>
      </c>
      <c r="K45" s="11" t="str">
        <f t="shared" si="0"/>
        <v>N</v>
      </c>
      <c r="L45" s="11" t="str">
        <f t="shared" si="1"/>
        <v>N</v>
      </c>
      <c r="M45" s="11" t="str">
        <f t="shared" si="2"/>
        <v>N</v>
      </c>
      <c r="N45" s="11" t="s">
        <v>51</v>
      </c>
      <c r="O45" s="44" t="s">
        <v>386</v>
      </c>
      <c r="P45" s="11"/>
      <c r="Q45" s="11"/>
      <c r="R45" s="11"/>
      <c r="S45" s="11"/>
      <c r="T45" s="11"/>
      <c r="U45" s="11"/>
      <c r="V45" s="11"/>
      <c r="W45" s="11"/>
    </row>
    <row r="46" spans="1:23" ht="15.75" customHeight="1">
      <c r="A46" s="11" t="s">
        <v>265</v>
      </c>
      <c r="B46" s="11" t="s">
        <v>263</v>
      </c>
      <c r="C46" s="11" t="s">
        <v>266</v>
      </c>
      <c r="D46" s="45" t="s">
        <v>389</v>
      </c>
      <c r="E46" s="11">
        <v>0</v>
      </c>
      <c r="F46" s="11">
        <v>0</v>
      </c>
      <c r="G46" s="11" t="s">
        <v>263</v>
      </c>
      <c r="H46" s="11" t="s">
        <v>51</v>
      </c>
      <c r="I46" s="11" t="s">
        <v>43</v>
      </c>
      <c r="J46" s="11">
        <v>0</v>
      </c>
      <c r="K46" s="11" t="str">
        <f t="shared" si="0"/>
        <v>N</v>
      </c>
      <c r="L46" s="11" t="str">
        <f t="shared" si="1"/>
        <v>N</v>
      </c>
      <c r="M46" s="11" t="str">
        <f t="shared" si="2"/>
        <v>N</v>
      </c>
      <c r="N46" s="11" t="s">
        <v>51</v>
      </c>
      <c r="O46" s="11" t="s">
        <v>267</v>
      </c>
      <c r="P46" s="11"/>
      <c r="Q46" s="11"/>
      <c r="R46" s="11"/>
      <c r="S46" s="11"/>
      <c r="T46" s="11"/>
      <c r="U46" s="11"/>
      <c r="V46" s="11"/>
      <c r="W46" s="11"/>
    </row>
    <row r="47" spans="1:23" ht="57.6">
      <c r="A47" s="31" t="s">
        <v>371</v>
      </c>
      <c r="B47" s="31" t="s">
        <v>139</v>
      </c>
      <c r="C47" s="31" t="s">
        <v>338</v>
      </c>
      <c r="D47" s="31" t="s">
        <v>339</v>
      </c>
      <c r="E47" s="31">
        <v>1</v>
      </c>
      <c r="F47" s="31">
        <v>45</v>
      </c>
      <c r="G47" s="31" t="s">
        <v>34</v>
      </c>
      <c r="H47" s="31" t="s">
        <v>340</v>
      </c>
      <c r="I47" s="31" t="s">
        <v>40</v>
      </c>
      <c r="J47" s="31">
        <v>3</v>
      </c>
      <c r="K47" s="31" t="s">
        <v>341</v>
      </c>
      <c r="L47" s="31" t="s">
        <v>341</v>
      </c>
      <c r="M47" s="31" t="s">
        <v>341</v>
      </c>
      <c r="N47" s="34" t="s">
        <v>361</v>
      </c>
      <c r="O47" s="33" t="s">
        <v>360</v>
      </c>
      <c r="P47" s="11"/>
      <c r="Q47" s="11"/>
      <c r="R47" s="11"/>
      <c r="S47" s="11"/>
      <c r="T47" s="11"/>
      <c r="U47" s="11"/>
      <c r="V47" s="11"/>
      <c r="W47" s="11"/>
    </row>
    <row r="48" spans="1:23" ht="43.2">
      <c r="A48" s="32" t="s">
        <v>372</v>
      </c>
      <c r="B48" s="32" t="s">
        <v>31</v>
      </c>
      <c r="C48" s="32" t="s">
        <v>342</v>
      </c>
      <c r="D48" s="32" t="s">
        <v>343</v>
      </c>
      <c r="E48" s="32">
        <v>3</v>
      </c>
      <c r="F48" s="32">
        <v>89</v>
      </c>
      <c r="G48" s="32" t="s">
        <v>116</v>
      </c>
      <c r="H48" s="32" t="s">
        <v>344</v>
      </c>
      <c r="I48" s="32" t="s">
        <v>38</v>
      </c>
      <c r="J48" s="32">
        <v>10</v>
      </c>
      <c r="K48" s="32" t="s">
        <v>345</v>
      </c>
      <c r="L48" s="32" t="s">
        <v>345</v>
      </c>
      <c r="M48" s="32" t="s">
        <v>345</v>
      </c>
      <c r="N48" s="32" t="s">
        <v>346</v>
      </c>
      <c r="O48" s="35" t="s">
        <v>362</v>
      </c>
      <c r="P48" s="11"/>
      <c r="Q48" s="11"/>
      <c r="R48" s="11"/>
      <c r="S48" s="11"/>
      <c r="T48" s="11"/>
      <c r="U48" s="11"/>
      <c r="V48" s="11"/>
      <c r="W48" s="11"/>
    </row>
    <row r="49" spans="1:26" ht="28.8">
      <c r="A49" s="32" t="s">
        <v>373</v>
      </c>
      <c r="B49" s="32" t="s">
        <v>139</v>
      </c>
      <c r="C49" s="32" t="s">
        <v>347</v>
      </c>
      <c r="D49" s="32" t="s">
        <v>348</v>
      </c>
      <c r="E49" s="32">
        <v>3</v>
      </c>
      <c r="F49" s="32">
        <v>84</v>
      </c>
      <c r="G49" s="32" t="s">
        <v>116</v>
      </c>
      <c r="H49" s="32" t="s">
        <v>349</v>
      </c>
      <c r="I49" s="32" t="s">
        <v>38</v>
      </c>
      <c r="J49" s="32">
        <v>10</v>
      </c>
      <c r="K49" s="32" t="s">
        <v>345</v>
      </c>
      <c r="L49" s="32" t="s">
        <v>345</v>
      </c>
      <c r="M49" s="32" t="s">
        <v>345</v>
      </c>
      <c r="N49" s="32" t="s">
        <v>350</v>
      </c>
      <c r="O49" s="35" t="s">
        <v>363</v>
      </c>
      <c r="P49" s="11"/>
      <c r="Q49" s="11"/>
      <c r="R49" s="11"/>
      <c r="S49" s="11"/>
      <c r="T49" s="11"/>
      <c r="U49" s="11"/>
      <c r="V49" s="11"/>
      <c r="W49" s="11"/>
    </row>
    <row r="50" spans="1:26" ht="57.6">
      <c r="A50" s="32" t="s">
        <v>374</v>
      </c>
      <c r="B50" s="32" t="s">
        <v>139</v>
      </c>
      <c r="C50" s="32" t="s">
        <v>351</v>
      </c>
      <c r="D50" s="32" t="s">
        <v>352</v>
      </c>
      <c r="E50" s="32">
        <v>3</v>
      </c>
      <c r="F50" s="32">
        <v>87</v>
      </c>
      <c r="G50" s="32" t="s">
        <v>116</v>
      </c>
      <c r="H50" s="32" t="s">
        <v>353</v>
      </c>
      <c r="I50" s="32" t="s">
        <v>38</v>
      </c>
      <c r="J50" s="32">
        <v>10</v>
      </c>
      <c r="K50" s="32" t="s">
        <v>345</v>
      </c>
      <c r="L50" s="32" t="s">
        <v>345</v>
      </c>
      <c r="M50" s="32" t="s">
        <v>345</v>
      </c>
      <c r="N50" s="32" t="s">
        <v>354</v>
      </c>
      <c r="O50" s="35" t="s">
        <v>364</v>
      </c>
      <c r="P50" s="11"/>
      <c r="Q50" s="11"/>
      <c r="R50" s="11"/>
      <c r="S50" s="11"/>
      <c r="T50" s="11"/>
      <c r="U50" s="11"/>
      <c r="V50" s="11"/>
      <c r="W50" s="11"/>
    </row>
    <row r="51" spans="1:26" ht="43.2">
      <c r="A51" s="32" t="s">
        <v>375</v>
      </c>
      <c r="B51" s="32" t="s">
        <v>139</v>
      </c>
      <c r="C51" s="32" t="s">
        <v>355</v>
      </c>
      <c r="D51" s="32" t="s">
        <v>356</v>
      </c>
      <c r="E51" s="32">
        <v>2</v>
      </c>
      <c r="F51" s="32">
        <v>76</v>
      </c>
      <c r="G51" s="32" t="s">
        <v>116</v>
      </c>
      <c r="H51" s="32" t="s">
        <v>357</v>
      </c>
      <c r="I51" s="32" t="s">
        <v>40</v>
      </c>
      <c r="J51" s="32">
        <v>5</v>
      </c>
      <c r="K51" s="32" t="s">
        <v>341</v>
      </c>
      <c r="L51" s="32" t="s">
        <v>341</v>
      </c>
      <c r="M51" s="32" t="s">
        <v>341</v>
      </c>
      <c r="N51" s="32" t="s">
        <v>358</v>
      </c>
      <c r="O51" s="35" t="s">
        <v>365</v>
      </c>
      <c r="P51" s="11"/>
      <c r="Q51" s="11"/>
      <c r="R51" s="11"/>
      <c r="S51" s="11"/>
      <c r="T51" s="11"/>
      <c r="U51" s="11"/>
      <c r="V51" s="11"/>
      <c r="W51" s="11"/>
    </row>
    <row r="52" spans="1:26" ht="57.6">
      <c r="A52" s="36" t="s">
        <v>376</v>
      </c>
      <c r="B52" s="36" t="s">
        <v>263</v>
      </c>
      <c r="C52" s="36" t="s">
        <v>366</v>
      </c>
      <c r="D52" s="36" t="s">
        <v>367</v>
      </c>
      <c r="E52" s="36">
        <v>0</v>
      </c>
      <c r="F52" s="36">
        <v>2</v>
      </c>
      <c r="G52" s="36" t="s">
        <v>263</v>
      </c>
      <c r="H52" s="37" t="s">
        <v>368</v>
      </c>
      <c r="I52" s="36" t="s">
        <v>359</v>
      </c>
      <c r="J52" s="36">
        <v>0</v>
      </c>
      <c r="K52" s="36" t="s">
        <v>341</v>
      </c>
      <c r="L52" s="36" t="s">
        <v>341</v>
      </c>
      <c r="M52" s="36" t="s">
        <v>341</v>
      </c>
      <c r="N52" s="36" t="s">
        <v>369</v>
      </c>
      <c r="O52" s="36" t="s">
        <v>370</v>
      </c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28.8">
      <c r="A53" s="38" t="s">
        <v>377</v>
      </c>
      <c r="B53" s="36" t="s">
        <v>263</v>
      </c>
      <c r="C53" s="38" t="s">
        <v>379</v>
      </c>
      <c r="D53" s="39" t="s">
        <v>378</v>
      </c>
      <c r="E53" s="36">
        <v>0</v>
      </c>
      <c r="F53" s="36">
        <v>1</v>
      </c>
      <c r="G53" s="36" t="s">
        <v>263</v>
      </c>
      <c r="H53" s="39"/>
      <c r="I53" s="36" t="s">
        <v>359</v>
      </c>
      <c r="J53" s="36">
        <v>0</v>
      </c>
      <c r="K53" s="36" t="s">
        <v>341</v>
      </c>
      <c r="L53" s="36" t="s">
        <v>341</v>
      </c>
      <c r="M53" s="36" t="s">
        <v>341</v>
      </c>
      <c r="N53" s="36"/>
      <c r="O53" s="42" t="s">
        <v>384</v>
      </c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</row>
    <row r="55" spans="1:26" ht="15.75" customHeight="1"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</row>
    <row r="56" spans="1:2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</row>
    <row r="57" spans="1:26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</row>
    <row r="58" spans="1:26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</row>
    <row r="59" spans="1:26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</row>
    <row r="60" spans="1:26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</row>
    <row r="61" spans="1:26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</row>
    <row r="62" spans="1:26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</row>
    <row r="63" spans="1:26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</row>
    <row r="64" spans="1:26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</row>
    <row r="65" spans="1:23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</row>
    <row r="66" spans="1:23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</row>
    <row r="67" spans="1:23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</row>
    <row r="68" spans="1:23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</row>
    <row r="69" spans="1:23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</row>
    <row r="70" spans="1:23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</row>
    <row r="71" spans="1:23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</row>
    <row r="72" spans="1:23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</row>
    <row r="73" spans="1:2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</row>
    <row r="74" spans="1:23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</row>
    <row r="75" spans="1:23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</row>
    <row r="76" spans="1:23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</row>
    <row r="77" spans="1:23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</row>
    <row r="78" spans="1:23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</row>
    <row r="79" spans="1:23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</row>
    <row r="80" spans="1:23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</row>
    <row r="81" spans="1:23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</row>
    <row r="82" spans="1:23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</row>
    <row r="83" spans="1:2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</row>
    <row r="84" spans="1:23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</row>
    <row r="85" spans="1:23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</row>
    <row r="86" spans="1:23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</row>
    <row r="87" spans="1:23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</row>
    <row r="88" spans="1:23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</row>
    <row r="89" spans="1:23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</row>
    <row r="90" spans="1:23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</row>
    <row r="91" spans="1:23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</row>
    <row r="92" spans="1:23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</row>
    <row r="93" spans="1:2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</row>
    <row r="94" spans="1:23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</row>
    <row r="95" spans="1:23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</row>
    <row r="96" spans="1:23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</row>
    <row r="97" spans="1:23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</row>
    <row r="98" spans="1:23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</row>
    <row r="99" spans="1:23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</row>
    <row r="100" spans="1:23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</row>
    <row r="101" spans="1:23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</row>
    <row r="102" spans="1:23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</row>
    <row r="103" spans="1:2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</row>
    <row r="104" spans="1:23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</row>
    <row r="105" spans="1:23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</row>
    <row r="106" spans="1:23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</row>
    <row r="107" spans="1:23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</row>
    <row r="108" spans="1:23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</row>
    <row r="109" spans="1:23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</row>
    <row r="110" spans="1:23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</row>
    <row r="111" spans="1:23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</row>
    <row r="112" spans="1:23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</row>
    <row r="113" spans="1:2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</row>
    <row r="114" spans="1:23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</row>
    <row r="115" spans="1:23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</row>
    <row r="116" spans="1:23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</row>
    <row r="117" spans="1:23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</row>
    <row r="118" spans="1:23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</row>
    <row r="119" spans="1:23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</row>
    <row r="120" spans="1:23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</row>
    <row r="121" spans="1:23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</row>
    <row r="122" spans="1:23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</row>
    <row r="123" spans="1: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</row>
    <row r="124" spans="1:23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</row>
    <row r="125" spans="1:23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</row>
    <row r="126" spans="1:23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</row>
    <row r="127" spans="1:23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</row>
    <row r="128" spans="1:23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</row>
    <row r="129" spans="1:23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</row>
    <row r="130" spans="1:23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</row>
    <row r="131" spans="1:23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</row>
    <row r="132" spans="1:23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</row>
    <row r="133" spans="1:2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</row>
    <row r="134" spans="1:23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</row>
    <row r="135" spans="1:23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</row>
    <row r="136" spans="1:23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</row>
    <row r="137" spans="1:23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</row>
    <row r="138" spans="1:23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</row>
    <row r="139" spans="1:23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</row>
    <row r="140" spans="1:23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</row>
    <row r="141" spans="1:23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</row>
    <row r="142" spans="1:23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</row>
    <row r="143" spans="1:2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</row>
    <row r="144" spans="1:23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</row>
    <row r="145" spans="1:23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</row>
    <row r="146" spans="1:23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</row>
    <row r="147" spans="1:23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</row>
    <row r="148" spans="1:23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</row>
    <row r="149" spans="1:23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</row>
    <row r="150" spans="1:23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</row>
    <row r="151" spans="1:23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</row>
    <row r="152" spans="1:23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</row>
    <row r="153" spans="1:2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</row>
    <row r="154" spans="1:23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</row>
    <row r="155" spans="1:23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</row>
    <row r="156" spans="1:23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</row>
    <row r="157" spans="1:23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</row>
    <row r="158" spans="1:23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</row>
    <row r="159" spans="1:23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</row>
    <row r="160" spans="1:23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</row>
    <row r="161" spans="1:23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</row>
    <row r="162" spans="1:23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</row>
    <row r="163" spans="1:2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</row>
    <row r="164" spans="1:23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</row>
    <row r="165" spans="1:23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</row>
    <row r="166" spans="1:23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</row>
    <row r="167" spans="1:23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</row>
    <row r="168" spans="1:23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</row>
    <row r="169" spans="1:23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</row>
    <row r="170" spans="1:23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</row>
    <row r="171" spans="1:23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</row>
    <row r="172" spans="1:23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</row>
    <row r="173" spans="1:2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</row>
    <row r="174" spans="1:23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</row>
    <row r="175" spans="1:23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</row>
    <row r="176" spans="1:23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</row>
    <row r="177" spans="1:23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</row>
    <row r="178" spans="1:23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</row>
    <row r="179" spans="1:23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</row>
    <row r="180" spans="1:23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</row>
    <row r="181" spans="1:23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</row>
    <row r="182" spans="1:23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</row>
    <row r="183" spans="1:2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</row>
    <row r="184" spans="1:23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</row>
    <row r="185" spans="1:23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</row>
    <row r="186" spans="1:23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</row>
    <row r="187" spans="1:23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</row>
    <row r="188" spans="1:23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</row>
    <row r="189" spans="1:23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</row>
    <row r="190" spans="1:23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</row>
    <row r="191" spans="1:23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</row>
    <row r="192" spans="1:23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</row>
    <row r="193" spans="1:2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</row>
    <row r="194" spans="1:23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</row>
    <row r="195" spans="1:23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</row>
    <row r="196" spans="1:23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</row>
    <row r="197" spans="1:23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</row>
    <row r="198" spans="1:23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</row>
    <row r="199" spans="1:23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</row>
    <row r="200" spans="1:23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</row>
    <row r="201" spans="1:23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</row>
    <row r="202" spans="1:23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</row>
    <row r="203" spans="1:2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</row>
    <row r="204" spans="1:23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</row>
    <row r="205" spans="1:23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</row>
    <row r="206" spans="1:23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</row>
    <row r="207" spans="1:23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</row>
    <row r="208" spans="1:23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</row>
    <row r="209" spans="1:23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</row>
    <row r="210" spans="1:23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</row>
    <row r="211" spans="1:23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</row>
    <row r="212" spans="1:23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</row>
    <row r="213" spans="1:2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</row>
    <row r="214" spans="1:23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</row>
    <row r="215" spans="1:23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</row>
    <row r="216" spans="1:23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</row>
    <row r="217" spans="1:23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</row>
    <row r="218" spans="1:23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</row>
    <row r="219" spans="1:23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</row>
    <row r="220" spans="1:23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</row>
    <row r="221" spans="1:23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</row>
    <row r="222" spans="1:23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</row>
    <row r="223" spans="1: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</row>
    <row r="224" spans="1:23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</row>
    <row r="225" spans="1:23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</row>
    <row r="226" spans="1:23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</row>
    <row r="227" spans="1:23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</row>
    <row r="228" spans="1:23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</row>
    <row r="229" spans="1:23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</row>
    <row r="230" spans="1:23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</row>
    <row r="231" spans="1:23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</row>
    <row r="232" spans="1:23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</row>
    <row r="233" spans="1:2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</row>
    <row r="234" spans="1:23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</row>
    <row r="235" spans="1:23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</row>
    <row r="236" spans="1:23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</row>
    <row r="237" spans="1:23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</row>
    <row r="238" spans="1:23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</row>
    <row r="239" spans="1:23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</row>
    <row r="240" spans="1:23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</row>
    <row r="241" spans="1:23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</row>
    <row r="242" spans="1:23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</row>
    <row r="243" spans="1:2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</row>
    <row r="244" spans="1:23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</row>
    <row r="245" spans="1:23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</row>
    <row r="246" spans="1:23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</row>
    <row r="247" spans="1:23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</row>
    <row r="248" spans="1:23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</row>
    <row r="249" spans="1:23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</row>
    <row r="250" spans="1:23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</row>
    <row r="251" spans="1:23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</row>
    <row r="252" spans="1:23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</row>
    <row r="253" spans="1:2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</row>
    <row r="254" spans="1:23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</row>
    <row r="255" spans="1:23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</row>
    <row r="256" spans="1:23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</row>
    <row r="257" spans="1:23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</row>
    <row r="258" spans="1:23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</row>
    <row r="259" spans="1:23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</row>
    <row r="260" spans="1:23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</row>
    <row r="261" spans="1:23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</row>
    <row r="262" spans="1:23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</row>
    <row r="263" spans="1:2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</row>
    <row r="264" spans="1:23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</row>
    <row r="265" spans="1:23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</row>
    <row r="266" spans="1:23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</row>
    <row r="267" spans="1:23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</row>
    <row r="268" spans="1:23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</row>
    <row r="269" spans="1:23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</row>
    <row r="270" spans="1:23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</row>
    <row r="271" spans="1:23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</row>
    <row r="272" spans="1:23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</row>
    <row r="273" spans="1:2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</row>
    <row r="274" spans="1:23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</row>
    <row r="275" spans="1:23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</row>
    <row r="276" spans="1:23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</row>
    <row r="277" spans="1:23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</row>
    <row r="278" spans="1:23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</row>
    <row r="279" spans="1:23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</row>
    <row r="280" spans="1:23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</row>
    <row r="281" spans="1:23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</row>
    <row r="282" spans="1:23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</row>
    <row r="283" spans="1:2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</row>
    <row r="284" spans="1:23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</row>
    <row r="285" spans="1:23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</row>
    <row r="286" spans="1:23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</row>
    <row r="287" spans="1:23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</row>
    <row r="288" spans="1:23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</row>
    <row r="289" spans="1:23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</row>
    <row r="290" spans="1:23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</row>
    <row r="291" spans="1:23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</row>
    <row r="292" spans="1:23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</row>
    <row r="293" spans="1:2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</row>
    <row r="294" spans="1:23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</row>
    <row r="295" spans="1:23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</row>
    <row r="296" spans="1:23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</row>
    <row r="297" spans="1:23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</row>
    <row r="298" spans="1:23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</row>
    <row r="299" spans="1:23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</row>
    <row r="300" spans="1:23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</row>
    <row r="301" spans="1:23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</row>
    <row r="302" spans="1:23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</row>
    <row r="303" spans="1:2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</row>
    <row r="304" spans="1:23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</row>
    <row r="305" spans="1:23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</row>
    <row r="306" spans="1:23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</row>
    <row r="307" spans="1:23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</row>
    <row r="308" spans="1:23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</row>
    <row r="309" spans="1:23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</row>
    <row r="310" spans="1:23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</row>
    <row r="311" spans="1:23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</row>
    <row r="312" spans="1:23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</row>
    <row r="313" spans="1:2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</row>
    <row r="314" spans="1:23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</row>
    <row r="315" spans="1:23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</row>
    <row r="316" spans="1:23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</row>
    <row r="317" spans="1:23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</row>
    <row r="318" spans="1:23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</row>
    <row r="319" spans="1:23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</row>
    <row r="320" spans="1:23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</row>
    <row r="321" spans="1:23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</row>
    <row r="322" spans="1:23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</row>
    <row r="323" spans="1: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</row>
    <row r="324" spans="1:23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</row>
    <row r="325" spans="1:23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</row>
    <row r="326" spans="1:23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</row>
    <row r="327" spans="1:23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</row>
    <row r="328" spans="1:23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</row>
    <row r="329" spans="1:23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</row>
    <row r="330" spans="1:23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</row>
    <row r="331" spans="1:23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</row>
    <row r="332" spans="1:23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</row>
    <row r="333" spans="1:2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</row>
    <row r="334" spans="1:23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</row>
    <row r="335" spans="1:23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</row>
    <row r="336" spans="1:23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</row>
    <row r="337" spans="1:23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</row>
    <row r="338" spans="1:23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</row>
    <row r="339" spans="1:23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</row>
    <row r="340" spans="1:23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</row>
    <row r="341" spans="1:23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</row>
    <row r="342" spans="1:23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</row>
    <row r="343" spans="1:2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</row>
    <row r="344" spans="1:23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</row>
    <row r="345" spans="1:23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</row>
    <row r="346" spans="1:23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</row>
    <row r="347" spans="1:23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</row>
    <row r="348" spans="1:23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</row>
    <row r="349" spans="1:23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</row>
    <row r="350" spans="1:23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</row>
    <row r="351" spans="1:23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</row>
    <row r="352" spans="1:23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</row>
    <row r="353" spans="1:2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</row>
    <row r="354" spans="1:23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</row>
    <row r="355" spans="1:23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</row>
    <row r="356" spans="1:23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</row>
    <row r="357" spans="1:23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</row>
    <row r="358" spans="1:23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</row>
    <row r="359" spans="1:23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</row>
    <row r="360" spans="1:23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</row>
    <row r="361" spans="1:23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</row>
    <row r="362" spans="1:23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</row>
    <row r="363" spans="1:2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</row>
    <row r="364" spans="1:23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</row>
    <row r="365" spans="1:23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</row>
    <row r="366" spans="1:23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</row>
    <row r="367" spans="1:23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</row>
    <row r="368" spans="1:23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</row>
    <row r="369" spans="1:23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</row>
    <row r="370" spans="1:23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</row>
    <row r="371" spans="1:23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</row>
    <row r="372" spans="1:23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</row>
    <row r="373" spans="1:2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</row>
    <row r="374" spans="1:23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</row>
    <row r="375" spans="1:23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</row>
    <row r="376" spans="1:23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</row>
    <row r="377" spans="1:23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</row>
    <row r="378" spans="1:23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</row>
    <row r="379" spans="1:23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</row>
    <row r="380" spans="1:23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</row>
    <row r="381" spans="1:23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</row>
    <row r="382" spans="1:23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</row>
    <row r="383" spans="1:2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</row>
    <row r="384" spans="1:23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</row>
    <row r="385" spans="1:23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</row>
    <row r="386" spans="1:23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</row>
    <row r="387" spans="1:23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</row>
    <row r="388" spans="1:23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</row>
    <row r="389" spans="1:23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</row>
    <row r="390" spans="1:23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</row>
    <row r="391" spans="1:23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</row>
    <row r="392" spans="1:23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</row>
    <row r="393" spans="1:2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</row>
    <row r="394" spans="1:23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</row>
    <row r="395" spans="1:23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</row>
    <row r="396" spans="1:23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</row>
    <row r="397" spans="1:23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</row>
    <row r="398" spans="1:23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</row>
    <row r="399" spans="1:23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</row>
    <row r="400" spans="1:23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</row>
    <row r="401" spans="1:23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</row>
    <row r="402" spans="1:23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</row>
    <row r="403" spans="1:2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</row>
    <row r="404" spans="1:23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</row>
    <row r="405" spans="1:23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</row>
    <row r="406" spans="1:23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</row>
    <row r="407" spans="1:23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</row>
    <row r="408" spans="1:23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</row>
    <row r="409" spans="1:23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</row>
    <row r="410" spans="1:23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</row>
    <row r="411" spans="1:23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</row>
    <row r="412" spans="1:23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</row>
    <row r="413" spans="1:2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</row>
    <row r="414" spans="1:23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</row>
    <row r="415" spans="1:23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</row>
    <row r="416" spans="1:23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</row>
    <row r="417" spans="1:23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</row>
    <row r="418" spans="1:23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</row>
    <row r="419" spans="1:23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</row>
    <row r="420" spans="1:23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</row>
    <row r="421" spans="1:23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</row>
    <row r="422" spans="1:23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</row>
    <row r="423" spans="1: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</row>
    <row r="424" spans="1:23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</row>
    <row r="425" spans="1:23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</row>
    <row r="426" spans="1:23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</row>
    <row r="427" spans="1:23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</row>
    <row r="428" spans="1:23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</row>
    <row r="429" spans="1:23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</row>
    <row r="430" spans="1:23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</row>
    <row r="431" spans="1:23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</row>
    <row r="432" spans="1:23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</row>
    <row r="433" spans="1:2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</row>
    <row r="434" spans="1:23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</row>
    <row r="435" spans="1:23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</row>
    <row r="436" spans="1:23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</row>
    <row r="437" spans="1:23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</row>
    <row r="438" spans="1:23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</row>
    <row r="439" spans="1:23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</row>
    <row r="440" spans="1:23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</row>
    <row r="441" spans="1:23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</row>
    <row r="442" spans="1:23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</row>
    <row r="443" spans="1:2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</row>
    <row r="444" spans="1:23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</row>
    <row r="445" spans="1:23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</row>
    <row r="446" spans="1:23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</row>
    <row r="447" spans="1:23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</row>
    <row r="448" spans="1:23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</row>
    <row r="449" spans="1:23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</row>
    <row r="450" spans="1:23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</row>
    <row r="451" spans="1:23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</row>
    <row r="452" spans="1:23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</row>
    <row r="453" spans="1:2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</row>
    <row r="454" spans="1:23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</row>
    <row r="455" spans="1:23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</row>
    <row r="456" spans="1:23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</row>
    <row r="457" spans="1:23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</row>
    <row r="458" spans="1:23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</row>
    <row r="459" spans="1:23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</row>
    <row r="460" spans="1:23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</row>
    <row r="461" spans="1:23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</row>
    <row r="462" spans="1:23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</row>
    <row r="463" spans="1:2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</row>
    <row r="464" spans="1:23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</row>
    <row r="465" spans="1:23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</row>
    <row r="466" spans="1:23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</row>
    <row r="467" spans="1:23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</row>
    <row r="468" spans="1:23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</row>
    <row r="469" spans="1:23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</row>
    <row r="470" spans="1:23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</row>
    <row r="471" spans="1:23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</row>
    <row r="472" spans="1:23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</row>
    <row r="473" spans="1:2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</row>
    <row r="474" spans="1:23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</row>
    <row r="475" spans="1:23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</row>
    <row r="476" spans="1:23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</row>
    <row r="477" spans="1:23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</row>
    <row r="478" spans="1:23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</row>
    <row r="479" spans="1:23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</row>
    <row r="480" spans="1:23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</row>
    <row r="481" spans="1:23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</row>
    <row r="482" spans="1:23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</row>
    <row r="483" spans="1:2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</row>
    <row r="484" spans="1:23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</row>
    <row r="485" spans="1:23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</row>
    <row r="486" spans="1:23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</row>
    <row r="487" spans="1:23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</row>
    <row r="488" spans="1:23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</row>
    <row r="489" spans="1:23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</row>
    <row r="490" spans="1:23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</row>
    <row r="491" spans="1:23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</row>
    <row r="492" spans="1:23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</row>
    <row r="493" spans="1:2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</row>
    <row r="494" spans="1:23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</row>
    <row r="495" spans="1:23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</row>
    <row r="496" spans="1:23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</row>
    <row r="497" spans="1:23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</row>
    <row r="498" spans="1:23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</row>
    <row r="499" spans="1:23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</row>
    <row r="500" spans="1:23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</row>
    <row r="501" spans="1:23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</row>
    <row r="502" spans="1:23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</row>
    <row r="503" spans="1:2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</row>
    <row r="504" spans="1:23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</row>
    <row r="505" spans="1:23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</row>
    <row r="506" spans="1:23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</row>
    <row r="507" spans="1:23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</row>
    <row r="508" spans="1:23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</row>
    <row r="509" spans="1:23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</row>
    <row r="510" spans="1:23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</row>
    <row r="511" spans="1:23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</row>
    <row r="512" spans="1:23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</row>
    <row r="513" spans="1:2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</row>
    <row r="514" spans="1:23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</row>
    <row r="515" spans="1:23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</row>
    <row r="516" spans="1:23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</row>
    <row r="517" spans="1:23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</row>
    <row r="518" spans="1:23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</row>
    <row r="519" spans="1:23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</row>
    <row r="520" spans="1:23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</row>
    <row r="521" spans="1:23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</row>
    <row r="522" spans="1:23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</row>
    <row r="523" spans="1: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</row>
    <row r="524" spans="1:23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</row>
    <row r="525" spans="1:23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</row>
    <row r="526" spans="1:23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</row>
    <row r="527" spans="1:23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</row>
    <row r="528" spans="1:23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</row>
    <row r="529" spans="1:23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</row>
    <row r="530" spans="1:23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</row>
    <row r="531" spans="1:23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</row>
    <row r="532" spans="1:23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</row>
    <row r="533" spans="1:2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</row>
    <row r="534" spans="1:23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</row>
    <row r="535" spans="1:23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</row>
    <row r="536" spans="1:23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</row>
    <row r="537" spans="1:23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</row>
    <row r="538" spans="1:23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</row>
    <row r="539" spans="1:23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</row>
    <row r="540" spans="1:23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</row>
    <row r="541" spans="1:23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</row>
    <row r="542" spans="1:23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</row>
    <row r="543" spans="1:2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</row>
    <row r="544" spans="1:23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</row>
    <row r="545" spans="1:23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</row>
    <row r="546" spans="1:23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</row>
    <row r="547" spans="1:23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</row>
    <row r="548" spans="1:23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</row>
    <row r="549" spans="1:23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</row>
    <row r="550" spans="1:23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</row>
    <row r="551" spans="1:23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</row>
    <row r="552" spans="1:23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</row>
    <row r="553" spans="1:2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</row>
    <row r="554" spans="1:23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</row>
    <row r="555" spans="1:23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</row>
    <row r="556" spans="1:23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</row>
    <row r="557" spans="1:23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</row>
    <row r="558" spans="1:23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</row>
    <row r="559" spans="1:23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</row>
    <row r="560" spans="1:23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</row>
    <row r="561" spans="1:23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</row>
    <row r="562" spans="1:23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</row>
    <row r="563" spans="1:2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</row>
    <row r="564" spans="1:23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</row>
    <row r="565" spans="1:23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</row>
    <row r="566" spans="1:23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</row>
    <row r="567" spans="1:23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</row>
    <row r="568" spans="1:23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</row>
    <row r="569" spans="1:23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</row>
    <row r="570" spans="1:23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</row>
    <row r="571" spans="1:23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</row>
    <row r="572" spans="1:23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</row>
    <row r="573" spans="1:2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</row>
    <row r="574" spans="1:23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</row>
    <row r="575" spans="1:23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</row>
    <row r="576" spans="1:23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</row>
    <row r="577" spans="1:23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</row>
    <row r="578" spans="1:23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</row>
    <row r="579" spans="1:23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</row>
    <row r="580" spans="1:23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</row>
    <row r="581" spans="1:23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</row>
    <row r="582" spans="1:23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</row>
    <row r="583" spans="1:2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</row>
    <row r="584" spans="1:23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</row>
    <row r="585" spans="1:23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</row>
    <row r="586" spans="1:23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</row>
    <row r="587" spans="1:23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</row>
    <row r="588" spans="1:23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</row>
    <row r="589" spans="1:23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</row>
    <row r="590" spans="1:23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</row>
    <row r="591" spans="1:23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</row>
    <row r="592" spans="1:23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</row>
    <row r="593" spans="1:2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</row>
    <row r="594" spans="1:23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</row>
    <row r="595" spans="1:23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</row>
    <row r="596" spans="1:23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</row>
    <row r="597" spans="1:23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</row>
    <row r="598" spans="1:23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</row>
    <row r="599" spans="1:23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</row>
    <row r="600" spans="1:23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</row>
    <row r="601" spans="1:23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</row>
    <row r="602" spans="1:23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</row>
    <row r="603" spans="1:2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</row>
    <row r="604" spans="1:23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</row>
    <row r="605" spans="1:23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</row>
    <row r="606" spans="1:23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</row>
    <row r="607" spans="1:23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</row>
    <row r="608" spans="1:23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</row>
    <row r="609" spans="1:23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</row>
    <row r="610" spans="1:23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</row>
    <row r="611" spans="1:23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</row>
    <row r="612" spans="1:23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</row>
    <row r="613" spans="1:2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</row>
    <row r="614" spans="1:23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</row>
    <row r="615" spans="1:23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</row>
    <row r="616" spans="1:23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</row>
    <row r="617" spans="1:23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</row>
    <row r="618" spans="1:23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</row>
    <row r="619" spans="1:23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</row>
    <row r="620" spans="1:23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</row>
    <row r="621" spans="1:23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</row>
    <row r="622" spans="1:23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</row>
    <row r="623" spans="1: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</row>
    <row r="624" spans="1:23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</row>
    <row r="625" spans="1:23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</row>
    <row r="626" spans="1:23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</row>
    <row r="627" spans="1:23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</row>
    <row r="628" spans="1:23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</row>
    <row r="629" spans="1:23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</row>
    <row r="630" spans="1:23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</row>
    <row r="631" spans="1:23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</row>
    <row r="632" spans="1:23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</row>
    <row r="633" spans="1:2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</row>
    <row r="634" spans="1:23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</row>
    <row r="635" spans="1:23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</row>
    <row r="636" spans="1:23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</row>
    <row r="637" spans="1:23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</row>
    <row r="638" spans="1:23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</row>
    <row r="639" spans="1:23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</row>
    <row r="640" spans="1:23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</row>
    <row r="641" spans="1:23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</row>
    <row r="642" spans="1:23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</row>
    <row r="643" spans="1:2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</row>
    <row r="644" spans="1:23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</row>
    <row r="645" spans="1:23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</row>
    <row r="646" spans="1:23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</row>
    <row r="647" spans="1:23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</row>
    <row r="648" spans="1:23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</row>
    <row r="649" spans="1:23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</row>
    <row r="650" spans="1:23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</row>
    <row r="651" spans="1:23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</row>
    <row r="652" spans="1:23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</row>
    <row r="653" spans="1:2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</row>
    <row r="654" spans="1:23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</row>
    <row r="655" spans="1:23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</row>
    <row r="656" spans="1:23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</row>
    <row r="657" spans="1:23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</row>
    <row r="658" spans="1:23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</row>
    <row r="659" spans="1:23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</row>
    <row r="660" spans="1:23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</row>
    <row r="661" spans="1:23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</row>
    <row r="662" spans="1:23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</row>
    <row r="663" spans="1:2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</row>
    <row r="664" spans="1:23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</row>
    <row r="665" spans="1:23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</row>
    <row r="666" spans="1:23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</row>
    <row r="667" spans="1:23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</row>
    <row r="668" spans="1:23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</row>
    <row r="669" spans="1:23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</row>
    <row r="670" spans="1:23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</row>
    <row r="671" spans="1:23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</row>
    <row r="672" spans="1:23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</row>
    <row r="673" spans="1:2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</row>
    <row r="674" spans="1:23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</row>
    <row r="675" spans="1:23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</row>
    <row r="676" spans="1:23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</row>
    <row r="677" spans="1:23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</row>
    <row r="678" spans="1:23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</row>
    <row r="679" spans="1:23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</row>
    <row r="680" spans="1:23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</row>
    <row r="681" spans="1:23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</row>
    <row r="682" spans="1:23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</row>
    <row r="683" spans="1:2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</row>
    <row r="684" spans="1:23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</row>
    <row r="685" spans="1:23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</row>
    <row r="686" spans="1:23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</row>
    <row r="687" spans="1:23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</row>
    <row r="688" spans="1:23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</row>
    <row r="689" spans="1:23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</row>
    <row r="690" spans="1:23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</row>
    <row r="691" spans="1:23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</row>
    <row r="692" spans="1:23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</row>
    <row r="693" spans="1:2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</row>
    <row r="694" spans="1:23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</row>
    <row r="695" spans="1:23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</row>
    <row r="696" spans="1:23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</row>
    <row r="697" spans="1:23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</row>
    <row r="698" spans="1:23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</row>
    <row r="699" spans="1:23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</row>
    <row r="700" spans="1:23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</row>
    <row r="701" spans="1:23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</row>
    <row r="702" spans="1:23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</row>
    <row r="703" spans="1:2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</row>
    <row r="704" spans="1:23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</row>
    <row r="705" spans="1:23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</row>
    <row r="706" spans="1:23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</row>
    <row r="707" spans="1:23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</row>
    <row r="708" spans="1:23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</row>
    <row r="709" spans="1:23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</row>
    <row r="710" spans="1:23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</row>
    <row r="711" spans="1:23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</row>
    <row r="712" spans="1:23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</row>
    <row r="713" spans="1:2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</row>
    <row r="714" spans="1:23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</row>
    <row r="715" spans="1:23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</row>
    <row r="716" spans="1:23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</row>
    <row r="717" spans="1:23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</row>
    <row r="718" spans="1:23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</row>
    <row r="719" spans="1:23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</row>
    <row r="720" spans="1:23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</row>
    <row r="721" spans="1:23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</row>
    <row r="722" spans="1:23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</row>
    <row r="723" spans="1: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</row>
    <row r="724" spans="1:23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</row>
    <row r="725" spans="1:23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</row>
    <row r="726" spans="1:23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</row>
    <row r="727" spans="1:23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</row>
    <row r="728" spans="1:23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</row>
    <row r="729" spans="1:23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</row>
    <row r="730" spans="1:23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</row>
    <row r="731" spans="1:23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</row>
    <row r="732" spans="1:23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</row>
    <row r="733" spans="1:2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</row>
    <row r="734" spans="1:23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</row>
    <row r="735" spans="1:23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</row>
    <row r="736" spans="1:23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</row>
    <row r="737" spans="1:23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</row>
    <row r="738" spans="1:23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</row>
    <row r="739" spans="1:23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</row>
    <row r="740" spans="1:23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</row>
    <row r="741" spans="1:23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</row>
    <row r="742" spans="1:23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</row>
    <row r="743" spans="1:2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</row>
    <row r="744" spans="1:23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</row>
    <row r="745" spans="1:23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</row>
    <row r="746" spans="1:23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</row>
    <row r="747" spans="1:23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</row>
    <row r="748" spans="1:23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</row>
    <row r="749" spans="1:23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</row>
    <row r="750" spans="1:23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</row>
    <row r="751" spans="1:23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</row>
    <row r="752" spans="1:23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</row>
    <row r="753" spans="1:2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</row>
    <row r="754" spans="1:23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</row>
    <row r="755" spans="1:23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</row>
    <row r="756" spans="1:23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</row>
    <row r="757" spans="1:23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</row>
    <row r="758" spans="1:23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</row>
    <row r="759" spans="1:23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</row>
    <row r="760" spans="1:23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</row>
    <row r="761" spans="1:23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</row>
    <row r="762" spans="1:23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</row>
    <row r="763" spans="1:2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</row>
    <row r="764" spans="1:23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</row>
    <row r="765" spans="1:23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</row>
    <row r="766" spans="1:23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</row>
    <row r="767" spans="1:23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</row>
    <row r="768" spans="1:23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</row>
    <row r="769" spans="1:23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</row>
    <row r="770" spans="1:23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</row>
    <row r="771" spans="1:23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</row>
    <row r="772" spans="1:23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</row>
    <row r="773" spans="1:2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</row>
    <row r="774" spans="1:23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</row>
    <row r="775" spans="1:23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</row>
    <row r="776" spans="1:23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</row>
    <row r="777" spans="1:23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</row>
    <row r="778" spans="1:23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</row>
    <row r="779" spans="1:23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</row>
    <row r="780" spans="1:23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</row>
    <row r="781" spans="1:23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</row>
    <row r="782" spans="1:23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</row>
    <row r="783" spans="1:2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</row>
    <row r="784" spans="1:23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</row>
    <row r="785" spans="1:23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</row>
    <row r="786" spans="1:23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</row>
    <row r="787" spans="1:23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</row>
    <row r="788" spans="1:23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</row>
    <row r="789" spans="1:23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</row>
    <row r="790" spans="1:23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</row>
    <row r="791" spans="1:23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</row>
    <row r="792" spans="1:23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</row>
    <row r="793" spans="1:2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</row>
    <row r="794" spans="1:23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</row>
    <row r="795" spans="1:23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</row>
    <row r="796" spans="1:23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</row>
    <row r="797" spans="1:23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</row>
    <row r="798" spans="1:23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</row>
    <row r="799" spans="1:23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</row>
    <row r="800" spans="1:23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</row>
    <row r="801" spans="1:23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</row>
    <row r="802" spans="1:23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</row>
    <row r="803" spans="1:2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</row>
    <row r="804" spans="1:23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</row>
    <row r="805" spans="1:23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</row>
    <row r="806" spans="1:23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</row>
    <row r="807" spans="1:23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</row>
    <row r="808" spans="1:23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</row>
    <row r="809" spans="1:23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</row>
    <row r="810" spans="1:23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</row>
    <row r="811" spans="1:23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</row>
    <row r="812" spans="1:23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</row>
    <row r="813" spans="1:2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</row>
    <row r="814" spans="1:23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</row>
    <row r="815" spans="1:23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</row>
    <row r="816" spans="1:23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</row>
    <row r="817" spans="1:23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</row>
    <row r="818" spans="1:23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</row>
    <row r="819" spans="1:23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</row>
    <row r="820" spans="1:23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</row>
    <row r="821" spans="1:23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</row>
    <row r="822" spans="1:23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</row>
    <row r="823" spans="1: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</row>
    <row r="824" spans="1:23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</row>
    <row r="825" spans="1:23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</row>
    <row r="826" spans="1:23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</row>
    <row r="827" spans="1:23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</row>
    <row r="828" spans="1:23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</row>
    <row r="829" spans="1:23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</row>
    <row r="830" spans="1:23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</row>
    <row r="831" spans="1:23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</row>
    <row r="832" spans="1:23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</row>
    <row r="833" spans="1:2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</row>
    <row r="834" spans="1:23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</row>
    <row r="835" spans="1:23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</row>
    <row r="836" spans="1:23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</row>
    <row r="837" spans="1:23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</row>
    <row r="838" spans="1:23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</row>
    <row r="839" spans="1:23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</row>
    <row r="840" spans="1:23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</row>
    <row r="841" spans="1:23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</row>
    <row r="842" spans="1:23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</row>
    <row r="843" spans="1:2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</row>
    <row r="844" spans="1:23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</row>
    <row r="845" spans="1:23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</row>
    <row r="846" spans="1:23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</row>
    <row r="847" spans="1:23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</row>
    <row r="848" spans="1:23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</row>
    <row r="849" spans="1:23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</row>
    <row r="850" spans="1:23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</row>
    <row r="851" spans="1:23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</row>
    <row r="852" spans="1:23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</row>
    <row r="853" spans="1:2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</row>
    <row r="854" spans="1:23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</row>
    <row r="855" spans="1:23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</row>
    <row r="856" spans="1:23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</row>
    <row r="857" spans="1:23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</row>
    <row r="858" spans="1:23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</row>
    <row r="859" spans="1:23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</row>
    <row r="860" spans="1:23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</row>
    <row r="861" spans="1:23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</row>
    <row r="862" spans="1:23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</row>
    <row r="863" spans="1:2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</row>
    <row r="864" spans="1:23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</row>
    <row r="865" spans="1:23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</row>
    <row r="866" spans="1:23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</row>
    <row r="867" spans="1:23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</row>
    <row r="868" spans="1:23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</row>
    <row r="869" spans="1:23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</row>
    <row r="870" spans="1:23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</row>
    <row r="871" spans="1:23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</row>
    <row r="872" spans="1:23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</row>
    <row r="873" spans="1:2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</row>
    <row r="874" spans="1:23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</row>
    <row r="875" spans="1:23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</row>
    <row r="876" spans="1:23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</row>
    <row r="877" spans="1:23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</row>
    <row r="878" spans="1:23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</row>
    <row r="879" spans="1:23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</row>
    <row r="880" spans="1:23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</row>
    <row r="881" spans="1:23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</row>
    <row r="882" spans="1:23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</row>
    <row r="883" spans="1:2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</row>
    <row r="884" spans="1:23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</row>
    <row r="885" spans="1:23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</row>
    <row r="886" spans="1:23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</row>
    <row r="887" spans="1:23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</row>
    <row r="888" spans="1:23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</row>
    <row r="889" spans="1:23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</row>
    <row r="890" spans="1:23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</row>
    <row r="891" spans="1:23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</row>
    <row r="892" spans="1:23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</row>
    <row r="893" spans="1:2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</row>
    <row r="894" spans="1:23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</row>
    <row r="895" spans="1:23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</row>
    <row r="896" spans="1:23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</row>
    <row r="897" spans="1:23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</row>
    <row r="898" spans="1:23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</row>
    <row r="899" spans="1:23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</row>
    <row r="900" spans="1:23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</row>
    <row r="901" spans="1:23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</row>
    <row r="902" spans="1:23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</row>
    <row r="903" spans="1:2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</row>
    <row r="904" spans="1:23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</row>
    <row r="905" spans="1:23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</row>
    <row r="906" spans="1:23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</row>
    <row r="907" spans="1:23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</row>
    <row r="908" spans="1:23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</row>
    <row r="909" spans="1:23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</row>
    <row r="910" spans="1:23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</row>
    <row r="911" spans="1:23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</row>
    <row r="912" spans="1:23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</row>
    <row r="913" spans="1:2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</row>
    <row r="914" spans="1:23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</row>
    <row r="915" spans="1:23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</row>
    <row r="916" spans="1:23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</row>
    <row r="917" spans="1:23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</row>
    <row r="918" spans="1:23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</row>
    <row r="919" spans="1:23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</row>
    <row r="920" spans="1:23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</row>
    <row r="921" spans="1:23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</row>
    <row r="922" spans="1:23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</row>
    <row r="923" spans="1: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</row>
    <row r="924" spans="1:23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</row>
    <row r="925" spans="1:23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</row>
    <row r="926" spans="1:23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</row>
    <row r="927" spans="1:23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</row>
    <row r="928" spans="1:23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</row>
    <row r="929" spans="1:23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</row>
    <row r="930" spans="1:23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</row>
    <row r="931" spans="1:23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</row>
    <row r="932" spans="1:23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</row>
    <row r="933" spans="1:2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</row>
    <row r="934" spans="1:23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</row>
    <row r="935" spans="1:23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</row>
    <row r="936" spans="1:23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</row>
    <row r="937" spans="1:23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</row>
    <row r="938" spans="1:23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</row>
    <row r="939" spans="1:23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</row>
    <row r="940" spans="1:23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</row>
    <row r="941" spans="1:23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</row>
    <row r="942" spans="1:23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</row>
    <row r="943" spans="1:2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</row>
    <row r="944" spans="1:23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</row>
    <row r="945" spans="1:23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</row>
    <row r="946" spans="1:23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</row>
    <row r="947" spans="1:23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</row>
    <row r="948" spans="1:23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</row>
    <row r="949" spans="1:23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</row>
    <row r="950" spans="1:23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</row>
    <row r="951" spans="1:23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</row>
    <row r="952" spans="1:23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</row>
    <row r="953" spans="1:2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</row>
    <row r="954" spans="1:23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</row>
    <row r="955" spans="1:23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</row>
    <row r="956" spans="1:23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</row>
    <row r="957" spans="1:23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</row>
    <row r="958" spans="1:23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</row>
    <row r="959" spans="1:23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</row>
    <row r="960" spans="1:23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</row>
    <row r="961" spans="1:23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</row>
    <row r="962" spans="1:23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</row>
    <row r="963" spans="1:2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</row>
    <row r="964" spans="1:23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</row>
    <row r="965" spans="1:23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</row>
    <row r="966" spans="1:23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</row>
    <row r="967" spans="1:23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</row>
    <row r="968" spans="1:23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</row>
    <row r="969" spans="1:23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</row>
    <row r="970" spans="1:23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</row>
    <row r="971" spans="1:23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</row>
    <row r="972" spans="1:23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</row>
    <row r="973" spans="1:2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</row>
    <row r="974" spans="1:23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</row>
    <row r="975" spans="1:23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</row>
    <row r="976" spans="1:23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</row>
    <row r="977" spans="1:23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</row>
    <row r="978" spans="1:23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</row>
    <row r="979" spans="1:23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</row>
    <row r="980" spans="1:23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</row>
    <row r="981" spans="1:23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</row>
    <row r="982" spans="1:23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</row>
    <row r="983" spans="1:2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</row>
    <row r="984" spans="1:23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</row>
    <row r="985" spans="1:23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</row>
    <row r="986" spans="1:23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</row>
    <row r="987" spans="1:23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</row>
    <row r="988" spans="1:23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</row>
    <row r="989" spans="1:23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</row>
    <row r="990" spans="1:23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</row>
    <row r="991" spans="1:23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</row>
    <row r="992" spans="1:23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</row>
    <row r="993" spans="1:2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</row>
    <row r="994" spans="1:23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</row>
    <row r="995" spans="1:23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</row>
    <row r="996" spans="1:23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</row>
    <row r="997" spans="1:23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</row>
    <row r="998" spans="1:23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</row>
    <row r="999" spans="1:23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</row>
  </sheetData>
  <autoFilter ref="A1:O53" xr:uid="{00000000-0009-0000-0000-000000000000}"/>
  <phoneticPr fontId="9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pane ySplit="1" topLeftCell="A2" activePane="bottomLeft" state="frozen"/>
      <selection pane="bottomLeft" activeCell="D22" sqref="D22"/>
    </sheetView>
  </sheetViews>
  <sheetFormatPr defaultColWidth="14.44140625" defaultRowHeight="15" customHeight="1"/>
  <cols>
    <col min="1" max="1" width="9.109375" customWidth="1"/>
    <col min="2" max="2" width="16.6640625" customWidth="1"/>
    <col min="3" max="3" width="46.6640625" customWidth="1"/>
    <col min="4" max="4" width="53.6640625" bestFit="1" customWidth="1"/>
    <col min="5" max="5" width="67.33203125" bestFit="1" customWidth="1"/>
    <col min="6" max="26" width="8.6640625" customWidth="1"/>
  </cols>
  <sheetData>
    <row r="1" spans="1:5" ht="14.4">
      <c r="A1" s="3" t="s">
        <v>2</v>
      </c>
      <c r="B1" s="6" t="s">
        <v>7</v>
      </c>
      <c r="C1" s="8" t="s">
        <v>13</v>
      </c>
      <c r="D1" s="16" t="s">
        <v>268</v>
      </c>
      <c r="E1" s="16" t="s">
        <v>269</v>
      </c>
    </row>
    <row r="2" spans="1:5" ht="14.4">
      <c r="A2" s="3">
        <v>5</v>
      </c>
      <c r="B2" s="10" t="s">
        <v>25</v>
      </c>
      <c r="C2" s="13" t="s">
        <v>28</v>
      </c>
      <c r="D2" s="16" t="s">
        <v>270</v>
      </c>
      <c r="E2" s="16" t="s">
        <v>271</v>
      </c>
    </row>
    <row r="3" spans="1:5" ht="14.4">
      <c r="A3" s="3">
        <v>4</v>
      </c>
      <c r="B3" s="10" t="s">
        <v>36</v>
      </c>
      <c r="C3" s="13" t="s">
        <v>28</v>
      </c>
      <c r="D3" s="16" t="s">
        <v>272</v>
      </c>
      <c r="E3" s="16" t="s">
        <v>273</v>
      </c>
    </row>
    <row r="4" spans="1:5" ht="14.4">
      <c r="A4" s="3">
        <v>3</v>
      </c>
      <c r="B4" s="10" t="s">
        <v>37</v>
      </c>
      <c r="C4" s="13" t="s">
        <v>38</v>
      </c>
      <c r="D4" s="16" t="s">
        <v>274</v>
      </c>
      <c r="E4" s="16" t="s">
        <v>275</v>
      </c>
    </row>
    <row r="5" spans="1:5" ht="14.4">
      <c r="A5" s="3">
        <v>2</v>
      </c>
      <c r="B5" s="10" t="s">
        <v>39</v>
      </c>
      <c r="C5" s="8" t="s">
        <v>40</v>
      </c>
      <c r="D5" s="16" t="s">
        <v>276</v>
      </c>
      <c r="E5" s="16" t="s">
        <v>277</v>
      </c>
    </row>
    <row r="6" spans="1:5" ht="14.4">
      <c r="A6" s="3">
        <v>1</v>
      </c>
      <c r="B6" s="10" t="s">
        <v>39</v>
      </c>
      <c r="C6" s="8" t="s">
        <v>40</v>
      </c>
      <c r="D6" s="16" t="s">
        <v>278</v>
      </c>
      <c r="E6" s="16" t="s">
        <v>279</v>
      </c>
    </row>
    <row r="7" spans="1:5" ht="14.4">
      <c r="A7" s="3">
        <v>0</v>
      </c>
      <c r="B7" s="10"/>
      <c r="C7" s="13" t="s">
        <v>43</v>
      </c>
      <c r="D7" s="16" t="s">
        <v>280</v>
      </c>
      <c r="E7" s="16" t="s">
        <v>281</v>
      </c>
    </row>
    <row r="8" spans="1:5" ht="14.4">
      <c r="A8" s="15"/>
    </row>
    <row r="9" spans="1:5" ht="14.4">
      <c r="A9" s="15"/>
    </row>
    <row r="10" spans="1:5" ht="14.4">
      <c r="A10" s="15"/>
    </row>
    <row r="11" spans="1:5" ht="14.4">
      <c r="A11" s="15"/>
    </row>
    <row r="12" spans="1:5" ht="14.4">
      <c r="A12" s="15"/>
    </row>
    <row r="13" spans="1:5" ht="14.4">
      <c r="A13" s="15"/>
    </row>
    <row r="14" spans="1:5" ht="14.4">
      <c r="A14" s="15"/>
    </row>
    <row r="15" spans="1:5" ht="14.4">
      <c r="A15" s="15"/>
    </row>
    <row r="16" spans="1:5" ht="14.4">
      <c r="A16" s="15"/>
    </row>
    <row r="17" spans="1:1" ht="14.4">
      <c r="A17" s="15"/>
    </row>
    <row r="18" spans="1:1" ht="14.4">
      <c r="A18" s="15"/>
    </row>
    <row r="19" spans="1:1" ht="14.4">
      <c r="A19" s="15"/>
    </row>
    <row r="20" spans="1:1" ht="14.4">
      <c r="A20" s="15"/>
    </row>
    <row r="21" spans="1:1" ht="15.75" customHeight="1">
      <c r="A21" s="15"/>
    </row>
    <row r="22" spans="1:1" ht="15.75" customHeight="1">
      <c r="A22" s="15"/>
    </row>
    <row r="23" spans="1:1" ht="15.75" customHeight="1">
      <c r="A23" s="15"/>
    </row>
    <row r="24" spans="1:1" ht="15.75" customHeight="1">
      <c r="A24" s="15"/>
    </row>
    <row r="25" spans="1:1" ht="15.75" customHeight="1">
      <c r="A25" s="15"/>
    </row>
    <row r="26" spans="1:1" ht="15.75" customHeight="1">
      <c r="A26" s="15"/>
    </row>
    <row r="27" spans="1:1" ht="15.75" customHeight="1">
      <c r="A27" s="15"/>
    </row>
    <row r="28" spans="1:1" ht="15.75" customHeight="1">
      <c r="A28" s="15"/>
    </row>
    <row r="29" spans="1:1" ht="15.75" customHeight="1">
      <c r="A29" s="15"/>
    </row>
    <row r="30" spans="1:1" ht="15.75" customHeight="1">
      <c r="A30" s="15"/>
    </row>
    <row r="31" spans="1:1" ht="15.75" customHeight="1">
      <c r="A31" s="15"/>
    </row>
    <row r="32" spans="1:1" ht="15.75" customHeight="1">
      <c r="A32" s="15"/>
    </row>
    <row r="33" spans="1:1" ht="15.75" customHeight="1">
      <c r="A33" s="15"/>
    </row>
    <row r="34" spans="1:1" ht="15.75" customHeight="1">
      <c r="A34" s="15"/>
    </row>
    <row r="35" spans="1:1" ht="15.75" customHeight="1">
      <c r="A35" s="15"/>
    </row>
    <row r="36" spans="1:1" ht="15.75" customHeight="1">
      <c r="A36" s="15"/>
    </row>
    <row r="37" spans="1:1" ht="15.75" customHeight="1">
      <c r="A37" s="15"/>
    </row>
    <row r="38" spans="1:1" ht="15.75" customHeight="1">
      <c r="A38" s="15"/>
    </row>
    <row r="39" spans="1:1" ht="15.75" customHeight="1">
      <c r="A39" s="15"/>
    </row>
    <row r="40" spans="1:1" ht="15.75" customHeight="1">
      <c r="A40" s="15"/>
    </row>
    <row r="41" spans="1:1" ht="15.75" customHeight="1">
      <c r="A41" s="15"/>
    </row>
    <row r="42" spans="1:1" ht="15.75" customHeight="1">
      <c r="A42" s="15"/>
    </row>
    <row r="43" spans="1:1" ht="15.75" customHeight="1">
      <c r="A43" s="15"/>
    </row>
    <row r="44" spans="1:1" ht="15.75" customHeight="1">
      <c r="A44" s="15"/>
    </row>
    <row r="45" spans="1:1" ht="15.75" customHeight="1">
      <c r="A45" s="15"/>
    </row>
    <row r="46" spans="1:1" ht="15.75" customHeight="1">
      <c r="A46" s="15"/>
    </row>
    <row r="47" spans="1:1" ht="15.75" customHeight="1">
      <c r="A47" s="15"/>
    </row>
    <row r="48" spans="1:1" ht="15.75" customHeight="1">
      <c r="A48" s="15"/>
    </row>
    <row r="49" spans="1:1" ht="15.75" customHeight="1">
      <c r="A49" s="15"/>
    </row>
    <row r="50" spans="1:1" ht="15.75" customHeight="1">
      <c r="A50" s="15"/>
    </row>
    <row r="51" spans="1:1" ht="15.75" customHeight="1">
      <c r="A51" s="15"/>
    </row>
    <row r="52" spans="1:1" ht="15.75" customHeight="1">
      <c r="A52" s="15"/>
    </row>
    <row r="53" spans="1:1" ht="15.75" customHeight="1">
      <c r="A53" s="15"/>
    </row>
    <row r="54" spans="1:1" ht="15.75" customHeight="1">
      <c r="A54" s="15"/>
    </row>
    <row r="55" spans="1:1" ht="15.75" customHeight="1">
      <c r="A55" s="15"/>
    </row>
    <row r="56" spans="1:1" ht="15.75" customHeight="1">
      <c r="A56" s="15"/>
    </row>
    <row r="57" spans="1:1" ht="15.75" customHeight="1">
      <c r="A57" s="15"/>
    </row>
    <row r="58" spans="1:1" ht="15.75" customHeight="1">
      <c r="A58" s="15"/>
    </row>
    <row r="59" spans="1:1" ht="15.75" customHeight="1">
      <c r="A59" s="15"/>
    </row>
    <row r="60" spans="1:1" ht="15.75" customHeight="1">
      <c r="A60" s="15"/>
    </row>
    <row r="61" spans="1:1" ht="15.75" customHeight="1">
      <c r="A61" s="15"/>
    </row>
    <row r="62" spans="1:1" ht="15.75" customHeight="1">
      <c r="A62" s="15"/>
    </row>
    <row r="63" spans="1:1" ht="15.75" customHeight="1">
      <c r="A63" s="15"/>
    </row>
    <row r="64" spans="1:1" ht="15.75" customHeight="1">
      <c r="A64" s="15"/>
    </row>
    <row r="65" spans="1:1" ht="15.75" customHeight="1">
      <c r="A65" s="15"/>
    </row>
    <row r="66" spans="1:1" ht="15.75" customHeight="1">
      <c r="A66" s="15"/>
    </row>
    <row r="67" spans="1:1" ht="15.75" customHeight="1">
      <c r="A67" s="15"/>
    </row>
    <row r="68" spans="1:1" ht="15.75" customHeight="1">
      <c r="A68" s="15"/>
    </row>
    <row r="69" spans="1:1" ht="15.75" customHeight="1">
      <c r="A69" s="15"/>
    </row>
    <row r="70" spans="1:1" ht="15.75" customHeight="1">
      <c r="A70" s="15"/>
    </row>
    <row r="71" spans="1:1" ht="15.75" customHeight="1">
      <c r="A71" s="15"/>
    </row>
    <row r="72" spans="1:1" ht="15.75" customHeight="1">
      <c r="A72" s="15"/>
    </row>
    <row r="73" spans="1:1" ht="15.75" customHeight="1">
      <c r="A73" s="15"/>
    </row>
    <row r="74" spans="1:1" ht="15.75" customHeight="1">
      <c r="A74" s="15"/>
    </row>
    <row r="75" spans="1:1" ht="15.75" customHeight="1">
      <c r="A75" s="15"/>
    </row>
    <row r="76" spans="1:1" ht="15.75" customHeight="1">
      <c r="A76" s="15"/>
    </row>
    <row r="77" spans="1:1" ht="15.75" customHeight="1">
      <c r="A77" s="15"/>
    </row>
    <row r="78" spans="1:1" ht="15.75" customHeight="1">
      <c r="A78" s="15"/>
    </row>
    <row r="79" spans="1:1" ht="15.75" customHeight="1">
      <c r="A79" s="15"/>
    </row>
    <row r="80" spans="1:1" ht="15.75" customHeight="1">
      <c r="A80" s="15"/>
    </row>
    <row r="81" spans="1:1" ht="15.75" customHeight="1">
      <c r="A81" s="15"/>
    </row>
    <row r="82" spans="1:1" ht="15.75" customHeight="1">
      <c r="A82" s="15"/>
    </row>
    <row r="83" spans="1:1" ht="15.75" customHeight="1">
      <c r="A83" s="15"/>
    </row>
    <row r="84" spans="1:1" ht="15.75" customHeight="1">
      <c r="A84" s="15"/>
    </row>
    <row r="85" spans="1:1" ht="15.75" customHeight="1">
      <c r="A85" s="15"/>
    </row>
    <row r="86" spans="1:1" ht="15.75" customHeight="1">
      <c r="A86" s="15"/>
    </row>
    <row r="87" spans="1:1" ht="15.75" customHeight="1">
      <c r="A87" s="15"/>
    </row>
    <row r="88" spans="1:1" ht="15.75" customHeight="1">
      <c r="A88" s="15"/>
    </row>
    <row r="89" spans="1:1" ht="15.75" customHeight="1">
      <c r="A89" s="15"/>
    </row>
    <row r="90" spans="1:1" ht="15.75" customHeight="1">
      <c r="A90" s="15"/>
    </row>
    <row r="91" spans="1:1" ht="15.75" customHeight="1">
      <c r="A91" s="15"/>
    </row>
    <row r="92" spans="1:1" ht="15.75" customHeight="1">
      <c r="A92" s="15"/>
    </row>
    <row r="93" spans="1:1" ht="15.75" customHeight="1">
      <c r="A93" s="15"/>
    </row>
    <row r="94" spans="1:1" ht="15.75" customHeight="1">
      <c r="A94" s="15"/>
    </row>
    <row r="95" spans="1:1" ht="15.75" customHeight="1">
      <c r="A95" s="15"/>
    </row>
    <row r="96" spans="1:1" ht="15.75" customHeight="1">
      <c r="A96" s="15"/>
    </row>
    <row r="97" spans="1:1" ht="15.75" customHeight="1">
      <c r="A97" s="15"/>
    </row>
    <row r="98" spans="1:1" ht="15.75" customHeight="1">
      <c r="A98" s="15"/>
    </row>
    <row r="99" spans="1:1" ht="15.75" customHeight="1">
      <c r="A99" s="15"/>
    </row>
    <row r="100" spans="1:1" ht="15.75" customHeight="1">
      <c r="A100" s="15"/>
    </row>
    <row r="101" spans="1:1" ht="15.75" customHeight="1">
      <c r="A101" s="15"/>
    </row>
    <row r="102" spans="1:1" ht="15.75" customHeight="1">
      <c r="A102" s="15"/>
    </row>
    <row r="103" spans="1:1" ht="15.75" customHeight="1">
      <c r="A103" s="15"/>
    </row>
    <row r="104" spans="1:1" ht="15.75" customHeight="1">
      <c r="A104" s="15"/>
    </row>
    <row r="105" spans="1:1" ht="15.75" customHeight="1">
      <c r="A105" s="15"/>
    </row>
    <row r="106" spans="1:1" ht="15.75" customHeight="1">
      <c r="A106" s="15"/>
    </row>
    <row r="107" spans="1:1" ht="15.75" customHeight="1">
      <c r="A107" s="15"/>
    </row>
    <row r="108" spans="1:1" ht="15.75" customHeight="1">
      <c r="A108" s="15"/>
    </row>
    <row r="109" spans="1:1" ht="15.75" customHeight="1">
      <c r="A109" s="15"/>
    </row>
    <row r="110" spans="1:1" ht="15.75" customHeight="1">
      <c r="A110" s="15"/>
    </row>
    <row r="111" spans="1:1" ht="15.75" customHeight="1">
      <c r="A111" s="15"/>
    </row>
    <row r="112" spans="1:1" ht="15.75" customHeight="1">
      <c r="A112" s="15"/>
    </row>
    <row r="113" spans="1:1" ht="15.75" customHeight="1">
      <c r="A113" s="15"/>
    </row>
    <row r="114" spans="1:1" ht="15.75" customHeight="1">
      <c r="A114" s="15"/>
    </row>
    <row r="115" spans="1:1" ht="15.75" customHeight="1">
      <c r="A115" s="15"/>
    </row>
    <row r="116" spans="1:1" ht="15.75" customHeight="1">
      <c r="A116" s="15"/>
    </row>
    <row r="117" spans="1:1" ht="15.75" customHeight="1">
      <c r="A117" s="15"/>
    </row>
    <row r="118" spans="1:1" ht="15.75" customHeight="1">
      <c r="A118" s="15"/>
    </row>
    <row r="119" spans="1:1" ht="15.75" customHeight="1">
      <c r="A119" s="15"/>
    </row>
    <row r="120" spans="1:1" ht="15.75" customHeight="1">
      <c r="A120" s="15"/>
    </row>
    <row r="121" spans="1:1" ht="15.75" customHeight="1">
      <c r="A121" s="15"/>
    </row>
    <row r="122" spans="1:1" ht="15.75" customHeight="1">
      <c r="A122" s="15"/>
    </row>
    <row r="123" spans="1:1" ht="15.75" customHeight="1">
      <c r="A123" s="15"/>
    </row>
    <row r="124" spans="1:1" ht="15.75" customHeight="1">
      <c r="A124" s="15"/>
    </row>
    <row r="125" spans="1:1" ht="15.75" customHeight="1">
      <c r="A125" s="15"/>
    </row>
    <row r="126" spans="1:1" ht="15.75" customHeight="1">
      <c r="A126" s="15"/>
    </row>
    <row r="127" spans="1:1" ht="15.75" customHeight="1">
      <c r="A127" s="15"/>
    </row>
    <row r="128" spans="1:1" ht="15.75" customHeight="1">
      <c r="A128" s="15"/>
    </row>
    <row r="129" spans="1:1" ht="15.75" customHeight="1">
      <c r="A129" s="15"/>
    </row>
    <row r="130" spans="1:1" ht="15.75" customHeight="1">
      <c r="A130" s="15"/>
    </row>
    <row r="131" spans="1:1" ht="15.75" customHeight="1">
      <c r="A131" s="15"/>
    </row>
    <row r="132" spans="1:1" ht="15.75" customHeight="1">
      <c r="A132" s="15"/>
    </row>
    <row r="133" spans="1:1" ht="15.75" customHeight="1">
      <c r="A133" s="15"/>
    </row>
    <row r="134" spans="1:1" ht="15.75" customHeight="1">
      <c r="A134" s="15"/>
    </row>
    <row r="135" spans="1:1" ht="15.75" customHeight="1">
      <c r="A135" s="15"/>
    </row>
    <row r="136" spans="1:1" ht="15.75" customHeight="1">
      <c r="A136" s="15"/>
    </row>
    <row r="137" spans="1:1" ht="15.75" customHeight="1">
      <c r="A137" s="15"/>
    </row>
    <row r="138" spans="1:1" ht="15.75" customHeight="1">
      <c r="A138" s="15"/>
    </row>
    <row r="139" spans="1:1" ht="15.75" customHeight="1">
      <c r="A139" s="15"/>
    </row>
    <row r="140" spans="1:1" ht="15.75" customHeight="1">
      <c r="A140" s="15"/>
    </row>
    <row r="141" spans="1:1" ht="15.75" customHeight="1">
      <c r="A141" s="15"/>
    </row>
    <row r="142" spans="1:1" ht="15.75" customHeight="1">
      <c r="A142" s="15"/>
    </row>
    <row r="143" spans="1:1" ht="15.75" customHeight="1">
      <c r="A143" s="15"/>
    </row>
    <row r="144" spans="1:1" ht="15.75" customHeight="1">
      <c r="A144" s="15"/>
    </row>
    <row r="145" spans="1:1" ht="15.75" customHeight="1">
      <c r="A145" s="15"/>
    </row>
    <row r="146" spans="1:1" ht="15.75" customHeight="1">
      <c r="A146" s="15"/>
    </row>
    <row r="147" spans="1:1" ht="15.75" customHeight="1">
      <c r="A147" s="15"/>
    </row>
    <row r="148" spans="1:1" ht="15.75" customHeight="1">
      <c r="A148" s="15"/>
    </row>
    <row r="149" spans="1:1" ht="15.75" customHeight="1">
      <c r="A149" s="15"/>
    </row>
    <row r="150" spans="1:1" ht="15.75" customHeight="1">
      <c r="A150" s="15"/>
    </row>
    <row r="151" spans="1:1" ht="15.75" customHeight="1">
      <c r="A151" s="15"/>
    </row>
    <row r="152" spans="1:1" ht="15.75" customHeight="1">
      <c r="A152" s="15"/>
    </row>
    <row r="153" spans="1:1" ht="15.75" customHeight="1">
      <c r="A153" s="15"/>
    </row>
    <row r="154" spans="1:1" ht="15.75" customHeight="1">
      <c r="A154" s="15"/>
    </row>
    <row r="155" spans="1:1" ht="15.75" customHeight="1">
      <c r="A155" s="15"/>
    </row>
    <row r="156" spans="1:1" ht="15.75" customHeight="1">
      <c r="A156" s="15"/>
    </row>
    <row r="157" spans="1:1" ht="15.75" customHeight="1">
      <c r="A157" s="15"/>
    </row>
    <row r="158" spans="1:1" ht="15.75" customHeight="1">
      <c r="A158" s="15"/>
    </row>
    <row r="159" spans="1:1" ht="15.75" customHeight="1">
      <c r="A159" s="15"/>
    </row>
    <row r="160" spans="1:1" ht="15.75" customHeight="1">
      <c r="A160" s="15"/>
    </row>
    <row r="161" spans="1:1" ht="15.75" customHeight="1">
      <c r="A161" s="15"/>
    </row>
    <row r="162" spans="1:1" ht="15.75" customHeight="1">
      <c r="A162" s="15"/>
    </row>
    <row r="163" spans="1:1" ht="15.75" customHeight="1">
      <c r="A163" s="15"/>
    </row>
    <row r="164" spans="1:1" ht="15.75" customHeight="1">
      <c r="A164" s="15"/>
    </row>
    <row r="165" spans="1:1" ht="15.75" customHeight="1">
      <c r="A165" s="15"/>
    </row>
    <row r="166" spans="1:1" ht="15.75" customHeight="1">
      <c r="A166" s="15"/>
    </row>
    <row r="167" spans="1:1" ht="15.75" customHeight="1">
      <c r="A167" s="15"/>
    </row>
    <row r="168" spans="1:1" ht="15.75" customHeight="1">
      <c r="A168" s="15"/>
    </row>
    <row r="169" spans="1:1" ht="15.75" customHeight="1">
      <c r="A169" s="15"/>
    </row>
    <row r="170" spans="1:1" ht="15.75" customHeight="1">
      <c r="A170" s="15"/>
    </row>
    <row r="171" spans="1:1" ht="15.75" customHeight="1">
      <c r="A171" s="15"/>
    </row>
    <row r="172" spans="1:1" ht="15.75" customHeight="1">
      <c r="A172" s="15"/>
    </row>
    <row r="173" spans="1:1" ht="15.75" customHeight="1">
      <c r="A173" s="15"/>
    </row>
    <row r="174" spans="1:1" ht="15.75" customHeight="1">
      <c r="A174" s="15"/>
    </row>
    <row r="175" spans="1:1" ht="15.75" customHeight="1">
      <c r="A175" s="15"/>
    </row>
    <row r="176" spans="1:1" ht="15.75" customHeight="1">
      <c r="A176" s="15"/>
    </row>
    <row r="177" spans="1:1" ht="15.75" customHeight="1">
      <c r="A177" s="15"/>
    </row>
    <row r="178" spans="1:1" ht="15.75" customHeight="1">
      <c r="A178" s="15"/>
    </row>
    <row r="179" spans="1:1" ht="15.75" customHeight="1">
      <c r="A179" s="15"/>
    </row>
    <row r="180" spans="1:1" ht="15.75" customHeight="1">
      <c r="A180" s="15"/>
    </row>
    <row r="181" spans="1:1" ht="15.75" customHeight="1">
      <c r="A181" s="15"/>
    </row>
    <row r="182" spans="1:1" ht="15.75" customHeight="1">
      <c r="A182" s="15"/>
    </row>
    <row r="183" spans="1:1" ht="15.75" customHeight="1">
      <c r="A183" s="15"/>
    </row>
    <row r="184" spans="1:1" ht="15.75" customHeight="1">
      <c r="A184" s="15"/>
    </row>
    <row r="185" spans="1:1" ht="15.75" customHeight="1">
      <c r="A185" s="15"/>
    </row>
    <row r="186" spans="1:1" ht="15.75" customHeight="1">
      <c r="A186" s="15"/>
    </row>
    <row r="187" spans="1:1" ht="15.75" customHeight="1">
      <c r="A187" s="15"/>
    </row>
    <row r="188" spans="1:1" ht="15.75" customHeight="1">
      <c r="A188" s="15"/>
    </row>
    <row r="189" spans="1:1" ht="15.75" customHeight="1">
      <c r="A189" s="15"/>
    </row>
    <row r="190" spans="1:1" ht="15.75" customHeight="1">
      <c r="A190" s="15"/>
    </row>
    <row r="191" spans="1:1" ht="15.75" customHeight="1">
      <c r="A191" s="15"/>
    </row>
    <row r="192" spans="1:1" ht="15.75" customHeight="1">
      <c r="A192" s="15"/>
    </row>
    <row r="193" spans="1:1" ht="15.75" customHeight="1">
      <c r="A193" s="15"/>
    </row>
    <row r="194" spans="1:1" ht="15.75" customHeight="1">
      <c r="A194" s="15"/>
    </row>
    <row r="195" spans="1:1" ht="15.75" customHeight="1">
      <c r="A195" s="15"/>
    </row>
    <row r="196" spans="1:1" ht="15.75" customHeight="1">
      <c r="A196" s="15"/>
    </row>
    <row r="197" spans="1:1" ht="15.75" customHeight="1">
      <c r="A197" s="15"/>
    </row>
    <row r="198" spans="1:1" ht="15.75" customHeight="1">
      <c r="A198" s="15"/>
    </row>
    <row r="199" spans="1:1" ht="15.75" customHeight="1">
      <c r="A199" s="15"/>
    </row>
    <row r="200" spans="1:1" ht="15.75" customHeight="1">
      <c r="A200" s="15"/>
    </row>
    <row r="201" spans="1:1" ht="15.75" customHeight="1">
      <c r="A201" s="15"/>
    </row>
    <row r="202" spans="1:1" ht="15.75" customHeight="1">
      <c r="A202" s="15"/>
    </row>
    <row r="203" spans="1:1" ht="15.75" customHeight="1">
      <c r="A203" s="15"/>
    </row>
    <row r="204" spans="1:1" ht="15.75" customHeight="1">
      <c r="A204" s="15"/>
    </row>
    <row r="205" spans="1:1" ht="15.75" customHeight="1">
      <c r="A205" s="15"/>
    </row>
    <row r="206" spans="1:1" ht="15.75" customHeight="1">
      <c r="A206" s="15"/>
    </row>
    <row r="207" spans="1:1" ht="15.75" customHeight="1">
      <c r="A207" s="15"/>
    </row>
    <row r="208" spans="1:1" ht="15.75" customHeight="1">
      <c r="A208" s="15"/>
    </row>
    <row r="209" spans="1:1" ht="15.75" customHeight="1">
      <c r="A209" s="15"/>
    </row>
    <row r="210" spans="1:1" ht="15.75" customHeight="1">
      <c r="A210" s="15"/>
    </row>
    <row r="211" spans="1:1" ht="15.75" customHeight="1">
      <c r="A211" s="15"/>
    </row>
    <row r="212" spans="1:1" ht="15.75" customHeight="1">
      <c r="A212" s="15"/>
    </row>
    <row r="213" spans="1:1" ht="15.75" customHeight="1">
      <c r="A213" s="15"/>
    </row>
    <row r="214" spans="1:1" ht="15.75" customHeight="1">
      <c r="A214" s="15"/>
    </row>
    <row r="215" spans="1:1" ht="15.75" customHeight="1">
      <c r="A215" s="15"/>
    </row>
    <row r="216" spans="1:1" ht="15.75" customHeight="1">
      <c r="A216" s="15"/>
    </row>
    <row r="217" spans="1:1" ht="15.75" customHeight="1">
      <c r="A217" s="15"/>
    </row>
    <row r="218" spans="1:1" ht="15.75" customHeight="1">
      <c r="A218" s="15"/>
    </row>
    <row r="219" spans="1:1" ht="15.75" customHeight="1">
      <c r="A219" s="15"/>
    </row>
    <row r="220" spans="1:1" ht="15.75" customHeight="1">
      <c r="A220" s="15"/>
    </row>
    <row r="221" spans="1:1" ht="15.75" customHeight="1">
      <c r="A221" s="15"/>
    </row>
    <row r="222" spans="1:1" ht="15.75" customHeight="1">
      <c r="A222" s="15"/>
    </row>
    <row r="223" spans="1:1" ht="15.75" customHeight="1">
      <c r="A223" s="15"/>
    </row>
    <row r="224" spans="1:1" ht="15.75" customHeight="1">
      <c r="A224" s="15"/>
    </row>
    <row r="225" spans="1:1" ht="15.75" customHeight="1">
      <c r="A225" s="15"/>
    </row>
    <row r="226" spans="1:1" ht="15.75" customHeight="1">
      <c r="A226" s="15"/>
    </row>
    <row r="227" spans="1:1" ht="15.75" customHeight="1">
      <c r="A227" s="15"/>
    </row>
    <row r="228" spans="1:1" ht="15.75" customHeight="1">
      <c r="A228" s="15"/>
    </row>
    <row r="229" spans="1:1" ht="15.75" customHeight="1">
      <c r="A229" s="15"/>
    </row>
    <row r="230" spans="1:1" ht="15.75" customHeight="1">
      <c r="A230" s="15"/>
    </row>
    <row r="231" spans="1:1" ht="15.75" customHeight="1">
      <c r="A231" s="15"/>
    </row>
    <row r="232" spans="1:1" ht="15.75" customHeight="1">
      <c r="A232" s="15"/>
    </row>
    <row r="233" spans="1:1" ht="15.75" customHeight="1">
      <c r="A233" s="15"/>
    </row>
    <row r="234" spans="1:1" ht="15.75" customHeight="1">
      <c r="A234" s="15"/>
    </row>
    <row r="235" spans="1:1" ht="15.75" customHeight="1">
      <c r="A235" s="15"/>
    </row>
    <row r="236" spans="1:1" ht="15.75" customHeight="1">
      <c r="A236" s="15"/>
    </row>
    <row r="237" spans="1:1" ht="15.75" customHeight="1">
      <c r="A237" s="15"/>
    </row>
    <row r="238" spans="1:1" ht="15.75" customHeight="1">
      <c r="A238" s="15"/>
    </row>
    <row r="239" spans="1:1" ht="15.75" customHeight="1">
      <c r="A239" s="15"/>
    </row>
    <row r="240" spans="1:1" ht="15.75" customHeight="1">
      <c r="A240" s="15"/>
    </row>
    <row r="241" spans="1:1" ht="15.75" customHeight="1">
      <c r="A241" s="15"/>
    </row>
    <row r="242" spans="1:1" ht="15.75" customHeight="1">
      <c r="A242" s="15"/>
    </row>
    <row r="243" spans="1:1" ht="15.75" customHeight="1">
      <c r="A243" s="15"/>
    </row>
    <row r="244" spans="1:1" ht="15.75" customHeight="1">
      <c r="A244" s="15"/>
    </row>
    <row r="245" spans="1:1" ht="15.75" customHeight="1">
      <c r="A245" s="15"/>
    </row>
    <row r="246" spans="1:1" ht="15.75" customHeight="1">
      <c r="A246" s="15"/>
    </row>
    <row r="247" spans="1:1" ht="15.75" customHeight="1">
      <c r="A247" s="15"/>
    </row>
    <row r="248" spans="1:1" ht="15.75" customHeight="1">
      <c r="A248" s="15"/>
    </row>
    <row r="249" spans="1:1" ht="15.75" customHeight="1">
      <c r="A249" s="15"/>
    </row>
    <row r="250" spans="1:1" ht="15.75" customHeight="1">
      <c r="A250" s="15"/>
    </row>
    <row r="251" spans="1:1" ht="15.75" customHeight="1">
      <c r="A251" s="15"/>
    </row>
    <row r="252" spans="1:1" ht="15.75" customHeight="1">
      <c r="A252" s="15"/>
    </row>
    <row r="253" spans="1:1" ht="15.75" customHeight="1">
      <c r="A253" s="15"/>
    </row>
    <row r="254" spans="1:1" ht="15.75" customHeight="1">
      <c r="A254" s="15"/>
    </row>
    <row r="255" spans="1:1" ht="15.75" customHeight="1">
      <c r="A255" s="15"/>
    </row>
    <row r="256" spans="1:1" ht="15.75" customHeight="1">
      <c r="A256" s="15"/>
    </row>
    <row r="257" spans="1:1" ht="15.75" customHeight="1">
      <c r="A257" s="15"/>
    </row>
    <row r="258" spans="1:1" ht="15.75" customHeight="1">
      <c r="A258" s="15"/>
    </row>
    <row r="259" spans="1:1" ht="15.75" customHeight="1">
      <c r="A259" s="15"/>
    </row>
    <row r="260" spans="1:1" ht="15.75" customHeight="1">
      <c r="A260" s="15"/>
    </row>
    <row r="261" spans="1:1" ht="15.75" customHeight="1">
      <c r="A261" s="15"/>
    </row>
    <row r="262" spans="1:1" ht="15.75" customHeight="1">
      <c r="A262" s="15"/>
    </row>
    <row r="263" spans="1:1" ht="15.75" customHeight="1">
      <c r="A263" s="15"/>
    </row>
    <row r="264" spans="1:1" ht="15.75" customHeight="1">
      <c r="A264" s="15"/>
    </row>
    <row r="265" spans="1:1" ht="15.75" customHeight="1">
      <c r="A265" s="15"/>
    </row>
    <row r="266" spans="1:1" ht="15.75" customHeight="1">
      <c r="A266" s="15"/>
    </row>
    <row r="267" spans="1:1" ht="15.75" customHeight="1">
      <c r="A267" s="15"/>
    </row>
    <row r="268" spans="1:1" ht="15.75" customHeight="1">
      <c r="A268" s="15"/>
    </row>
    <row r="269" spans="1:1" ht="15.75" customHeight="1">
      <c r="A269" s="15"/>
    </row>
    <row r="270" spans="1:1" ht="15.75" customHeight="1">
      <c r="A270" s="15"/>
    </row>
    <row r="271" spans="1:1" ht="15.75" customHeight="1">
      <c r="A271" s="15"/>
    </row>
    <row r="272" spans="1:1" ht="15.75" customHeight="1">
      <c r="A272" s="15"/>
    </row>
    <row r="273" spans="1:1" ht="15.75" customHeight="1">
      <c r="A273" s="15"/>
    </row>
    <row r="274" spans="1:1" ht="15.75" customHeight="1">
      <c r="A274" s="15"/>
    </row>
    <row r="275" spans="1:1" ht="15.75" customHeight="1">
      <c r="A275" s="15"/>
    </row>
    <row r="276" spans="1:1" ht="15.75" customHeight="1">
      <c r="A276" s="15"/>
    </row>
    <row r="277" spans="1:1" ht="15.75" customHeight="1">
      <c r="A277" s="15"/>
    </row>
    <row r="278" spans="1:1" ht="15.75" customHeight="1">
      <c r="A278" s="15"/>
    </row>
    <row r="279" spans="1:1" ht="15.75" customHeight="1">
      <c r="A279" s="15"/>
    </row>
    <row r="280" spans="1:1" ht="15.75" customHeight="1">
      <c r="A280" s="15"/>
    </row>
    <row r="281" spans="1:1" ht="15.75" customHeight="1">
      <c r="A281" s="15"/>
    </row>
    <row r="282" spans="1:1" ht="15.75" customHeight="1">
      <c r="A282" s="15"/>
    </row>
    <row r="283" spans="1:1" ht="15.75" customHeight="1">
      <c r="A283" s="15"/>
    </row>
    <row r="284" spans="1:1" ht="15.75" customHeight="1">
      <c r="A284" s="15"/>
    </row>
    <row r="285" spans="1:1" ht="15.75" customHeight="1">
      <c r="A285" s="15"/>
    </row>
    <row r="286" spans="1:1" ht="15.75" customHeight="1">
      <c r="A286" s="15"/>
    </row>
    <row r="287" spans="1:1" ht="15.75" customHeight="1">
      <c r="A287" s="15"/>
    </row>
    <row r="288" spans="1:1" ht="15.75" customHeight="1">
      <c r="A288" s="15"/>
    </row>
    <row r="289" spans="1:1" ht="15.75" customHeight="1">
      <c r="A289" s="15"/>
    </row>
    <row r="290" spans="1:1" ht="15.75" customHeight="1">
      <c r="A290" s="15"/>
    </row>
    <row r="291" spans="1:1" ht="15.75" customHeight="1">
      <c r="A291" s="15"/>
    </row>
    <row r="292" spans="1:1" ht="15.75" customHeight="1">
      <c r="A292" s="15"/>
    </row>
    <row r="293" spans="1:1" ht="15.75" customHeight="1">
      <c r="A293" s="15"/>
    </row>
    <row r="294" spans="1:1" ht="15.75" customHeight="1">
      <c r="A294" s="15"/>
    </row>
    <row r="295" spans="1:1" ht="15.75" customHeight="1">
      <c r="A295" s="15"/>
    </row>
    <row r="296" spans="1:1" ht="15.75" customHeight="1">
      <c r="A296" s="15"/>
    </row>
    <row r="297" spans="1:1" ht="15.75" customHeight="1">
      <c r="A297" s="15"/>
    </row>
    <row r="298" spans="1:1" ht="15.75" customHeight="1">
      <c r="A298" s="15"/>
    </row>
    <row r="299" spans="1:1" ht="15.75" customHeight="1">
      <c r="A299" s="15"/>
    </row>
    <row r="300" spans="1:1" ht="15.75" customHeight="1">
      <c r="A300" s="15"/>
    </row>
    <row r="301" spans="1:1" ht="15.75" customHeight="1">
      <c r="A301" s="15"/>
    </row>
    <row r="302" spans="1:1" ht="15.75" customHeight="1">
      <c r="A302" s="15"/>
    </row>
    <row r="303" spans="1:1" ht="15.75" customHeight="1">
      <c r="A303" s="15"/>
    </row>
    <row r="304" spans="1:1" ht="15.75" customHeight="1">
      <c r="A304" s="15"/>
    </row>
    <row r="305" spans="1:1" ht="15.75" customHeight="1">
      <c r="A305" s="15"/>
    </row>
    <row r="306" spans="1:1" ht="15.75" customHeight="1">
      <c r="A306" s="15"/>
    </row>
    <row r="307" spans="1:1" ht="15.75" customHeight="1">
      <c r="A307" s="15"/>
    </row>
    <row r="308" spans="1:1" ht="15.75" customHeight="1">
      <c r="A308" s="15"/>
    </row>
    <row r="309" spans="1:1" ht="15.75" customHeight="1">
      <c r="A309" s="15"/>
    </row>
    <row r="310" spans="1:1" ht="15.75" customHeight="1">
      <c r="A310" s="15"/>
    </row>
    <row r="311" spans="1:1" ht="15.75" customHeight="1">
      <c r="A311" s="15"/>
    </row>
    <row r="312" spans="1:1" ht="15.75" customHeight="1">
      <c r="A312" s="15"/>
    </row>
    <row r="313" spans="1:1" ht="15.75" customHeight="1">
      <c r="A313" s="15"/>
    </row>
    <row r="314" spans="1:1" ht="15.75" customHeight="1">
      <c r="A314" s="15"/>
    </row>
    <row r="315" spans="1:1" ht="15.75" customHeight="1">
      <c r="A315" s="15"/>
    </row>
    <row r="316" spans="1:1" ht="15.75" customHeight="1">
      <c r="A316" s="15"/>
    </row>
    <row r="317" spans="1:1" ht="15.75" customHeight="1">
      <c r="A317" s="15"/>
    </row>
    <row r="318" spans="1:1" ht="15.75" customHeight="1">
      <c r="A318" s="15"/>
    </row>
    <row r="319" spans="1:1" ht="15.75" customHeight="1">
      <c r="A319" s="15"/>
    </row>
    <row r="320" spans="1:1" ht="15.75" customHeight="1">
      <c r="A320" s="15"/>
    </row>
    <row r="321" spans="1:1" ht="15.75" customHeight="1">
      <c r="A321" s="15"/>
    </row>
    <row r="322" spans="1:1" ht="15.75" customHeight="1">
      <c r="A322" s="15"/>
    </row>
    <row r="323" spans="1:1" ht="15.75" customHeight="1">
      <c r="A323" s="15"/>
    </row>
    <row r="324" spans="1:1" ht="15.75" customHeight="1">
      <c r="A324" s="15"/>
    </row>
    <row r="325" spans="1:1" ht="15.75" customHeight="1">
      <c r="A325" s="15"/>
    </row>
    <row r="326" spans="1:1" ht="15.75" customHeight="1">
      <c r="A326" s="15"/>
    </row>
    <row r="327" spans="1:1" ht="15.75" customHeight="1">
      <c r="A327" s="15"/>
    </row>
    <row r="328" spans="1:1" ht="15.75" customHeight="1">
      <c r="A328" s="15"/>
    </row>
    <row r="329" spans="1:1" ht="15.75" customHeight="1">
      <c r="A329" s="15"/>
    </row>
    <row r="330" spans="1:1" ht="15.75" customHeight="1">
      <c r="A330" s="15"/>
    </row>
    <row r="331" spans="1:1" ht="15.75" customHeight="1">
      <c r="A331" s="15"/>
    </row>
    <row r="332" spans="1:1" ht="15.75" customHeight="1">
      <c r="A332" s="15"/>
    </row>
    <row r="333" spans="1:1" ht="15.75" customHeight="1">
      <c r="A333" s="15"/>
    </row>
    <row r="334" spans="1:1" ht="15.75" customHeight="1">
      <c r="A334" s="15"/>
    </row>
    <row r="335" spans="1:1" ht="15.75" customHeight="1">
      <c r="A335" s="15"/>
    </row>
    <row r="336" spans="1:1" ht="15.75" customHeight="1">
      <c r="A336" s="15"/>
    </row>
    <row r="337" spans="1:1" ht="15.75" customHeight="1">
      <c r="A337" s="15"/>
    </row>
    <row r="338" spans="1:1" ht="15.75" customHeight="1">
      <c r="A338" s="15"/>
    </row>
    <row r="339" spans="1:1" ht="15.75" customHeight="1">
      <c r="A339" s="15"/>
    </row>
    <row r="340" spans="1:1" ht="15.75" customHeight="1">
      <c r="A340" s="15"/>
    </row>
    <row r="341" spans="1:1" ht="15.75" customHeight="1">
      <c r="A341" s="15"/>
    </row>
    <row r="342" spans="1:1" ht="15.75" customHeight="1">
      <c r="A342" s="15"/>
    </row>
    <row r="343" spans="1:1" ht="15.75" customHeight="1">
      <c r="A343" s="15"/>
    </row>
    <row r="344" spans="1:1" ht="15.75" customHeight="1">
      <c r="A344" s="15"/>
    </row>
    <row r="345" spans="1:1" ht="15.75" customHeight="1">
      <c r="A345" s="15"/>
    </row>
    <row r="346" spans="1:1" ht="15.75" customHeight="1">
      <c r="A346" s="15"/>
    </row>
    <row r="347" spans="1:1" ht="15.75" customHeight="1">
      <c r="A347" s="15"/>
    </row>
    <row r="348" spans="1:1" ht="15.75" customHeight="1">
      <c r="A348" s="15"/>
    </row>
    <row r="349" spans="1:1" ht="15.75" customHeight="1">
      <c r="A349" s="15"/>
    </row>
    <row r="350" spans="1:1" ht="15.75" customHeight="1">
      <c r="A350" s="15"/>
    </row>
    <row r="351" spans="1:1" ht="15.75" customHeight="1">
      <c r="A351" s="15"/>
    </row>
    <row r="352" spans="1:1" ht="15.75" customHeight="1">
      <c r="A352" s="15"/>
    </row>
    <row r="353" spans="1:1" ht="15.75" customHeight="1">
      <c r="A353" s="15"/>
    </row>
    <row r="354" spans="1:1" ht="15.75" customHeight="1">
      <c r="A354" s="15"/>
    </row>
    <row r="355" spans="1:1" ht="15.75" customHeight="1">
      <c r="A355" s="15"/>
    </row>
    <row r="356" spans="1:1" ht="15.75" customHeight="1">
      <c r="A356" s="15"/>
    </row>
    <row r="357" spans="1:1" ht="15.75" customHeight="1">
      <c r="A357" s="15"/>
    </row>
    <row r="358" spans="1:1" ht="15.75" customHeight="1">
      <c r="A358" s="15"/>
    </row>
    <row r="359" spans="1:1" ht="15.75" customHeight="1">
      <c r="A359" s="15"/>
    </row>
    <row r="360" spans="1:1" ht="15.75" customHeight="1">
      <c r="A360" s="15"/>
    </row>
    <row r="361" spans="1:1" ht="15.75" customHeight="1">
      <c r="A361" s="15"/>
    </row>
    <row r="362" spans="1:1" ht="15.75" customHeight="1">
      <c r="A362" s="15"/>
    </row>
    <row r="363" spans="1:1" ht="15.75" customHeight="1">
      <c r="A363" s="15"/>
    </row>
    <row r="364" spans="1:1" ht="15.75" customHeight="1">
      <c r="A364" s="15"/>
    </row>
    <row r="365" spans="1:1" ht="15.75" customHeight="1">
      <c r="A365" s="15"/>
    </row>
    <row r="366" spans="1:1" ht="15.75" customHeight="1">
      <c r="A366" s="15"/>
    </row>
    <row r="367" spans="1:1" ht="15.75" customHeight="1">
      <c r="A367" s="15"/>
    </row>
    <row r="368" spans="1:1" ht="15.75" customHeight="1">
      <c r="A368" s="15"/>
    </row>
    <row r="369" spans="1:1" ht="15.75" customHeight="1">
      <c r="A369" s="15"/>
    </row>
    <row r="370" spans="1:1" ht="15.75" customHeight="1">
      <c r="A370" s="15"/>
    </row>
    <row r="371" spans="1:1" ht="15.75" customHeight="1">
      <c r="A371" s="15"/>
    </row>
    <row r="372" spans="1:1" ht="15.75" customHeight="1">
      <c r="A372" s="15"/>
    </row>
    <row r="373" spans="1:1" ht="15.75" customHeight="1">
      <c r="A373" s="15"/>
    </row>
    <row r="374" spans="1:1" ht="15.75" customHeight="1">
      <c r="A374" s="15"/>
    </row>
    <row r="375" spans="1:1" ht="15.75" customHeight="1">
      <c r="A375" s="15"/>
    </row>
    <row r="376" spans="1:1" ht="15.75" customHeight="1">
      <c r="A376" s="15"/>
    </row>
    <row r="377" spans="1:1" ht="15.75" customHeight="1">
      <c r="A377" s="15"/>
    </row>
    <row r="378" spans="1:1" ht="15.75" customHeight="1">
      <c r="A378" s="15"/>
    </row>
    <row r="379" spans="1:1" ht="15.75" customHeight="1">
      <c r="A379" s="15"/>
    </row>
    <row r="380" spans="1:1" ht="15.75" customHeight="1">
      <c r="A380" s="15"/>
    </row>
    <row r="381" spans="1:1" ht="15.75" customHeight="1">
      <c r="A381" s="15"/>
    </row>
    <row r="382" spans="1:1" ht="15.75" customHeight="1">
      <c r="A382" s="15"/>
    </row>
    <row r="383" spans="1:1" ht="15.75" customHeight="1">
      <c r="A383" s="15"/>
    </row>
    <row r="384" spans="1:1" ht="15.75" customHeight="1">
      <c r="A384" s="15"/>
    </row>
    <row r="385" spans="1:1" ht="15.75" customHeight="1">
      <c r="A385" s="15"/>
    </row>
    <row r="386" spans="1:1" ht="15.75" customHeight="1">
      <c r="A386" s="15"/>
    </row>
    <row r="387" spans="1:1" ht="15.75" customHeight="1">
      <c r="A387" s="15"/>
    </row>
    <row r="388" spans="1:1" ht="15.75" customHeight="1">
      <c r="A388" s="15"/>
    </row>
    <row r="389" spans="1:1" ht="15.75" customHeight="1">
      <c r="A389" s="15"/>
    </row>
    <row r="390" spans="1:1" ht="15.75" customHeight="1">
      <c r="A390" s="15"/>
    </row>
    <row r="391" spans="1:1" ht="15.75" customHeight="1">
      <c r="A391" s="15"/>
    </row>
    <row r="392" spans="1:1" ht="15.75" customHeight="1">
      <c r="A392" s="15"/>
    </row>
    <row r="393" spans="1:1" ht="15.75" customHeight="1">
      <c r="A393" s="15"/>
    </row>
    <row r="394" spans="1:1" ht="15.75" customHeight="1">
      <c r="A394" s="15"/>
    </row>
    <row r="395" spans="1:1" ht="15.75" customHeight="1">
      <c r="A395" s="15"/>
    </row>
    <row r="396" spans="1:1" ht="15.75" customHeight="1">
      <c r="A396" s="15"/>
    </row>
    <row r="397" spans="1:1" ht="15.75" customHeight="1">
      <c r="A397" s="15"/>
    </row>
    <row r="398" spans="1:1" ht="15.75" customHeight="1">
      <c r="A398" s="15"/>
    </row>
    <row r="399" spans="1:1" ht="15.75" customHeight="1">
      <c r="A399" s="15"/>
    </row>
    <row r="400" spans="1:1" ht="15.75" customHeight="1">
      <c r="A400" s="15"/>
    </row>
    <row r="401" spans="1:1" ht="15.75" customHeight="1">
      <c r="A401" s="15"/>
    </row>
    <row r="402" spans="1:1" ht="15.75" customHeight="1">
      <c r="A402" s="15"/>
    </row>
    <row r="403" spans="1:1" ht="15.75" customHeight="1">
      <c r="A403" s="15"/>
    </row>
    <row r="404" spans="1:1" ht="15.75" customHeight="1">
      <c r="A404" s="15"/>
    </row>
    <row r="405" spans="1:1" ht="15.75" customHeight="1">
      <c r="A405" s="15"/>
    </row>
    <row r="406" spans="1:1" ht="15.75" customHeight="1">
      <c r="A406" s="15"/>
    </row>
    <row r="407" spans="1:1" ht="15.75" customHeight="1">
      <c r="A407" s="15"/>
    </row>
    <row r="408" spans="1:1" ht="15.75" customHeight="1">
      <c r="A408" s="15"/>
    </row>
    <row r="409" spans="1:1" ht="15.75" customHeight="1">
      <c r="A409" s="15"/>
    </row>
    <row r="410" spans="1:1" ht="15.75" customHeight="1">
      <c r="A410" s="15"/>
    </row>
    <row r="411" spans="1:1" ht="15.75" customHeight="1">
      <c r="A411" s="15"/>
    </row>
    <row r="412" spans="1:1" ht="15.75" customHeight="1">
      <c r="A412" s="15"/>
    </row>
    <row r="413" spans="1:1" ht="15.75" customHeight="1">
      <c r="A413" s="15"/>
    </row>
    <row r="414" spans="1:1" ht="15.75" customHeight="1">
      <c r="A414" s="15"/>
    </row>
    <row r="415" spans="1:1" ht="15.75" customHeight="1">
      <c r="A415" s="15"/>
    </row>
    <row r="416" spans="1:1" ht="15.75" customHeight="1">
      <c r="A416" s="15"/>
    </row>
    <row r="417" spans="1:1" ht="15.75" customHeight="1">
      <c r="A417" s="15"/>
    </row>
    <row r="418" spans="1:1" ht="15.75" customHeight="1">
      <c r="A418" s="15"/>
    </row>
    <row r="419" spans="1:1" ht="15.75" customHeight="1">
      <c r="A419" s="15"/>
    </row>
    <row r="420" spans="1:1" ht="15.75" customHeight="1">
      <c r="A420" s="15"/>
    </row>
    <row r="421" spans="1:1" ht="15.75" customHeight="1">
      <c r="A421" s="15"/>
    </row>
    <row r="422" spans="1:1" ht="15.75" customHeight="1">
      <c r="A422" s="15"/>
    </row>
    <row r="423" spans="1:1" ht="15.75" customHeight="1">
      <c r="A423" s="15"/>
    </row>
    <row r="424" spans="1:1" ht="15.75" customHeight="1">
      <c r="A424" s="15"/>
    </row>
    <row r="425" spans="1:1" ht="15.75" customHeight="1">
      <c r="A425" s="15"/>
    </row>
    <row r="426" spans="1:1" ht="15.75" customHeight="1">
      <c r="A426" s="15"/>
    </row>
    <row r="427" spans="1:1" ht="15.75" customHeight="1">
      <c r="A427" s="15"/>
    </row>
    <row r="428" spans="1:1" ht="15.75" customHeight="1">
      <c r="A428" s="15"/>
    </row>
    <row r="429" spans="1:1" ht="15.75" customHeight="1">
      <c r="A429" s="15"/>
    </row>
    <row r="430" spans="1:1" ht="15.75" customHeight="1">
      <c r="A430" s="15"/>
    </row>
    <row r="431" spans="1:1" ht="15.75" customHeight="1">
      <c r="A431" s="15"/>
    </row>
    <row r="432" spans="1:1" ht="15.75" customHeight="1">
      <c r="A432" s="15"/>
    </row>
    <row r="433" spans="1:1" ht="15.75" customHeight="1">
      <c r="A433" s="15"/>
    </row>
    <row r="434" spans="1:1" ht="15.75" customHeight="1">
      <c r="A434" s="15"/>
    </row>
    <row r="435" spans="1:1" ht="15.75" customHeight="1">
      <c r="A435" s="15"/>
    </row>
    <row r="436" spans="1:1" ht="15.75" customHeight="1">
      <c r="A436" s="15"/>
    </row>
    <row r="437" spans="1:1" ht="15.75" customHeight="1">
      <c r="A437" s="15"/>
    </row>
    <row r="438" spans="1:1" ht="15.75" customHeight="1">
      <c r="A438" s="15"/>
    </row>
    <row r="439" spans="1:1" ht="15.75" customHeight="1">
      <c r="A439" s="15"/>
    </row>
    <row r="440" spans="1:1" ht="15.75" customHeight="1">
      <c r="A440" s="15"/>
    </row>
    <row r="441" spans="1:1" ht="15.75" customHeight="1">
      <c r="A441" s="15"/>
    </row>
    <row r="442" spans="1:1" ht="15.75" customHeight="1">
      <c r="A442" s="15"/>
    </row>
    <row r="443" spans="1:1" ht="15.75" customHeight="1">
      <c r="A443" s="15"/>
    </row>
    <row r="444" spans="1:1" ht="15.75" customHeight="1">
      <c r="A444" s="15"/>
    </row>
    <row r="445" spans="1:1" ht="15.75" customHeight="1">
      <c r="A445" s="15"/>
    </row>
    <row r="446" spans="1:1" ht="15.75" customHeight="1">
      <c r="A446" s="15"/>
    </row>
    <row r="447" spans="1:1" ht="15.75" customHeight="1">
      <c r="A447" s="15"/>
    </row>
    <row r="448" spans="1:1" ht="15.75" customHeight="1">
      <c r="A448" s="15"/>
    </row>
    <row r="449" spans="1:1" ht="15.75" customHeight="1">
      <c r="A449" s="15"/>
    </row>
    <row r="450" spans="1:1" ht="15.75" customHeight="1">
      <c r="A450" s="15"/>
    </row>
    <row r="451" spans="1:1" ht="15.75" customHeight="1">
      <c r="A451" s="15"/>
    </row>
    <row r="452" spans="1:1" ht="15.75" customHeight="1">
      <c r="A452" s="15"/>
    </row>
    <row r="453" spans="1:1" ht="15.75" customHeight="1">
      <c r="A453" s="15"/>
    </row>
    <row r="454" spans="1:1" ht="15.75" customHeight="1">
      <c r="A454" s="15"/>
    </row>
    <row r="455" spans="1:1" ht="15.75" customHeight="1">
      <c r="A455" s="15"/>
    </row>
    <row r="456" spans="1:1" ht="15.75" customHeight="1">
      <c r="A456" s="15"/>
    </row>
    <row r="457" spans="1:1" ht="15.75" customHeight="1">
      <c r="A457" s="15"/>
    </row>
    <row r="458" spans="1:1" ht="15.75" customHeight="1">
      <c r="A458" s="15"/>
    </row>
    <row r="459" spans="1:1" ht="15.75" customHeight="1">
      <c r="A459" s="15"/>
    </row>
    <row r="460" spans="1:1" ht="15.75" customHeight="1">
      <c r="A460" s="15"/>
    </row>
    <row r="461" spans="1:1" ht="15.75" customHeight="1">
      <c r="A461" s="15"/>
    </row>
    <row r="462" spans="1:1" ht="15.75" customHeight="1">
      <c r="A462" s="15"/>
    </row>
    <row r="463" spans="1:1" ht="15.75" customHeight="1">
      <c r="A463" s="15"/>
    </row>
    <row r="464" spans="1:1" ht="15.75" customHeight="1">
      <c r="A464" s="15"/>
    </row>
    <row r="465" spans="1:1" ht="15.75" customHeight="1">
      <c r="A465" s="15"/>
    </row>
    <row r="466" spans="1:1" ht="15.75" customHeight="1">
      <c r="A466" s="15"/>
    </row>
    <row r="467" spans="1:1" ht="15.75" customHeight="1">
      <c r="A467" s="15"/>
    </row>
    <row r="468" spans="1:1" ht="15.75" customHeight="1">
      <c r="A468" s="15"/>
    </row>
    <row r="469" spans="1:1" ht="15.75" customHeight="1">
      <c r="A469" s="15"/>
    </row>
    <row r="470" spans="1:1" ht="15.75" customHeight="1">
      <c r="A470" s="15"/>
    </row>
    <row r="471" spans="1:1" ht="15.75" customHeight="1">
      <c r="A471" s="15"/>
    </row>
    <row r="472" spans="1:1" ht="15.75" customHeight="1">
      <c r="A472" s="15"/>
    </row>
    <row r="473" spans="1:1" ht="15.75" customHeight="1">
      <c r="A473" s="15"/>
    </row>
    <row r="474" spans="1:1" ht="15.75" customHeight="1">
      <c r="A474" s="15"/>
    </row>
    <row r="475" spans="1:1" ht="15.75" customHeight="1">
      <c r="A475" s="15"/>
    </row>
    <row r="476" spans="1:1" ht="15.75" customHeight="1">
      <c r="A476" s="15"/>
    </row>
    <row r="477" spans="1:1" ht="15.75" customHeight="1">
      <c r="A477" s="15"/>
    </row>
    <row r="478" spans="1:1" ht="15.75" customHeight="1">
      <c r="A478" s="15"/>
    </row>
    <row r="479" spans="1:1" ht="15.75" customHeight="1">
      <c r="A479" s="15"/>
    </row>
    <row r="480" spans="1:1" ht="15.75" customHeight="1">
      <c r="A480" s="15"/>
    </row>
    <row r="481" spans="1:1" ht="15.75" customHeight="1">
      <c r="A481" s="15"/>
    </row>
    <row r="482" spans="1:1" ht="15.75" customHeight="1">
      <c r="A482" s="15"/>
    </row>
    <row r="483" spans="1:1" ht="15.75" customHeight="1">
      <c r="A483" s="15"/>
    </row>
    <row r="484" spans="1:1" ht="15.75" customHeight="1">
      <c r="A484" s="15"/>
    </row>
    <row r="485" spans="1:1" ht="15.75" customHeight="1">
      <c r="A485" s="15"/>
    </row>
    <row r="486" spans="1:1" ht="15.75" customHeight="1">
      <c r="A486" s="15"/>
    </row>
    <row r="487" spans="1:1" ht="15.75" customHeight="1">
      <c r="A487" s="15"/>
    </row>
    <row r="488" spans="1:1" ht="15.75" customHeight="1">
      <c r="A488" s="15"/>
    </row>
    <row r="489" spans="1:1" ht="15.75" customHeight="1">
      <c r="A489" s="15"/>
    </row>
    <row r="490" spans="1:1" ht="15.75" customHeight="1">
      <c r="A490" s="15"/>
    </row>
    <row r="491" spans="1:1" ht="15.75" customHeight="1">
      <c r="A491" s="15"/>
    </row>
    <row r="492" spans="1:1" ht="15.75" customHeight="1">
      <c r="A492" s="15"/>
    </row>
    <row r="493" spans="1:1" ht="15.75" customHeight="1">
      <c r="A493" s="15"/>
    </row>
    <row r="494" spans="1:1" ht="15.75" customHeight="1">
      <c r="A494" s="15"/>
    </row>
    <row r="495" spans="1:1" ht="15.75" customHeight="1">
      <c r="A495" s="15"/>
    </row>
    <row r="496" spans="1:1" ht="15.75" customHeight="1">
      <c r="A496" s="15"/>
    </row>
    <row r="497" spans="1:1" ht="15.75" customHeight="1">
      <c r="A497" s="15"/>
    </row>
    <row r="498" spans="1:1" ht="15.75" customHeight="1">
      <c r="A498" s="15"/>
    </row>
    <row r="499" spans="1:1" ht="15.75" customHeight="1">
      <c r="A499" s="15"/>
    </row>
    <row r="500" spans="1:1" ht="15.75" customHeight="1">
      <c r="A500" s="15"/>
    </row>
    <row r="501" spans="1:1" ht="15.75" customHeight="1">
      <c r="A501" s="15"/>
    </row>
    <row r="502" spans="1:1" ht="15.75" customHeight="1">
      <c r="A502" s="15"/>
    </row>
    <row r="503" spans="1:1" ht="15.75" customHeight="1">
      <c r="A503" s="15"/>
    </row>
    <row r="504" spans="1:1" ht="15.75" customHeight="1">
      <c r="A504" s="15"/>
    </row>
    <row r="505" spans="1:1" ht="15.75" customHeight="1">
      <c r="A505" s="15"/>
    </row>
    <row r="506" spans="1:1" ht="15.75" customHeight="1">
      <c r="A506" s="15"/>
    </row>
    <row r="507" spans="1:1" ht="15.75" customHeight="1">
      <c r="A507" s="15"/>
    </row>
    <row r="508" spans="1:1" ht="15.75" customHeight="1">
      <c r="A508" s="15"/>
    </row>
    <row r="509" spans="1:1" ht="15.75" customHeight="1">
      <c r="A509" s="15"/>
    </row>
    <row r="510" spans="1:1" ht="15.75" customHeight="1">
      <c r="A510" s="15"/>
    </row>
    <row r="511" spans="1:1" ht="15.75" customHeight="1">
      <c r="A511" s="15"/>
    </row>
    <row r="512" spans="1:1" ht="15.75" customHeight="1">
      <c r="A512" s="15"/>
    </row>
    <row r="513" spans="1:1" ht="15.75" customHeight="1">
      <c r="A513" s="15"/>
    </row>
    <row r="514" spans="1:1" ht="15.75" customHeight="1">
      <c r="A514" s="15"/>
    </row>
    <row r="515" spans="1:1" ht="15.75" customHeight="1">
      <c r="A515" s="15"/>
    </row>
    <row r="516" spans="1:1" ht="15.75" customHeight="1">
      <c r="A516" s="15"/>
    </row>
    <row r="517" spans="1:1" ht="15.75" customHeight="1">
      <c r="A517" s="15"/>
    </row>
    <row r="518" spans="1:1" ht="15.75" customHeight="1">
      <c r="A518" s="15"/>
    </row>
    <row r="519" spans="1:1" ht="15.75" customHeight="1">
      <c r="A519" s="15"/>
    </row>
    <row r="520" spans="1:1" ht="15.75" customHeight="1">
      <c r="A520" s="15"/>
    </row>
    <row r="521" spans="1:1" ht="15.75" customHeight="1">
      <c r="A521" s="15"/>
    </row>
    <row r="522" spans="1:1" ht="15.75" customHeight="1">
      <c r="A522" s="15"/>
    </row>
    <row r="523" spans="1:1" ht="15.75" customHeight="1">
      <c r="A523" s="15"/>
    </row>
    <row r="524" spans="1:1" ht="15.75" customHeight="1">
      <c r="A524" s="15"/>
    </row>
    <row r="525" spans="1:1" ht="15.75" customHeight="1">
      <c r="A525" s="15"/>
    </row>
    <row r="526" spans="1:1" ht="15.75" customHeight="1">
      <c r="A526" s="15"/>
    </row>
    <row r="527" spans="1:1" ht="15.75" customHeight="1">
      <c r="A527" s="15"/>
    </row>
    <row r="528" spans="1:1" ht="15.75" customHeight="1">
      <c r="A528" s="15"/>
    </row>
    <row r="529" spans="1:1" ht="15.75" customHeight="1">
      <c r="A529" s="15"/>
    </row>
    <row r="530" spans="1:1" ht="15.75" customHeight="1">
      <c r="A530" s="15"/>
    </row>
    <row r="531" spans="1:1" ht="15.75" customHeight="1">
      <c r="A531" s="15"/>
    </row>
    <row r="532" spans="1:1" ht="15.75" customHeight="1">
      <c r="A532" s="15"/>
    </row>
    <row r="533" spans="1:1" ht="15.75" customHeight="1">
      <c r="A533" s="15"/>
    </row>
    <row r="534" spans="1:1" ht="15.75" customHeight="1">
      <c r="A534" s="15"/>
    </row>
    <row r="535" spans="1:1" ht="15.75" customHeight="1">
      <c r="A535" s="15"/>
    </row>
    <row r="536" spans="1:1" ht="15.75" customHeight="1">
      <c r="A536" s="15"/>
    </row>
    <row r="537" spans="1:1" ht="15.75" customHeight="1">
      <c r="A537" s="15"/>
    </row>
    <row r="538" spans="1:1" ht="15.75" customHeight="1">
      <c r="A538" s="15"/>
    </row>
    <row r="539" spans="1:1" ht="15.75" customHeight="1">
      <c r="A539" s="15"/>
    </row>
    <row r="540" spans="1:1" ht="15.75" customHeight="1">
      <c r="A540" s="15"/>
    </row>
    <row r="541" spans="1:1" ht="15.75" customHeight="1">
      <c r="A541" s="15"/>
    </row>
    <row r="542" spans="1:1" ht="15.75" customHeight="1">
      <c r="A542" s="15"/>
    </row>
    <row r="543" spans="1:1" ht="15.75" customHeight="1">
      <c r="A543" s="15"/>
    </row>
    <row r="544" spans="1:1" ht="15.75" customHeight="1">
      <c r="A544" s="15"/>
    </row>
    <row r="545" spans="1:1" ht="15.75" customHeight="1">
      <c r="A545" s="15"/>
    </row>
    <row r="546" spans="1:1" ht="15.75" customHeight="1">
      <c r="A546" s="15"/>
    </row>
    <row r="547" spans="1:1" ht="15.75" customHeight="1">
      <c r="A547" s="15"/>
    </row>
    <row r="548" spans="1:1" ht="15.75" customHeight="1">
      <c r="A548" s="15"/>
    </row>
    <row r="549" spans="1:1" ht="15.75" customHeight="1">
      <c r="A549" s="15"/>
    </row>
    <row r="550" spans="1:1" ht="15.75" customHeight="1">
      <c r="A550" s="15"/>
    </row>
    <row r="551" spans="1:1" ht="15.75" customHeight="1">
      <c r="A551" s="15"/>
    </row>
    <row r="552" spans="1:1" ht="15.75" customHeight="1">
      <c r="A552" s="15"/>
    </row>
    <row r="553" spans="1:1" ht="15.75" customHeight="1">
      <c r="A553" s="15"/>
    </row>
    <row r="554" spans="1:1" ht="15.75" customHeight="1">
      <c r="A554" s="15"/>
    </row>
    <row r="555" spans="1:1" ht="15.75" customHeight="1">
      <c r="A555" s="15"/>
    </row>
    <row r="556" spans="1:1" ht="15.75" customHeight="1">
      <c r="A556" s="15"/>
    </row>
    <row r="557" spans="1:1" ht="15.75" customHeight="1">
      <c r="A557" s="15"/>
    </row>
    <row r="558" spans="1:1" ht="15.75" customHeight="1">
      <c r="A558" s="15"/>
    </row>
    <row r="559" spans="1:1" ht="15.75" customHeight="1">
      <c r="A559" s="15"/>
    </row>
    <row r="560" spans="1:1" ht="15.75" customHeight="1">
      <c r="A560" s="15"/>
    </row>
    <row r="561" spans="1:1" ht="15.75" customHeight="1">
      <c r="A561" s="15"/>
    </row>
    <row r="562" spans="1:1" ht="15.75" customHeight="1">
      <c r="A562" s="15"/>
    </row>
    <row r="563" spans="1:1" ht="15.75" customHeight="1">
      <c r="A563" s="15"/>
    </row>
    <row r="564" spans="1:1" ht="15.75" customHeight="1">
      <c r="A564" s="15"/>
    </row>
    <row r="565" spans="1:1" ht="15.75" customHeight="1">
      <c r="A565" s="15"/>
    </row>
    <row r="566" spans="1:1" ht="15.75" customHeight="1">
      <c r="A566" s="15"/>
    </row>
    <row r="567" spans="1:1" ht="15.75" customHeight="1">
      <c r="A567" s="15"/>
    </row>
    <row r="568" spans="1:1" ht="15.75" customHeight="1">
      <c r="A568" s="15"/>
    </row>
    <row r="569" spans="1:1" ht="15.75" customHeight="1">
      <c r="A569" s="15"/>
    </row>
    <row r="570" spans="1:1" ht="15.75" customHeight="1">
      <c r="A570" s="15"/>
    </row>
    <row r="571" spans="1:1" ht="15.75" customHeight="1">
      <c r="A571" s="15"/>
    </row>
    <row r="572" spans="1:1" ht="15.75" customHeight="1">
      <c r="A572" s="15"/>
    </row>
    <row r="573" spans="1:1" ht="15.75" customHeight="1">
      <c r="A573" s="15"/>
    </row>
    <row r="574" spans="1:1" ht="15.75" customHeight="1">
      <c r="A574" s="15"/>
    </row>
    <row r="575" spans="1:1" ht="15.75" customHeight="1">
      <c r="A575" s="15"/>
    </row>
    <row r="576" spans="1:1" ht="15.75" customHeight="1">
      <c r="A576" s="15"/>
    </row>
    <row r="577" spans="1:1" ht="15.75" customHeight="1">
      <c r="A577" s="15"/>
    </row>
    <row r="578" spans="1:1" ht="15.75" customHeight="1">
      <c r="A578" s="15"/>
    </row>
    <row r="579" spans="1:1" ht="15.75" customHeight="1">
      <c r="A579" s="15"/>
    </row>
    <row r="580" spans="1:1" ht="15.75" customHeight="1">
      <c r="A580" s="15"/>
    </row>
    <row r="581" spans="1:1" ht="15.75" customHeight="1">
      <c r="A581" s="15"/>
    </row>
    <row r="582" spans="1:1" ht="15.75" customHeight="1">
      <c r="A582" s="15"/>
    </row>
    <row r="583" spans="1:1" ht="15.75" customHeight="1">
      <c r="A583" s="15"/>
    </row>
    <row r="584" spans="1:1" ht="15.75" customHeight="1">
      <c r="A584" s="15"/>
    </row>
    <row r="585" spans="1:1" ht="15.75" customHeight="1">
      <c r="A585" s="15"/>
    </row>
    <row r="586" spans="1:1" ht="15.75" customHeight="1">
      <c r="A586" s="15"/>
    </row>
    <row r="587" spans="1:1" ht="15.75" customHeight="1">
      <c r="A587" s="15"/>
    </row>
    <row r="588" spans="1:1" ht="15.75" customHeight="1">
      <c r="A588" s="15"/>
    </row>
    <row r="589" spans="1:1" ht="15.75" customHeight="1">
      <c r="A589" s="15"/>
    </row>
    <row r="590" spans="1:1" ht="15.75" customHeight="1">
      <c r="A590" s="15"/>
    </row>
    <row r="591" spans="1:1" ht="15.75" customHeight="1">
      <c r="A591" s="15"/>
    </row>
    <row r="592" spans="1:1" ht="15.75" customHeight="1">
      <c r="A592" s="15"/>
    </row>
    <row r="593" spans="1:1" ht="15.75" customHeight="1">
      <c r="A593" s="15"/>
    </row>
    <row r="594" spans="1:1" ht="15.75" customHeight="1">
      <c r="A594" s="15"/>
    </row>
    <row r="595" spans="1:1" ht="15.75" customHeight="1">
      <c r="A595" s="15"/>
    </row>
    <row r="596" spans="1:1" ht="15.75" customHeight="1">
      <c r="A596" s="15"/>
    </row>
    <row r="597" spans="1:1" ht="15.75" customHeight="1">
      <c r="A597" s="15"/>
    </row>
    <row r="598" spans="1:1" ht="15.75" customHeight="1">
      <c r="A598" s="15"/>
    </row>
    <row r="599" spans="1:1" ht="15.75" customHeight="1">
      <c r="A599" s="15"/>
    </row>
    <row r="600" spans="1:1" ht="15.75" customHeight="1">
      <c r="A600" s="15"/>
    </row>
    <row r="601" spans="1:1" ht="15.75" customHeight="1">
      <c r="A601" s="15"/>
    </row>
    <row r="602" spans="1:1" ht="15.75" customHeight="1">
      <c r="A602" s="15"/>
    </row>
    <row r="603" spans="1:1" ht="15.75" customHeight="1">
      <c r="A603" s="15"/>
    </row>
    <row r="604" spans="1:1" ht="15.75" customHeight="1">
      <c r="A604" s="15"/>
    </row>
    <row r="605" spans="1:1" ht="15.75" customHeight="1">
      <c r="A605" s="15"/>
    </row>
    <row r="606" spans="1:1" ht="15.75" customHeight="1">
      <c r="A606" s="15"/>
    </row>
    <row r="607" spans="1:1" ht="15.75" customHeight="1">
      <c r="A607" s="15"/>
    </row>
    <row r="608" spans="1:1" ht="15.75" customHeight="1">
      <c r="A608" s="15"/>
    </row>
    <row r="609" spans="1:1" ht="15.75" customHeight="1">
      <c r="A609" s="15"/>
    </row>
    <row r="610" spans="1:1" ht="15.75" customHeight="1">
      <c r="A610" s="15"/>
    </row>
    <row r="611" spans="1:1" ht="15.75" customHeight="1">
      <c r="A611" s="15"/>
    </row>
    <row r="612" spans="1:1" ht="15.75" customHeight="1">
      <c r="A612" s="15"/>
    </row>
    <row r="613" spans="1:1" ht="15.75" customHeight="1">
      <c r="A613" s="15"/>
    </row>
    <row r="614" spans="1:1" ht="15.75" customHeight="1">
      <c r="A614" s="15"/>
    </row>
    <row r="615" spans="1:1" ht="15.75" customHeight="1">
      <c r="A615" s="15"/>
    </row>
    <row r="616" spans="1:1" ht="15.75" customHeight="1">
      <c r="A616" s="15"/>
    </row>
    <row r="617" spans="1:1" ht="15.75" customHeight="1">
      <c r="A617" s="15"/>
    </row>
    <row r="618" spans="1:1" ht="15.75" customHeight="1">
      <c r="A618" s="15"/>
    </row>
    <row r="619" spans="1:1" ht="15.75" customHeight="1">
      <c r="A619" s="15"/>
    </row>
    <row r="620" spans="1:1" ht="15.75" customHeight="1">
      <c r="A620" s="15"/>
    </row>
    <row r="621" spans="1:1" ht="15.75" customHeight="1">
      <c r="A621" s="15"/>
    </row>
    <row r="622" spans="1:1" ht="15.75" customHeight="1">
      <c r="A622" s="15"/>
    </row>
    <row r="623" spans="1:1" ht="15.75" customHeight="1">
      <c r="A623" s="15"/>
    </row>
    <row r="624" spans="1:1" ht="15.75" customHeight="1">
      <c r="A624" s="15"/>
    </row>
    <row r="625" spans="1:1" ht="15.75" customHeight="1">
      <c r="A625" s="15"/>
    </row>
    <row r="626" spans="1:1" ht="15.75" customHeight="1">
      <c r="A626" s="15"/>
    </row>
    <row r="627" spans="1:1" ht="15.75" customHeight="1">
      <c r="A627" s="15"/>
    </row>
    <row r="628" spans="1:1" ht="15.75" customHeight="1">
      <c r="A628" s="15"/>
    </row>
    <row r="629" spans="1:1" ht="15.75" customHeight="1">
      <c r="A629" s="15"/>
    </row>
    <row r="630" spans="1:1" ht="15.75" customHeight="1">
      <c r="A630" s="15"/>
    </row>
    <row r="631" spans="1:1" ht="15.75" customHeight="1">
      <c r="A631" s="15"/>
    </row>
    <row r="632" spans="1:1" ht="15.75" customHeight="1">
      <c r="A632" s="15"/>
    </row>
    <row r="633" spans="1:1" ht="15.75" customHeight="1">
      <c r="A633" s="15"/>
    </row>
    <row r="634" spans="1:1" ht="15.75" customHeight="1">
      <c r="A634" s="15"/>
    </row>
    <row r="635" spans="1:1" ht="15.75" customHeight="1">
      <c r="A635" s="15"/>
    </row>
    <row r="636" spans="1:1" ht="15.75" customHeight="1">
      <c r="A636" s="15"/>
    </row>
    <row r="637" spans="1:1" ht="15.75" customHeight="1">
      <c r="A637" s="15"/>
    </row>
    <row r="638" spans="1:1" ht="15.75" customHeight="1">
      <c r="A638" s="15"/>
    </row>
    <row r="639" spans="1:1" ht="15.75" customHeight="1">
      <c r="A639" s="15"/>
    </row>
    <row r="640" spans="1:1" ht="15.75" customHeight="1">
      <c r="A640" s="15"/>
    </row>
    <row r="641" spans="1:1" ht="15.75" customHeight="1">
      <c r="A641" s="15"/>
    </row>
    <row r="642" spans="1:1" ht="15.75" customHeight="1">
      <c r="A642" s="15"/>
    </row>
    <row r="643" spans="1:1" ht="15.75" customHeight="1">
      <c r="A643" s="15"/>
    </row>
    <row r="644" spans="1:1" ht="15.75" customHeight="1">
      <c r="A644" s="15"/>
    </row>
    <row r="645" spans="1:1" ht="15.75" customHeight="1">
      <c r="A645" s="15"/>
    </row>
    <row r="646" spans="1:1" ht="15.75" customHeight="1">
      <c r="A646" s="15"/>
    </row>
    <row r="647" spans="1:1" ht="15.75" customHeight="1">
      <c r="A647" s="15"/>
    </row>
    <row r="648" spans="1:1" ht="15.75" customHeight="1">
      <c r="A648" s="15"/>
    </row>
    <row r="649" spans="1:1" ht="15.75" customHeight="1">
      <c r="A649" s="15"/>
    </row>
    <row r="650" spans="1:1" ht="15.75" customHeight="1">
      <c r="A650" s="15"/>
    </row>
    <row r="651" spans="1:1" ht="15.75" customHeight="1">
      <c r="A651" s="15"/>
    </row>
    <row r="652" spans="1:1" ht="15.75" customHeight="1">
      <c r="A652" s="15"/>
    </row>
    <row r="653" spans="1:1" ht="15.75" customHeight="1">
      <c r="A653" s="15"/>
    </row>
    <row r="654" spans="1:1" ht="15.75" customHeight="1">
      <c r="A654" s="15"/>
    </row>
    <row r="655" spans="1:1" ht="15.75" customHeight="1">
      <c r="A655" s="15"/>
    </row>
    <row r="656" spans="1:1" ht="15.75" customHeight="1">
      <c r="A656" s="15"/>
    </row>
    <row r="657" spans="1:1" ht="15.75" customHeight="1">
      <c r="A657" s="15"/>
    </row>
    <row r="658" spans="1:1" ht="15.75" customHeight="1">
      <c r="A658" s="15"/>
    </row>
    <row r="659" spans="1:1" ht="15.75" customHeight="1">
      <c r="A659" s="15"/>
    </row>
    <row r="660" spans="1:1" ht="15.75" customHeight="1">
      <c r="A660" s="15"/>
    </row>
    <row r="661" spans="1:1" ht="15.75" customHeight="1">
      <c r="A661" s="15"/>
    </row>
    <row r="662" spans="1:1" ht="15.75" customHeight="1">
      <c r="A662" s="15"/>
    </row>
    <row r="663" spans="1:1" ht="15.75" customHeight="1">
      <c r="A663" s="15"/>
    </row>
    <row r="664" spans="1:1" ht="15.75" customHeight="1">
      <c r="A664" s="15"/>
    </row>
    <row r="665" spans="1:1" ht="15.75" customHeight="1">
      <c r="A665" s="15"/>
    </row>
    <row r="666" spans="1:1" ht="15.75" customHeight="1">
      <c r="A666" s="15"/>
    </row>
    <row r="667" spans="1:1" ht="15.75" customHeight="1">
      <c r="A667" s="15"/>
    </row>
    <row r="668" spans="1:1" ht="15.75" customHeight="1">
      <c r="A668" s="15"/>
    </row>
    <row r="669" spans="1:1" ht="15.75" customHeight="1">
      <c r="A669" s="15"/>
    </row>
    <row r="670" spans="1:1" ht="15.75" customHeight="1">
      <c r="A670" s="15"/>
    </row>
    <row r="671" spans="1:1" ht="15.75" customHeight="1">
      <c r="A671" s="15"/>
    </row>
    <row r="672" spans="1:1" ht="15.75" customHeight="1">
      <c r="A672" s="15"/>
    </row>
    <row r="673" spans="1:1" ht="15.75" customHeight="1">
      <c r="A673" s="15"/>
    </row>
    <row r="674" spans="1:1" ht="15.75" customHeight="1">
      <c r="A674" s="15"/>
    </row>
    <row r="675" spans="1:1" ht="15.75" customHeight="1">
      <c r="A675" s="15"/>
    </row>
    <row r="676" spans="1:1" ht="15.75" customHeight="1">
      <c r="A676" s="15"/>
    </row>
    <row r="677" spans="1:1" ht="15.75" customHeight="1">
      <c r="A677" s="15"/>
    </row>
    <row r="678" spans="1:1" ht="15.75" customHeight="1">
      <c r="A678" s="15"/>
    </row>
    <row r="679" spans="1:1" ht="15.75" customHeight="1">
      <c r="A679" s="15"/>
    </row>
    <row r="680" spans="1:1" ht="15.75" customHeight="1">
      <c r="A680" s="15"/>
    </row>
    <row r="681" spans="1:1" ht="15.75" customHeight="1">
      <c r="A681" s="15"/>
    </row>
    <row r="682" spans="1:1" ht="15.75" customHeight="1">
      <c r="A682" s="15"/>
    </row>
    <row r="683" spans="1:1" ht="15.75" customHeight="1">
      <c r="A683" s="15"/>
    </row>
    <row r="684" spans="1:1" ht="15.75" customHeight="1">
      <c r="A684" s="15"/>
    </row>
    <row r="685" spans="1:1" ht="15.75" customHeight="1">
      <c r="A685" s="15"/>
    </row>
    <row r="686" spans="1:1" ht="15.75" customHeight="1">
      <c r="A686" s="15"/>
    </row>
    <row r="687" spans="1:1" ht="15.75" customHeight="1">
      <c r="A687" s="15"/>
    </row>
    <row r="688" spans="1:1" ht="15.75" customHeight="1">
      <c r="A688" s="15"/>
    </row>
    <row r="689" spans="1:1" ht="15.75" customHeight="1">
      <c r="A689" s="15"/>
    </row>
    <row r="690" spans="1:1" ht="15.75" customHeight="1">
      <c r="A690" s="15"/>
    </row>
    <row r="691" spans="1:1" ht="15.75" customHeight="1">
      <c r="A691" s="15"/>
    </row>
    <row r="692" spans="1:1" ht="15.75" customHeight="1">
      <c r="A692" s="15"/>
    </row>
    <row r="693" spans="1:1" ht="15.75" customHeight="1">
      <c r="A693" s="15"/>
    </row>
    <row r="694" spans="1:1" ht="15.75" customHeight="1">
      <c r="A694" s="15"/>
    </row>
    <row r="695" spans="1:1" ht="15.75" customHeight="1">
      <c r="A695" s="15"/>
    </row>
    <row r="696" spans="1:1" ht="15.75" customHeight="1">
      <c r="A696" s="15"/>
    </row>
    <row r="697" spans="1:1" ht="15.75" customHeight="1">
      <c r="A697" s="15"/>
    </row>
    <row r="698" spans="1:1" ht="15.75" customHeight="1">
      <c r="A698" s="15"/>
    </row>
    <row r="699" spans="1:1" ht="15.75" customHeight="1">
      <c r="A699" s="15"/>
    </row>
    <row r="700" spans="1:1" ht="15.75" customHeight="1">
      <c r="A700" s="15"/>
    </row>
    <row r="701" spans="1:1" ht="15.75" customHeight="1">
      <c r="A701" s="15"/>
    </row>
    <row r="702" spans="1:1" ht="15.75" customHeight="1">
      <c r="A702" s="15"/>
    </row>
    <row r="703" spans="1:1" ht="15.75" customHeight="1">
      <c r="A703" s="15"/>
    </row>
    <row r="704" spans="1:1" ht="15.75" customHeight="1">
      <c r="A704" s="15"/>
    </row>
    <row r="705" spans="1:1" ht="15.75" customHeight="1">
      <c r="A705" s="15"/>
    </row>
    <row r="706" spans="1:1" ht="15.75" customHeight="1">
      <c r="A706" s="15"/>
    </row>
    <row r="707" spans="1:1" ht="15.75" customHeight="1">
      <c r="A707" s="15"/>
    </row>
    <row r="708" spans="1:1" ht="15.75" customHeight="1">
      <c r="A708" s="15"/>
    </row>
    <row r="709" spans="1:1" ht="15.75" customHeight="1">
      <c r="A709" s="15"/>
    </row>
    <row r="710" spans="1:1" ht="15.75" customHeight="1">
      <c r="A710" s="15"/>
    </row>
    <row r="711" spans="1:1" ht="15.75" customHeight="1">
      <c r="A711" s="15"/>
    </row>
    <row r="712" spans="1:1" ht="15.75" customHeight="1">
      <c r="A712" s="15"/>
    </row>
    <row r="713" spans="1:1" ht="15.75" customHeight="1">
      <c r="A713" s="15"/>
    </row>
    <row r="714" spans="1:1" ht="15.75" customHeight="1">
      <c r="A714" s="15"/>
    </row>
    <row r="715" spans="1:1" ht="15.75" customHeight="1">
      <c r="A715" s="15"/>
    </row>
    <row r="716" spans="1:1" ht="15.75" customHeight="1">
      <c r="A716" s="15"/>
    </row>
    <row r="717" spans="1:1" ht="15.75" customHeight="1">
      <c r="A717" s="15"/>
    </row>
    <row r="718" spans="1:1" ht="15.75" customHeight="1">
      <c r="A718" s="15"/>
    </row>
    <row r="719" spans="1:1" ht="15.75" customHeight="1">
      <c r="A719" s="15"/>
    </row>
    <row r="720" spans="1:1" ht="15.75" customHeight="1">
      <c r="A720" s="15"/>
    </row>
    <row r="721" spans="1:1" ht="15.75" customHeight="1">
      <c r="A721" s="15"/>
    </row>
    <row r="722" spans="1:1" ht="15.75" customHeight="1">
      <c r="A722" s="15"/>
    </row>
    <row r="723" spans="1:1" ht="15.75" customHeight="1">
      <c r="A723" s="15"/>
    </row>
    <row r="724" spans="1:1" ht="15.75" customHeight="1">
      <c r="A724" s="15"/>
    </row>
    <row r="725" spans="1:1" ht="15.75" customHeight="1">
      <c r="A725" s="15"/>
    </row>
    <row r="726" spans="1:1" ht="15.75" customHeight="1">
      <c r="A726" s="15"/>
    </row>
    <row r="727" spans="1:1" ht="15.75" customHeight="1">
      <c r="A727" s="15"/>
    </row>
    <row r="728" spans="1:1" ht="15.75" customHeight="1">
      <c r="A728" s="15"/>
    </row>
    <row r="729" spans="1:1" ht="15.75" customHeight="1">
      <c r="A729" s="15"/>
    </row>
    <row r="730" spans="1:1" ht="15.75" customHeight="1">
      <c r="A730" s="15"/>
    </row>
    <row r="731" spans="1:1" ht="15.75" customHeight="1">
      <c r="A731" s="15"/>
    </row>
    <row r="732" spans="1:1" ht="15.75" customHeight="1">
      <c r="A732" s="15"/>
    </row>
    <row r="733" spans="1:1" ht="15.75" customHeight="1">
      <c r="A733" s="15"/>
    </row>
    <row r="734" spans="1:1" ht="15.75" customHeight="1">
      <c r="A734" s="15"/>
    </row>
    <row r="735" spans="1:1" ht="15.75" customHeight="1">
      <c r="A735" s="15"/>
    </row>
    <row r="736" spans="1:1" ht="15.75" customHeight="1">
      <c r="A736" s="15"/>
    </row>
    <row r="737" spans="1:1" ht="15.75" customHeight="1">
      <c r="A737" s="15"/>
    </row>
    <row r="738" spans="1:1" ht="15.75" customHeight="1">
      <c r="A738" s="15"/>
    </row>
    <row r="739" spans="1:1" ht="15.75" customHeight="1">
      <c r="A739" s="15"/>
    </row>
    <row r="740" spans="1:1" ht="15.75" customHeight="1">
      <c r="A740" s="15"/>
    </row>
    <row r="741" spans="1:1" ht="15.75" customHeight="1">
      <c r="A741" s="15"/>
    </row>
    <row r="742" spans="1:1" ht="15.75" customHeight="1">
      <c r="A742" s="15"/>
    </row>
    <row r="743" spans="1:1" ht="15.75" customHeight="1">
      <c r="A743" s="15"/>
    </row>
    <row r="744" spans="1:1" ht="15.75" customHeight="1">
      <c r="A744" s="15"/>
    </row>
    <row r="745" spans="1:1" ht="15.75" customHeight="1">
      <c r="A745" s="15"/>
    </row>
    <row r="746" spans="1:1" ht="15.75" customHeight="1">
      <c r="A746" s="15"/>
    </row>
    <row r="747" spans="1:1" ht="15.75" customHeight="1">
      <c r="A747" s="15"/>
    </row>
    <row r="748" spans="1:1" ht="15.75" customHeight="1">
      <c r="A748" s="15"/>
    </row>
    <row r="749" spans="1:1" ht="15.75" customHeight="1">
      <c r="A749" s="15"/>
    </row>
    <row r="750" spans="1:1" ht="15.75" customHeight="1">
      <c r="A750" s="15"/>
    </row>
    <row r="751" spans="1:1" ht="15.75" customHeight="1">
      <c r="A751" s="15"/>
    </row>
    <row r="752" spans="1:1" ht="15.75" customHeight="1">
      <c r="A752" s="15"/>
    </row>
    <row r="753" spans="1:1" ht="15.75" customHeight="1">
      <c r="A753" s="15"/>
    </row>
    <row r="754" spans="1:1" ht="15.75" customHeight="1">
      <c r="A754" s="15"/>
    </row>
    <row r="755" spans="1:1" ht="15.75" customHeight="1">
      <c r="A755" s="15"/>
    </row>
    <row r="756" spans="1:1" ht="15.75" customHeight="1">
      <c r="A756" s="15"/>
    </row>
    <row r="757" spans="1:1" ht="15.75" customHeight="1">
      <c r="A757" s="15"/>
    </row>
    <row r="758" spans="1:1" ht="15.75" customHeight="1">
      <c r="A758" s="15"/>
    </row>
    <row r="759" spans="1:1" ht="15.75" customHeight="1">
      <c r="A759" s="15"/>
    </row>
    <row r="760" spans="1:1" ht="15.75" customHeight="1">
      <c r="A760" s="15"/>
    </row>
    <row r="761" spans="1:1" ht="15.75" customHeight="1">
      <c r="A761" s="15"/>
    </row>
    <row r="762" spans="1:1" ht="15.75" customHeight="1">
      <c r="A762" s="15"/>
    </row>
    <row r="763" spans="1:1" ht="15.75" customHeight="1">
      <c r="A763" s="15"/>
    </row>
    <row r="764" spans="1:1" ht="15.75" customHeight="1">
      <c r="A764" s="15"/>
    </row>
    <row r="765" spans="1:1" ht="15.75" customHeight="1">
      <c r="A765" s="15"/>
    </row>
    <row r="766" spans="1:1" ht="15.75" customHeight="1">
      <c r="A766" s="15"/>
    </row>
    <row r="767" spans="1:1" ht="15.75" customHeight="1">
      <c r="A767" s="15"/>
    </row>
    <row r="768" spans="1:1" ht="15.75" customHeight="1">
      <c r="A768" s="15"/>
    </row>
    <row r="769" spans="1:1" ht="15.75" customHeight="1">
      <c r="A769" s="15"/>
    </row>
    <row r="770" spans="1:1" ht="15.75" customHeight="1">
      <c r="A770" s="15"/>
    </row>
    <row r="771" spans="1:1" ht="15.75" customHeight="1">
      <c r="A771" s="15"/>
    </row>
    <row r="772" spans="1:1" ht="15.75" customHeight="1">
      <c r="A772" s="15"/>
    </row>
    <row r="773" spans="1:1" ht="15.75" customHeight="1">
      <c r="A773" s="15"/>
    </row>
    <row r="774" spans="1:1" ht="15.75" customHeight="1">
      <c r="A774" s="15"/>
    </row>
    <row r="775" spans="1:1" ht="15.75" customHeight="1">
      <c r="A775" s="15"/>
    </row>
    <row r="776" spans="1:1" ht="15.75" customHeight="1">
      <c r="A776" s="15"/>
    </row>
    <row r="777" spans="1:1" ht="15.75" customHeight="1">
      <c r="A777" s="15"/>
    </row>
    <row r="778" spans="1:1" ht="15.75" customHeight="1">
      <c r="A778" s="15"/>
    </row>
    <row r="779" spans="1:1" ht="15.75" customHeight="1">
      <c r="A779" s="15"/>
    </row>
    <row r="780" spans="1:1" ht="15.75" customHeight="1">
      <c r="A780" s="15"/>
    </row>
    <row r="781" spans="1:1" ht="15.75" customHeight="1">
      <c r="A781" s="15"/>
    </row>
    <row r="782" spans="1:1" ht="15.75" customHeight="1">
      <c r="A782" s="15"/>
    </row>
    <row r="783" spans="1:1" ht="15.75" customHeight="1">
      <c r="A783" s="15"/>
    </row>
    <row r="784" spans="1:1" ht="15.75" customHeight="1">
      <c r="A784" s="15"/>
    </row>
    <row r="785" spans="1:1" ht="15.75" customHeight="1">
      <c r="A785" s="15"/>
    </row>
    <row r="786" spans="1:1" ht="15.75" customHeight="1">
      <c r="A786" s="15"/>
    </row>
    <row r="787" spans="1:1" ht="15.75" customHeight="1">
      <c r="A787" s="15"/>
    </row>
    <row r="788" spans="1:1" ht="15.75" customHeight="1">
      <c r="A788" s="15"/>
    </row>
    <row r="789" spans="1:1" ht="15.75" customHeight="1">
      <c r="A789" s="15"/>
    </row>
    <row r="790" spans="1:1" ht="15.75" customHeight="1">
      <c r="A790" s="15"/>
    </row>
    <row r="791" spans="1:1" ht="15.75" customHeight="1">
      <c r="A791" s="15"/>
    </row>
    <row r="792" spans="1:1" ht="15.75" customHeight="1">
      <c r="A792" s="15"/>
    </row>
    <row r="793" spans="1:1" ht="15.75" customHeight="1">
      <c r="A793" s="15"/>
    </row>
    <row r="794" spans="1:1" ht="15.75" customHeight="1">
      <c r="A794" s="15"/>
    </row>
    <row r="795" spans="1:1" ht="15.75" customHeight="1">
      <c r="A795" s="15"/>
    </row>
    <row r="796" spans="1:1" ht="15.75" customHeight="1">
      <c r="A796" s="15"/>
    </row>
    <row r="797" spans="1:1" ht="15.75" customHeight="1">
      <c r="A797" s="15"/>
    </row>
    <row r="798" spans="1:1" ht="15.75" customHeight="1">
      <c r="A798" s="15"/>
    </row>
    <row r="799" spans="1:1" ht="15.75" customHeight="1">
      <c r="A799" s="15"/>
    </row>
    <row r="800" spans="1:1" ht="15.75" customHeight="1">
      <c r="A800" s="15"/>
    </row>
    <row r="801" spans="1:1" ht="15.75" customHeight="1">
      <c r="A801" s="15"/>
    </row>
    <row r="802" spans="1:1" ht="15.75" customHeight="1">
      <c r="A802" s="15"/>
    </row>
    <row r="803" spans="1:1" ht="15.75" customHeight="1">
      <c r="A803" s="15"/>
    </row>
    <row r="804" spans="1:1" ht="15.75" customHeight="1">
      <c r="A804" s="15"/>
    </row>
    <row r="805" spans="1:1" ht="15.75" customHeight="1">
      <c r="A805" s="15"/>
    </row>
    <row r="806" spans="1:1" ht="15.75" customHeight="1">
      <c r="A806" s="15"/>
    </row>
    <row r="807" spans="1:1" ht="15.75" customHeight="1">
      <c r="A807" s="15"/>
    </row>
    <row r="808" spans="1:1" ht="15.75" customHeight="1">
      <c r="A808" s="15"/>
    </row>
    <row r="809" spans="1:1" ht="15.75" customHeight="1">
      <c r="A809" s="15"/>
    </row>
    <row r="810" spans="1:1" ht="15.75" customHeight="1">
      <c r="A810" s="15"/>
    </row>
    <row r="811" spans="1:1" ht="15.75" customHeight="1">
      <c r="A811" s="15"/>
    </row>
    <row r="812" spans="1:1" ht="15.75" customHeight="1">
      <c r="A812" s="15"/>
    </row>
    <row r="813" spans="1:1" ht="15.75" customHeight="1">
      <c r="A813" s="15"/>
    </row>
    <row r="814" spans="1:1" ht="15.75" customHeight="1">
      <c r="A814" s="15"/>
    </row>
    <row r="815" spans="1:1" ht="15.75" customHeight="1">
      <c r="A815" s="15"/>
    </row>
    <row r="816" spans="1:1" ht="15.75" customHeight="1">
      <c r="A816" s="15"/>
    </row>
    <row r="817" spans="1:1" ht="15.75" customHeight="1">
      <c r="A817" s="15"/>
    </row>
    <row r="818" spans="1:1" ht="15.75" customHeight="1">
      <c r="A818" s="15"/>
    </row>
    <row r="819" spans="1:1" ht="15.75" customHeight="1">
      <c r="A819" s="15"/>
    </row>
    <row r="820" spans="1:1" ht="15.75" customHeight="1">
      <c r="A820" s="15"/>
    </row>
    <row r="821" spans="1:1" ht="15.75" customHeight="1">
      <c r="A821" s="15"/>
    </row>
    <row r="822" spans="1:1" ht="15.75" customHeight="1">
      <c r="A822" s="15"/>
    </row>
    <row r="823" spans="1:1" ht="15.75" customHeight="1">
      <c r="A823" s="15"/>
    </row>
    <row r="824" spans="1:1" ht="15.75" customHeight="1">
      <c r="A824" s="15"/>
    </row>
    <row r="825" spans="1:1" ht="15.75" customHeight="1">
      <c r="A825" s="15"/>
    </row>
    <row r="826" spans="1:1" ht="15.75" customHeight="1">
      <c r="A826" s="15"/>
    </row>
    <row r="827" spans="1:1" ht="15.75" customHeight="1">
      <c r="A827" s="15"/>
    </row>
    <row r="828" spans="1:1" ht="15.75" customHeight="1">
      <c r="A828" s="15"/>
    </row>
    <row r="829" spans="1:1" ht="15.75" customHeight="1">
      <c r="A829" s="15"/>
    </row>
    <row r="830" spans="1:1" ht="15.75" customHeight="1">
      <c r="A830" s="15"/>
    </row>
    <row r="831" spans="1:1" ht="15.75" customHeight="1">
      <c r="A831" s="15"/>
    </row>
    <row r="832" spans="1:1" ht="15.75" customHeight="1">
      <c r="A832" s="15"/>
    </row>
    <row r="833" spans="1:1" ht="15.75" customHeight="1">
      <c r="A833" s="15"/>
    </row>
    <row r="834" spans="1:1" ht="15.75" customHeight="1">
      <c r="A834" s="15"/>
    </row>
    <row r="835" spans="1:1" ht="15.75" customHeight="1">
      <c r="A835" s="15"/>
    </row>
    <row r="836" spans="1:1" ht="15.75" customHeight="1">
      <c r="A836" s="15"/>
    </row>
    <row r="837" spans="1:1" ht="15.75" customHeight="1">
      <c r="A837" s="15"/>
    </row>
    <row r="838" spans="1:1" ht="15.75" customHeight="1">
      <c r="A838" s="15"/>
    </row>
    <row r="839" spans="1:1" ht="15.75" customHeight="1">
      <c r="A839" s="15"/>
    </row>
    <row r="840" spans="1:1" ht="15.75" customHeight="1">
      <c r="A840" s="15"/>
    </row>
    <row r="841" spans="1:1" ht="15.75" customHeight="1">
      <c r="A841" s="15"/>
    </row>
    <row r="842" spans="1:1" ht="15.75" customHeight="1">
      <c r="A842" s="15"/>
    </row>
    <row r="843" spans="1:1" ht="15.75" customHeight="1">
      <c r="A843" s="15"/>
    </row>
    <row r="844" spans="1:1" ht="15.75" customHeight="1">
      <c r="A844" s="15"/>
    </row>
    <row r="845" spans="1:1" ht="15.75" customHeight="1">
      <c r="A845" s="15"/>
    </row>
    <row r="846" spans="1:1" ht="15.75" customHeight="1">
      <c r="A846" s="15"/>
    </row>
    <row r="847" spans="1:1" ht="15.75" customHeight="1">
      <c r="A847" s="15"/>
    </row>
    <row r="848" spans="1:1" ht="15.75" customHeight="1">
      <c r="A848" s="15"/>
    </row>
    <row r="849" spans="1:1" ht="15.75" customHeight="1">
      <c r="A849" s="15"/>
    </row>
    <row r="850" spans="1:1" ht="15.75" customHeight="1">
      <c r="A850" s="15"/>
    </row>
    <row r="851" spans="1:1" ht="15.75" customHeight="1">
      <c r="A851" s="15"/>
    </row>
    <row r="852" spans="1:1" ht="15.75" customHeight="1">
      <c r="A852" s="15"/>
    </row>
    <row r="853" spans="1:1" ht="15.75" customHeight="1">
      <c r="A853" s="15"/>
    </row>
    <row r="854" spans="1:1" ht="15.75" customHeight="1">
      <c r="A854" s="15"/>
    </row>
    <row r="855" spans="1:1" ht="15.75" customHeight="1">
      <c r="A855" s="15"/>
    </row>
    <row r="856" spans="1:1" ht="15.75" customHeight="1">
      <c r="A856" s="15"/>
    </row>
    <row r="857" spans="1:1" ht="15.75" customHeight="1">
      <c r="A857" s="15"/>
    </row>
    <row r="858" spans="1:1" ht="15.75" customHeight="1">
      <c r="A858" s="15"/>
    </row>
    <row r="859" spans="1:1" ht="15.75" customHeight="1">
      <c r="A859" s="15"/>
    </row>
    <row r="860" spans="1:1" ht="15.75" customHeight="1">
      <c r="A860" s="15"/>
    </row>
    <row r="861" spans="1:1" ht="15.75" customHeight="1">
      <c r="A861" s="15"/>
    </row>
    <row r="862" spans="1:1" ht="15.75" customHeight="1">
      <c r="A862" s="15"/>
    </row>
    <row r="863" spans="1:1" ht="15.75" customHeight="1">
      <c r="A863" s="15"/>
    </row>
    <row r="864" spans="1:1" ht="15.75" customHeight="1">
      <c r="A864" s="15"/>
    </row>
    <row r="865" spans="1:1" ht="15.75" customHeight="1">
      <c r="A865" s="15"/>
    </row>
    <row r="866" spans="1:1" ht="15.75" customHeight="1">
      <c r="A866" s="15"/>
    </row>
    <row r="867" spans="1:1" ht="15.75" customHeight="1">
      <c r="A867" s="15"/>
    </row>
    <row r="868" spans="1:1" ht="15.75" customHeight="1">
      <c r="A868" s="15"/>
    </row>
    <row r="869" spans="1:1" ht="15.75" customHeight="1">
      <c r="A869" s="15"/>
    </row>
    <row r="870" spans="1:1" ht="15.75" customHeight="1">
      <c r="A870" s="15"/>
    </row>
    <row r="871" spans="1:1" ht="15.75" customHeight="1">
      <c r="A871" s="15"/>
    </row>
    <row r="872" spans="1:1" ht="15.75" customHeight="1">
      <c r="A872" s="15"/>
    </row>
    <row r="873" spans="1:1" ht="15.75" customHeight="1">
      <c r="A873" s="15"/>
    </row>
    <row r="874" spans="1:1" ht="15.75" customHeight="1">
      <c r="A874" s="15"/>
    </row>
    <row r="875" spans="1:1" ht="15.75" customHeight="1">
      <c r="A875" s="15"/>
    </row>
    <row r="876" spans="1:1" ht="15.75" customHeight="1">
      <c r="A876" s="15"/>
    </row>
    <row r="877" spans="1:1" ht="15.75" customHeight="1">
      <c r="A877" s="15"/>
    </row>
    <row r="878" spans="1:1" ht="15.75" customHeight="1">
      <c r="A878" s="15"/>
    </row>
    <row r="879" spans="1:1" ht="15.75" customHeight="1">
      <c r="A879" s="15"/>
    </row>
    <row r="880" spans="1:1" ht="15.75" customHeight="1">
      <c r="A880" s="15"/>
    </row>
    <row r="881" spans="1:1" ht="15.75" customHeight="1">
      <c r="A881" s="15"/>
    </row>
    <row r="882" spans="1:1" ht="15.75" customHeight="1">
      <c r="A882" s="15"/>
    </row>
    <row r="883" spans="1:1" ht="15.75" customHeight="1">
      <c r="A883" s="15"/>
    </row>
    <row r="884" spans="1:1" ht="15.75" customHeight="1">
      <c r="A884" s="15"/>
    </row>
    <row r="885" spans="1:1" ht="15.75" customHeight="1">
      <c r="A885" s="15"/>
    </row>
    <row r="886" spans="1:1" ht="15.75" customHeight="1">
      <c r="A886" s="15"/>
    </row>
    <row r="887" spans="1:1" ht="15.75" customHeight="1">
      <c r="A887" s="15"/>
    </row>
    <row r="888" spans="1:1" ht="15.75" customHeight="1">
      <c r="A888" s="15"/>
    </row>
    <row r="889" spans="1:1" ht="15.75" customHeight="1">
      <c r="A889" s="15"/>
    </row>
    <row r="890" spans="1:1" ht="15.75" customHeight="1">
      <c r="A890" s="15"/>
    </row>
    <row r="891" spans="1:1" ht="15.75" customHeight="1">
      <c r="A891" s="15"/>
    </row>
    <row r="892" spans="1:1" ht="15.75" customHeight="1">
      <c r="A892" s="15"/>
    </row>
    <row r="893" spans="1:1" ht="15.75" customHeight="1">
      <c r="A893" s="15"/>
    </row>
    <row r="894" spans="1:1" ht="15.75" customHeight="1">
      <c r="A894" s="15"/>
    </row>
    <row r="895" spans="1:1" ht="15.75" customHeight="1">
      <c r="A895" s="15"/>
    </row>
    <row r="896" spans="1:1" ht="15.75" customHeight="1">
      <c r="A896" s="15"/>
    </row>
    <row r="897" spans="1:1" ht="15.75" customHeight="1">
      <c r="A897" s="15"/>
    </row>
    <row r="898" spans="1:1" ht="15.75" customHeight="1">
      <c r="A898" s="15"/>
    </row>
    <row r="899" spans="1:1" ht="15.75" customHeight="1">
      <c r="A899" s="15"/>
    </row>
    <row r="900" spans="1:1" ht="15.75" customHeight="1">
      <c r="A900" s="15"/>
    </row>
    <row r="901" spans="1:1" ht="15.75" customHeight="1">
      <c r="A901" s="15"/>
    </row>
    <row r="902" spans="1:1" ht="15.75" customHeight="1">
      <c r="A902" s="15"/>
    </row>
    <row r="903" spans="1:1" ht="15.75" customHeight="1">
      <c r="A903" s="15"/>
    </row>
    <row r="904" spans="1:1" ht="15.75" customHeight="1">
      <c r="A904" s="15"/>
    </row>
    <row r="905" spans="1:1" ht="15.75" customHeight="1">
      <c r="A905" s="15"/>
    </row>
    <row r="906" spans="1:1" ht="15.75" customHeight="1">
      <c r="A906" s="15"/>
    </row>
    <row r="907" spans="1:1" ht="15.75" customHeight="1">
      <c r="A907" s="15"/>
    </row>
    <row r="908" spans="1:1" ht="15.75" customHeight="1">
      <c r="A908" s="15"/>
    </row>
    <row r="909" spans="1:1" ht="15.75" customHeight="1">
      <c r="A909" s="15"/>
    </row>
    <row r="910" spans="1:1" ht="15.75" customHeight="1">
      <c r="A910" s="15"/>
    </row>
    <row r="911" spans="1:1" ht="15.75" customHeight="1">
      <c r="A911" s="15"/>
    </row>
    <row r="912" spans="1:1" ht="15.75" customHeight="1">
      <c r="A912" s="15"/>
    </row>
    <row r="913" spans="1:1" ht="15.75" customHeight="1">
      <c r="A913" s="15"/>
    </row>
    <row r="914" spans="1:1" ht="15.75" customHeight="1">
      <c r="A914" s="15"/>
    </row>
    <row r="915" spans="1:1" ht="15.75" customHeight="1">
      <c r="A915" s="15"/>
    </row>
    <row r="916" spans="1:1" ht="15.75" customHeight="1">
      <c r="A916" s="15"/>
    </row>
    <row r="917" spans="1:1" ht="15.75" customHeight="1">
      <c r="A917" s="15"/>
    </row>
    <row r="918" spans="1:1" ht="15.75" customHeight="1">
      <c r="A918" s="15"/>
    </row>
    <row r="919" spans="1:1" ht="15.75" customHeight="1">
      <c r="A919" s="15"/>
    </row>
    <row r="920" spans="1:1" ht="15.75" customHeight="1">
      <c r="A920" s="15"/>
    </row>
    <row r="921" spans="1:1" ht="15.75" customHeight="1">
      <c r="A921" s="15"/>
    </row>
    <row r="922" spans="1:1" ht="15.75" customHeight="1">
      <c r="A922" s="15"/>
    </row>
    <row r="923" spans="1:1" ht="15.75" customHeight="1">
      <c r="A923" s="15"/>
    </row>
    <row r="924" spans="1:1" ht="15.75" customHeight="1">
      <c r="A924" s="15"/>
    </row>
    <row r="925" spans="1:1" ht="15.75" customHeight="1">
      <c r="A925" s="15"/>
    </row>
    <row r="926" spans="1:1" ht="15.75" customHeight="1">
      <c r="A926" s="15"/>
    </row>
    <row r="927" spans="1:1" ht="15.75" customHeight="1">
      <c r="A927" s="15"/>
    </row>
    <row r="928" spans="1:1" ht="15.75" customHeight="1">
      <c r="A928" s="15"/>
    </row>
    <row r="929" spans="1:1" ht="15.75" customHeight="1">
      <c r="A929" s="15"/>
    </row>
    <row r="930" spans="1:1" ht="15.75" customHeight="1">
      <c r="A930" s="15"/>
    </row>
    <row r="931" spans="1:1" ht="15.75" customHeight="1">
      <c r="A931" s="15"/>
    </row>
    <row r="932" spans="1:1" ht="15.75" customHeight="1">
      <c r="A932" s="15"/>
    </row>
    <row r="933" spans="1:1" ht="15.75" customHeight="1">
      <c r="A933" s="15"/>
    </row>
    <row r="934" spans="1:1" ht="15.75" customHeight="1">
      <c r="A934" s="15"/>
    </row>
    <row r="935" spans="1:1" ht="15.75" customHeight="1">
      <c r="A935" s="15"/>
    </row>
    <row r="936" spans="1:1" ht="15.75" customHeight="1">
      <c r="A936" s="15"/>
    </row>
    <row r="937" spans="1:1" ht="15.75" customHeight="1">
      <c r="A937" s="15"/>
    </row>
    <row r="938" spans="1:1" ht="15.75" customHeight="1">
      <c r="A938" s="15"/>
    </row>
    <row r="939" spans="1:1" ht="15.75" customHeight="1">
      <c r="A939" s="15"/>
    </row>
    <row r="940" spans="1:1" ht="15.75" customHeight="1">
      <c r="A940" s="15"/>
    </row>
    <row r="941" spans="1:1" ht="15.75" customHeight="1">
      <c r="A941" s="15"/>
    </row>
    <row r="942" spans="1:1" ht="15.75" customHeight="1">
      <c r="A942" s="15"/>
    </row>
    <row r="943" spans="1:1" ht="15.75" customHeight="1">
      <c r="A943" s="15"/>
    </row>
    <row r="944" spans="1:1" ht="15.75" customHeight="1">
      <c r="A944" s="15"/>
    </row>
    <row r="945" spans="1:1" ht="15.75" customHeight="1">
      <c r="A945" s="15"/>
    </row>
    <row r="946" spans="1:1" ht="15.75" customHeight="1">
      <c r="A946" s="15"/>
    </row>
    <row r="947" spans="1:1" ht="15.75" customHeight="1">
      <c r="A947" s="15"/>
    </row>
    <row r="948" spans="1:1" ht="15.75" customHeight="1">
      <c r="A948" s="15"/>
    </row>
    <row r="949" spans="1:1" ht="15.75" customHeight="1">
      <c r="A949" s="15"/>
    </row>
    <row r="950" spans="1:1" ht="15.75" customHeight="1">
      <c r="A950" s="15"/>
    </row>
    <row r="951" spans="1:1" ht="15.75" customHeight="1">
      <c r="A951" s="15"/>
    </row>
    <row r="952" spans="1:1" ht="15.75" customHeight="1">
      <c r="A952" s="15"/>
    </row>
    <row r="953" spans="1:1" ht="15.75" customHeight="1">
      <c r="A953" s="15"/>
    </row>
    <row r="954" spans="1:1" ht="15.75" customHeight="1">
      <c r="A954" s="15"/>
    </row>
    <row r="955" spans="1:1" ht="15.75" customHeight="1">
      <c r="A955" s="15"/>
    </row>
    <row r="956" spans="1:1" ht="15.75" customHeight="1">
      <c r="A956" s="15"/>
    </row>
    <row r="957" spans="1:1" ht="15.75" customHeight="1">
      <c r="A957" s="15"/>
    </row>
    <row r="958" spans="1:1" ht="15.75" customHeight="1">
      <c r="A958" s="15"/>
    </row>
    <row r="959" spans="1:1" ht="15.75" customHeight="1">
      <c r="A959" s="15"/>
    </row>
    <row r="960" spans="1:1" ht="15.75" customHeight="1">
      <c r="A960" s="15"/>
    </row>
    <row r="961" spans="1:1" ht="15.75" customHeight="1">
      <c r="A961" s="15"/>
    </row>
    <row r="962" spans="1:1" ht="15.75" customHeight="1">
      <c r="A962" s="15"/>
    </row>
    <row r="963" spans="1:1" ht="15.75" customHeight="1">
      <c r="A963" s="15"/>
    </row>
    <row r="964" spans="1:1" ht="15.75" customHeight="1">
      <c r="A964" s="15"/>
    </row>
    <row r="965" spans="1:1" ht="15.75" customHeight="1">
      <c r="A965" s="15"/>
    </row>
    <row r="966" spans="1:1" ht="15.75" customHeight="1">
      <c r="A966" s="15"/>
    </row>
    <row r="967" spans="1:1" ht="15.75" customHeight="1">
      <c r="A967" s="15"/>
    </row>
    <row r="968" spans="1:1" ht="15.75" customHeight="1">
      <c r="A968" s="15"/>
    </row>
    <row r="969" spans="1:1" ht="15.75" customHeight="1">
      <c r="A969" s="15"/>
    </row>
    <row r="970" spans="1:1" ht="15.75" customHeight="1">
      <c r="A970" s="15"/>
    </row>
    <row r="971" spans="1:1" ht="15.75" customHeight="1">
      <c r="A971" s="15"/>
    </row>
    <row r="972" spans="1:1" ht="15.75" customHeight="1">
      <c r="A972" s="15"/>
    </row>
    <row r="973" spans="1:1" ht="15.75" customHeight="1">
      <c r="A973" s="15"/>
    </row>
    <row r="974" spans="1:1" ht="15.75" customHeight="1">
      <c r="A974" s="15"/>
    </row>
    <row r="975" spans="1:1" ht="15.75" customHeight="1">
      <c r="A975" s="15"/>
    </row>
    <row r="976" spans="1:1" ht="15.75" customHeight="1">
      <c r="A976" s="15"/>
    </row>
    <row r="977" spans="1:1" ht="15.75" customHeight="1">
      <c r="A977" s="15"/>
    </row>
    <row r="978" spans="1:1" ht="15.75" customHeight="1">
      <c r="A978" s="15"/>
    </row>
    <row r="979" spans="1:1" ht="15.75" customHeight="1">
      <c r="A979" s="15"/>
    </row>
    <row r="980" spans="1:1" ht="15.75" customHeight="1">
      <c r="A980" s="15"/>
    </row>
    <row r="981" spans="1:1" ht="15.75" customHeight="1">
      <c r="A981" s="15"/>
    </row>
    <row r="982" spans="1:1" ht="15.75" customHeight="1">
      <c r="A982" s="15"/>
    </row>
    <row r="983" spans="1:1" ht="15.75" customHeight="1">
      <c r="A983" s="15"/>
    </row>
    <row r="984" spans="1:1" ht="15.75" customHeight="1">
      <c r="A984" s="15"/>
    </row>
    <row r="985" spans="1:1" ht="15.75" customHeight="1">
      <c r="A985" s="15"/>
    </row>
    <row r="986" spans="1:1" ht="15.75" customHeight="1">
      <c r="A986" s="15"/>
    </row>
    <row r="987" spans="1:1" ht="15.75" customHeight="1">
      <c r="A987" s="15"/>
    </row>
    <row r="988" spans="1:1" ht="15.75" customHeight="1">
      <c r="A988" s="15"/>
    </row>
    <row r="989" spans="1:1" ht="15.75" customHeight="1">
      <c r="A989" s="15"/>
    </row>
    <row r="990" spans="1:1" ht="15.75" customHeight="1">
      <c r="A990" s="15"/>
    </row>
    <row r="991" spans="1:1" ht="15.75" customHeight="1">
      <c r="A991" s="15"/>
    </row>
    <row r="992" spans="1:1" ht="15.75" customHeight="1">
      <c r="A992" s="15"/>
    </row>
    <row r="993" spans="1:1" ht="15.75" customHeight="1">
      <c r="A993" s="15"/>
    </row>
    <row r="994" spans="1:1" ht="15.75" customHeight="1">
      <c r="A994" s="15"/>
    </row>
    <row r="995" spans="1:1" ht="15.75" customHeight="1">
      <c r="A995" s="15"/>
    </row>
    <row r="996" spans="1:1" ht="15.75" customHeight="1">
      <c r="A996" s="15"/>
    </row>
    <row r="997" spans="1:1" ht="15.75" customHeight="1">
      <c r="A997" s="15"/>
    </row>
    <row r="998" spans="1:1" ht="15.75" customHeight="1">
      <c r="A998" s="15"/>
    </row>
    <row r="999" spans="1:1" ht="15.75" customHeight="1">
      <c r="A999" s="15"/>
    </row>
    <row r="1000" spans="1:1" ht="15.75" customHeight="1">
      <c r="A1000" s="15"/>
    </row>
  </sheetData>
  <phoneticPr fontId="9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44140625" defaultRowHeight="15" customHeight="1"/>
  <cols>
    <col min="1" max="1" width="28.5546875" customWidth="1"/>
    <col min="2" max="2" width="72" customWidth="1"/>
    <col min="3" max="26" width="8.6640625" customWidth="1"/>
  </cols>
  <sheetData>
    <row r="1" spans="1:2" ht="14.4">
      <c r="A1" s="2" t="s">
        <v>1</v>
      </c>
      <c r="B1" s="2" t="s">
        <v>5</v>
      </c>
    </row>
    <row r="2" spans="1:2" ht="14.4">
      <c r="A2" s="5" t="s">
        <v>6</v>
      </c>
      <c r="B2" s="5" t="s">
        <v>9</v>
      </c>
    </row>
    <row r="3" spans="1:2" ht="14.4">
      <c r="A3" s="5" t="s">
        <v>10</v>
      </c>
      <c r="B3" s="5" t="s">
        <v>11</v>
      </c>
    </row>
    <row r="4" spans="1:2" ht="14.4">
      <c r="A4" s="5" t="s">
        <v>12</v>
      </c>
      <c r="B4" s="5" t="s">
        <v>14</v>
      </c>
    </row>
    <row r="5" spans="1:2" ht="14.4">
      <c r="A5" s="5" t="s">
        <v>15</v>
      </c>
      <c r="B5" s="5" t="s">
        <v>16</v>
      </c>
    </row>
    <row r="6" spans="1:2" ht="14.4">
      <c r="A6" s="9" t="s">
        <v>20</v>
      </c>
      <c r="B6" s="12" t="s">
        <v>26</v>
      </c>
    </row>
    <row r="7" spans="1:2" ht="14.4">
      <c r="A7" s="14" t="s">
        <v>29</v>
      </c>
      <c r="B7" s="14" t="s">
        <v>41</v>
      </c>
    </row>
    <row r="8" spans="1:2" ht="14.4">
      <c r="A8" s="5" t="s">
        <v>42</v>
      </c>
      <c r="B8" s="5" t="s">
        <v>28</v>
      </c>
    </row>
    <row r="9" spans="1:2" ht="14.4">
      <c r="A9" s="5" t="s">
        <v>44</v>
      </c>
      <c r="B9" s="5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9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03AB7-91D2-41EB-BA5C-DAF79CCE11EC}">
  <dimension ref="A1:B31"/>
  <sheetViews>
    <sheetView workbookViewId="0">
      <selection activeCell="G17" sqref="G17"/>
    </sheetView>
  </sheetViews>
  <sheetFormatPr defaultRowHeight="14.4"/>
  <cols>
    <col min="1" max="1" width="26.44140625" bestFit="1" customWidth="1"/>
    <col min="2" max="2" width="50.5546875" customWidth="1"/>
  </cols>
  <sheetData>
    <row r="1" spans="1:2">
      <c r="A1" s="17" t="s">
        <v>282</v>
      </c>
      <c r="B1" s="18" t="s">
        <v>283</v>
      </c>
    </row>
    <row r="2" spans="1:2">
      <c r="A2" s="19" t="s">
        <v>284</v>
      </c>
      <c r="B2" s="20" t="s">
        <v>285</v>
      </c>
    </row>
    <row r="3" spans="1:2">
      <c r="A3" s="19" t="s">
        <v>286</v>
      </c>
      <c r="B3" s="20" t="s">
        <v>287</v>
      </c>
    </row>
    <row r="4" spans="1:2">
      <c r="A4" s="19" t="s">
        <v>288</v>
      </c>
      <c r="B4" s="20" t="s">
        <v>289</v>
      </c>
    </row>
    <row r="5" spans="1:2">
      <c r="A5" s="19" t="s">
        <v>290</v>
      </c>
      <c r="B5" s="20" t="s">
        <v>291</v>
      </c>
    </row>
    <row r="6" spans="1:2">
      <c r="A6" s="19" t="s">
        <v>292</v>
      </c>
      <c r="B6" s="20" t="s">
        <v>293</v>
      </c>
    </row>
    <row r="7" spans="1:2">
      <c r="A7" s="19" t="s">
        <v>294</v>
      </c>
      <c r="B7" s="20" t="s">
        <v>295</v>
      </c>
    </row>
    <row r="8" spans="1:2">
      <c r="A8" s="21" t="s">
        <v>296</v>
      </c>
      <c r="B8" s="22" t="s">
        <v>297</v>
      </c>
    </row>
    <row r="9" spans="1:2">
      <c r="A9" s="21" t="s">
        <v>298</v>
      </c>
      <c r="B9" s="22" t="s">
        <v>299</v>
      </c>
    </row>
    <row r="10" spans="1:2">
      <c r="A10" s="21" t="s">
        <v>300</v>
      </c>
      <c r="B10" s="22" t="s">
        <v>301</v>
      </c>
    </row>
    <row r="11" spans="1:2">
      <c r="A11" s="21" t="s">
        <v>302</v>
      </c>
      <c r="B11" s="22" t="s">
        <v>303</v>
      </c>
    </row>
    <row r="12" spans="1:2">
      <c r="A12" s="21" t="s">
        <v>304</v>
      </c>
      <c r="B12" s="22" t="s">
        <v>305</v>
      </c>
    </row>
    <row r="13" spans="1:2">
      <c r="A13" s="21" t="s">
        <v>382</v>
      </c>
      <c r="B13" s="22" t="s">
        <v>383</v>
      </c>
    </row>
    <row r="14" spans="1:2">
      <c r="A14" s="21" t="s">
        <v>306</v>
      </c>
      <c r="B14" s="22" t="s">
        <v>307</v>
      </c>
    </row>
    <row r="15" spans="1:2">
      <c r="A15" s="23" t="s">
        <v>308</v>
      </c>
      <c r="B15" s="24" t="s">
        <v>309</v>
      </c>
    </row>
    <row r="16" spans="1:2">
      <c r="A16" s="23" t="s">
        <v>310</v>
      </c>
      <c r="B16" s="24" t="s">
        <v>311</v>
      </c>
    </row>
    <row r="17" spans="1:2">
      <c r="A17" s="23" t="s">
        <v>312</v>
      </c>
      <c r="B17" s="24" t="s">
        <v>313</v>
      </c>
    </row>
    <row r="18" spans="1:2">
      <c r="A18" s="23" t="s">
        <v>314</v>
      </c>
      <c r="B18" s="24" t="s">
        <v>315</v>
      </c>
    </row>
    <row r="19" spans="1:2">
      <c r="A19" s="25" t="s">
        <v>316</v>
      </c>
      <c r="B19" s="26" t="s">
        <v>317</v>
      </c>
    </row>
    <row r="20" spans="1:2">
      <c r="A20" s="25" t="s">
        <v>318</v>
      </c>
      <c r="B20" s="26" t="s">
        <v>319</v>
      </c>
    </row>
    <row r="21" spans="1:2">
      <c r="A21" s="25" t="s">
        <v>320</v>
      </c>
      <c r="B21" s="26" t="s">
        <v>321</v>
      </c>
    </row>
    <row r="22" spans="1:2">
      <c r="A22" s="25" t="s">
        <v>322</v>
      </c>
      <c r="B22" s="26" t="s">
        <v>323</v>
      </c>
    </row>
    <row r="23" spans="1:2">
      <c r="A23" s="27" t="s">
        <v>324</v>
      </c>
      <c r="B23" s="28" t="s">
        <v>325</v>
      </c>
    </row>
    <row r="24" spans="1:2">
      <c r="A24" s="27" t="s">
        <v>326</v>
      </c>
      <c r="B24" s="28" t="s">
        <v>327</v>
      </c>
    </row>
    <row r="25" spans="1:2">
      <c r="A25" s="27" t="s">
        <v>328</v>
      </c>
      <c r="B25" s="28" t="s">
        <v>329</v>
      </c>
    </row>
    <row r="26" spans="1:2">
      <c r="A26" s="27" t="s">
        <v>330</v>
      </c>
      <c r="B26" s="28" t="s">
        <v>331</v>
      </c>
    </row>
    <row r="27" spans="1:2">
      <c r="A27" s="27" t="s">
        <v>332</v>
      </c>
      <c r="B27" s="28" t="s">
        <v>333</v>
      </c>
    </row>
    <row r="28" spans="1:2">
      <c r="A28" s="29" t="s">
        <v>334</v>
      </c>
      <c r="B28" s="30" t="s">
        <v>335</v>
      </c>
    </row>
    <row r="29" spans="1:2">
      <c r="A29" s="29" t="s">
        <v>336</v>
      </c>
      <c r="B29" s="30" t="s">
        <v>337</v>
      </c>
    </row>
    <row r="30" spans="1:2">
      <c r="A30" s="40" t="s">
        <v>380</v>
      </c>
      <c r="B30" s="41" t="s">
        <v>381</v>
      </c>
    </row>
    <row r="31" spans="1:2">
      <c r="A31" s="46" t="s">
        <v>390</v>
      </c>
      <c r="B31" s="47" t="s">
        <v>391</v>
      </c>
    </row>
  </sheetData>
  <phoneticPr fontId="9" type="noConversion"/>
  <hyperlinks>
    <hyperlink ref="B2" r:id="rId1" xr:uid="{43A3320F-3633-4888-AA6C-11D8ABF8834C}"/>
    <hyperlink ref="B3" r:id="rId2" xr:uid="{7F23B7C8-BF82-4DBF-BCA3-52B74AFCE2AA}"/>
    <hyperlink ref="B4" r:id="rId3" xr:uid="{C2F94807-A4DD-4D9A-841B-8C940B4006A0}"/>
    <hyperlink ref="B5" r:id="rId4" xr:uid="{0432296D-256C-41C7-B03E-E6843098E210}"/>
    <hyperlink ref="B6" r:id="rId5" xr:uid="{E809C1F8-FCB9-4BD9-8F6F-622180FF12D5}"/>
    <hyperlink ref="B7" r:id="rId6" xr:uid="{0ED7D4F0-7657-4F69-BE28-C687F2E20FC1}"/>
    <hyperlink ref="B8" r:id="rId7" xr:uid="{18BAE6F6-D7CC-4D82-AE00-6D397CE9835C}"/>
    <hyperlink ref="B9" r:id="rId8" xr:uid="{02F5F0D5-90DD-4303-9EB0-AA556271592E}"/>
    <hyperlink ref="B10" r:id="rId9" xr:uid="{C6EA89A3-6DFF-41F2-BB5D-98539D0B166B}"/>
    <hyperlink ref="B11" r:id="rId10" xr:uid="{E92945C6-295A-451C-BCDE-DD6D92098EF1}"/>
    <hyperlink ref="B12" r:id="rId11" xr:uid="{78CEA634-EE09-413C-82E1-CD8A65A4065C}"/>
    <hyperlink ref="B14" r:id="rId12" xr:uid="{9A4EA90A-3230-4B91-8A56-457C4C7A3C05}"/>
    <hyperlink ref="B15" r:id="rId13" xr:uid="{69195B63-D9B6-4924-B9BE-C2236557E626}"/>
    <hyperlink ref="B16" r:id="rId14" xr:uid="{6E810752-0278-4FBB-A713-A32D4A14984D}"/>
    <hyperlink ref="B17" r:id="rId15" xr:uid="{BDA04FDE-9D36-47B3-93DF-F459844D7616}"/>
    <hyperlink ref="B18" r:id="rId16" xr:uid="{04956CFC-D575-4BC2-B506-5151FACB293C}"/>
    <hyperlink ref="B19" r:id="rId17" xr:uid="{54C28165-F833-44A2-A9FA-E3650AFC6B0F}"/>
    <hyperlink ref="B20" r:id="rId18" xr:uid="{B08AA2AC-7DE1-40BF-B84E-E79B539DE70C}"/>
    <hyperlink ref="B21" r:id="rId19" xr:uid="{9EFB636D-7CFD-4A75-BEB7-B5590933D9FE}"/>
    <hyperlink ref="B22" r:id="rId20" xr:uid="{BDCA6720-BBA2-47B7-B6AC-E4FE8DE12463}"/>
    <hyperlink ref="B23" r:id="rId21" xr:uid="{BC5534C9-4691-4457-B8B0-61579D305458}"/>
    <hyperlink ref="B24" r:id="rId22" xr:uid="{94F3078A-1BC7-4F77-B6E6-675938E900EE}"/>
    <hyperlink ref="B25" r:id="rId23" xr:uid="{86B89AC6-010F-477F-91F1-655067BA284C}"/>
    <hyperlink ref="B26" r:id="rId24" xr:uid="{E2737B21-2233-4DC5-8ABA-A43C71A8FAF6}"/>
    <hyperlink ref="B27" r:id="rId25" xr:uid="{96621211-2E45-4BDE-86F7-D4D2DED8ECE0}"/>
    <hyperlink ref="B28" r:id="rId26" xr:uid="{E960F027-9574-45FA-9289-C80817E2F8B5}"/>
    <hyperlink ref="B29" r:id="rId27" xr:uid="{B8615868-DC1B-413C-B0F4-A170A2265824}"/>
    <hyperlink ref="B30" r:id="rId28" xr:uid="{EE25D5B7-67D1-451A-AFF3-BA7170DF97C1}"/>
    <hyperlink ref="B13" r:id="rId29" xr:uid="{E0577ADF-FB26-48A4-81DB-E7BAB606FD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Event</vt:lpstr>
      <vt:lpstr>Action</vt:lpstr>
      <vt:lpstr>Classification_Example</vt:lpstr>
      <vt:lpstr>主要網站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承育 楊</cp:lastModifiedBy>
  <dcterms:modified xsi:type="dcterms:W3CDTF">2026-07-31T07:24:41Z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cbd3ca4-59a6-410d-ba5b-98e306109a39_Enabled">
    <vt:lpwstr>true</vt:lpwstr>
  </property>
  <property fmtid="{D5CDD505-2E9C-101B-9397-08002B2CF9AE}" pid="3" name="MSIP_Label_1cbd3ca4-59a6-410d-ba5b-98e306109a39_SetDate">
    <vt:lpwstr>2026-07-30T05:17:54Z</vt:lpwstr>
  </property>
  <property fmtid="{D5CDD505-2E9C-101B-9397-08002B2CF9AE}" pid="4" name="MSIP_Label_1cbd3ca4-59a6-410d-ba5b-98e306109a39_Method">
    <vt:lpwstr>Standard</vt:lpwstr>
  </property>
  <property fmtid="{D5CDD505-2E9C-101B-9397-08002B2CF9AE}" pid="5" name="MSIP_Label_1cbd3ca4-59a6-410d-ba5b-98e306109a39_Name">
    <vt:lpwstr>一般使用</vt:lpwstr>
  </property>
  <property fmtid="{D5CDD505-2E9C-101B-9397-08002B2CF9AE}" pid="6" name="MSIP_Label_1cbd3ca4-59a6-410d-ba5b-98e306109a39_SiteId">
    <vt:lpwstr>911b2369-1105-4da8-ac47-cd9e1a690d42</vt:lpwstr>
  </property>
  <property fmtid="{D5CDD505-2E9C-101B-9397-08002B2CF9AE}" pid="7" name="MSIP_Label_1cbd3ca4-59a6-410d-ba5b-98e306109a39_ActionId">
    <vt:lpwstr>5c87b523-f12a-4ca4-8896-7ea1e05750ad</vt:lpwstr>
  </property>
  <property fmtid="{D5CDD505-2E9C-101B-9397-08002B2CF9AE}" pid="8" name="MSIP_Label_1cbd3ca4-59a6-410d-ba5b-98e306109a39_ContentBits">
    <vt:lpwstr>0</vt:lpwstr>
  </property>
  <property fmtid="{D5CDD505-2E9C-101B-9397-08002B2CF9AE}" pid="9" name="MSIP_Label_1cbd3ca4-59a6-410d-ba5b-98e306109a39_Tag">
    <vt:lpwstr>10, 3, 0, 1</vt:lpwstr>
  </property>
</Properties>
</file>