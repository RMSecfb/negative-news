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61DA3B1C-CCAC-4305-B6DF-F95B73899E62}" xr6:coauthVersionLast="47" xr6:coauthVersionMax="47" xr10:uidLastSave="{00000000-0000-0000-0000-000000000000}"/>
  <bookViews>
    <workbookView xWindow="-120" yWindow="-120" windowWidth="29040" windowHeight="15720" tabRatio="500" activeTab="1" xr2:uid="{00000000-000D-0000-FFFF-FFFF00000000}"/>
  </bookViews>
  <sheets>
    <sheet name="說明" sheetId="1" r:id="rId1"/>
    <sheet name="覆核" sheetId="2" r:id="rId2"/>
    <sheet name="事件規則" sheetId="3" r:id="rId3"/>
  </sheets>
  <definedNames>
    <definedName name="_xlnm._FilterDatabase" localSheetId="1" hidden="1">覆核!$A$1:$AB$646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X646" i="2" l="1"/>
  <c r="U646" i="2"/>
  <c r="T646" i="2"/>
  <c r="X645" i="2"/>
  <c r="U645" i="2"/>
  <c r="T645" i="2"/>
  <c r="X644" i="2"/>
  <c r="U644" i="2"/>
  <c r="T644" i="2"/>
  <c r="X643" i="2"/>
  <c r="U643" i="2"/>
  <c r="T643" i="2"/>
  <c r="X642" i="2"/>
  <c r="U642" i="2"/>
  <c r="T642" i="2"/>
  <c r="X641" i="2"/>
  <c r="U641" i="2"/>
  <c r="T641" i="2"/>
  <c r="X640" i="2"/>
  <c r="U640" i="2"/>
  <c r="T640" i="2"/>
  <c r="X639" i="2"/>
  <c r="U639" i="2"/>
  <c r="T639" i="2"/>
  <c r="X638" i="2"/>
  <c r="U638" i="2"/>
  <c r="T638" i="2"/>
  <c r="X637" i="2"/>
  <c r="U637" i="2"/>
  <c r="T637" i="2"/>
  <c r="X636" i="2"/>
  <c r="U636" i="2"/>
  <c r="T636" i="2"/>
  <c r="X635" i="2"/>
  <c r="U635" i="2"/>
  <c r="T635" i="2"/>
  <c r="X634" i="2"/>
  <c r="U634" i="2"/>
  <c r="T634" i="2"/>
  <c r="X633" i="2"/>
  <c r="U633" i="2"/>
  <c r="T633" i="2"/>
  <c r="X632" i="2"/>
  <c r="U632" i="2"/>
  <c r="T632" i="2"/>
  <c r="X631" i="2"/>
  <c r="U631" i="2"/>
  <c r="T631" i="2"/>
  <c r="X630" i="2"/>
  <c r="U630" i="2"/>
  <c r="T630" i="2"/>
  <c r="X629" i="2"/>
  <c r="U629" i="2"/>
  <c r="T629" i="2"/>
  <c r="X628" i="2"/>
  <c r="U628" i="2"/>
  <c r="T628" i="2"/>
  <c r="X627" i="2"/>
  <c r="U627" i="2"/>
  <c r="T627" i="2"/>
  <c r="X626" i="2"/>
  <c r="U626" i="2"/>
  <c r="T626" i="2"/>
  <c r="X625" i="2"/>
  <c r="U625" i="2"/>
  <c r="T625" i="2"/>
  <c r="X624" i="2"/>
  <c r="U624" i="2"/>
  <c r="T624" i="2"/>
  <c r="X623" i="2"/>
  <c r="U623" i="2"/>
  <c r="T623" i="2"/>
  <c r="X622" i="2"/>
  <c r="U622" i="2"/>
  <c r="T622" i="2"/>
  <c r="X621" i="2"/>
  <c r="U621" i="2"/>
  <c r="T621" i="2"/>
  <c r="X620" i="2"/>
  <c r="U620" i="2"/>
  <c r="T620" i="2"/>
  <c r="X619" i="2"/>
  <c r="U619" i="2"/>
  <c r="T619" i="2"/>
  <c r="X618" i="2"/>
  <c r="U618" i="2"/>
  <c r="T618" i="2"/>
  <c r="X617" i="2"/>
  <c r="U617" i="2"/>
  <c r="T617" i="2"/>
  <c r="X616" i="2"/>
  <c r="U616" i="2"/>
  <c r="T616" i="2"/>
  <c r="X615" i="2"/>
  <c r="U615" i="2"/>
  <c r="T615" i="2"/>
  <c r="X614" i="2"/>
  <c r="U614" i="2"/>
  <c r="T614" i="2"/>
  <c r="X613" i="2"/>
  <c r="U613" i="2"/>
  <c r="T613" i="2"/>
  <c r="X612" i="2"/>
  <c r="U612" i="2"/>
  <c r="T612" i="2"/>
  <c r="X611" i="2"/>
  <c r="U611" i="2"/>
  <c r="T611" i="2"/>
  <c r="X610" i="2"/>
  <c r="U610" i="2"/>
  <c r="T610" i="2"/>
  <c r="X609" i="2"/>
  <c r="U609" i="2"/>
  <c r="T609" i="2"/>
  <c r="X608" i="2"/>
  <c r="U608" i="2"/>
  <c r="T608" i="2"/>
  <c r="X607" i="2"/>
  <c r="U607" i="2"/>
  <c r="T607" i="2"/>
  <c r="X606" i="2"/>
  <c r="U606" i="2"/>
  <c r="T606" i="2"/>
  <c r="X605" i="2"/>
  <c r="U605" i="2"/>
  <c r="T605" i="2"/>
  <c r="X604" i="2"/>
  <c r="U604" i="2"/>
  <c r="T604" i="2"/>
  <c r="X603" i="2"/>
  <c r="U603" i="2"/>
  <c r="T603" i="2"/>
  <c r="X602" i="2"/>
  <c r="U602" i="2"/>
  <c r="T602" i="2"/>
  <c r="X601" i="2"/>
  <c r="U601" i="2"/>
  <c r="T601" i="2"/>
  <c r="X600" i="2"/>
  <c r="U600" i="2"/>
  <c r="T600" i="2"/>
  <c r="X599" i="2"/>
  <c r="U599" i="2"/>
  <c r="T599" i="2"/>
  <c r="X598" i="2"/>
  <c r="U598" i="2"/>
  <c r="T598" i="2"/>
  <c r="X597" i="2"/>
  <c r="U597" i="2"/>
  <c r="T597" i="2"/>
  <c r="X596" i="2"/>
  <c r="U596" i="2"/>
  <c r="T596" i="2"/>
  <c r="X595" i="2"/>
  <c r="U595" i="2"/>
  <c r="T595" i="2"/>
  <c r="X594" i="2"/>
  <c r="U594" i="2"/>
  <c r="T594" i="2"/>
  <c r="X593" i="2"/>
  <c r="U593" i="2"/>
  <c r="T593" i="2"/>
  <c r="X592" i="2"/>
  <c r="U592" i="2"/>
  <c r="T592" i="2"/>
  <c r="X591" i="2"/>
  <c r="U591" i="2"/>
  <c r="T591" i="2"/>
  <c r="X590" i="2"/>
  <c r="U590" i="2"/>
  <c r="T590" i="2"/>
  <c r="X589" i="2"/>
  <c r="U589" i="2"/>
  <c r="T589" i="2"/>
  <c r="X588" i="2"/>
  <c r="U588" i="2"/>
  <c r="T588" i="2"/>
  <c r="X587" i="2"/>
  <c r="U587" i="2"/>
  <c r="T587" i="2"/>
  <c r="X586" i="2"/>
  <c r="U586" i="2"/>
  <c r="T586" i="2"/>
  <c r="X585" i="2"/>
  <c r="U585" i="2"/>
  <c r="T585" i="2"/>
  <c r="X584" i="2"/>
  <c r="U584" i="2"/>
  <c r="T584" i="2"/>
  <c r="X583" i="2"/>
  <c r="U583" i="2"/>
  <c r="T583" i="2"/>
  <c r="X582" i="2"/>
  <c r="U582" i="2"/>
  <c r="T582" i="2"/>
  <c r="X581" i="2"/>
  <c r="U581" i="2"/>
  <c r="T581" i="2"/>
  <c r="X580" i="2"/>
  <c r="U580" i="2"/>
  <c r="T580" i="2"/>
  <c r="X579" i="2"/>
  <c r="U579" i="2"/>
  <c r="T579" i="2"/>
  <c r="X578" i="2"/>
  <c r="U578" i="2"/>
  <c r="T578" i="2"/>
  <c r="X577" i="2"/>
  <c r="U577" i="2"/>
  <c r="T577" i="2"/>
  <c r="X576" i="2"/>
  <c r="U576" i="2"/>
  <c r="T576" i="2"/>
  <c r="X575" i="2"/>
  <c r="U575" i="2"/>
  <c r="T575" i="2"/>
  <c r="X574" i="2"/>
  <c r="U574" i="2"/>
  <c r="T574" i="2"/>
  <c r="X573" i="2"/>
  <c r="U573" i="2"/>
  <c r="T573" i="2"/>
  <c r="X572" i="2"/>
  <c r="U572" i="2"/>
  <c r="T572" i="2"/>
  <c r="X571" i="2"/>
  <c r="U571" i="2"/>
  <c r="T571" i="2"/>
  <c r="X570" i="2"/>
  <c r="U570" i="2"/>
  <c r="T570" i="2"/>
  <c r="X569" i="2"/>
  <c r="U569" i="2"/>
  <c r="T569" i="2"/>
  <c r="X568" i="2"/>
  <c r="U568" i="2"/>
  <c r="T568" i="2"/>
  <c r="X567" i="2"/>
  <c r="U567" i="2"/>
  <c r="T567" i="2"/>
  <c r="X566" i="2"/>
  <c r="U566" i="2"/>
  <c r="T566" i="2"/>
  <c r="X565" i="2"/>
  <c r="U565" i="2"/>
  <c r="T565" i="2"/>
  <c r="X564" i="2"/>
  <c r="U564" i="2"/>
  <c r="T564" i="2"/>
  <c r="X563" i="2"/>
  <c r="U563" i="2"/>
  <c r="T563" i="2"/>
  <c r="X562" i="2"/>
  <c r="U562" i="2"/>
  <c r="T562" i="2"/>
  <c r="X561" i="2"/>
  <c r="U561" i="2"/>
  <c r="T561" i="2"/>
  <c r="X560" i="2"/>
  <c r="U560" i="2"/>
  <c r="T560" i="2"/>
  <c r="X559" i="2"/>
  <c r="U559" i="2"/>
  <c r="T559" i="2"/>
  <c r="X558" i="2"/>
  <c r="U558" i="2"/>
  <c r="T558" i="2"/>
  <c r="X557" i="2"/>
  <c r="U557" i="2"/>
  <c r="T557" i="2"/>
  <c r="X556" i="2"/>
  <c r="U556" i="2"/>
  <c r="T556" i="2"/>
  <c r="X555" i="2"/>
  <c r="U555" i="2"/>
  <c r="T555" i="2"/>
  <c r="X554" i="2"/>
  <c r="U554" i="2"/>
  <c r="T554" i="2"/>
  <c r="X553" i="2"/>
  <c r="U553" i="2"/>
  <c r="T553" i="2"/>
  <c r="X552" i="2"/>
  <c r="U552" i="2"/>
  <c r="T552" i="2"/>
  <c r="X551" i="2"/>
  <c r="U551" i="2"/>
  <c r="T551" i="2"/>
  <c r="X550" i="2"/>
  <c r="U550" i="2"/>
  <c r="T550" i="2"/>
  <c r="X549" i="2"/>
  <c r="U549" i="2"/>
  <c r="T549" i="2"/>
  <c r="X548" i="2"/>
  <c r="U548" i="2"/>
  <c r="T548" i="2"/>
  <c r="X547" i="2"/>
  <c r="U547" i="2"/>
  <c r="T547" i="2"/>
  <c r="X546" i="2"/>
  <c r="U546" i="2"/>
  <c r="T546" i="2"/>
  <c r="X545" i="2"/>
  <c r="U545" i="2"/>
  <c r="T545" i="2"/>
  <c r="X544" i="2"/>
  <c r="U544" i="2"/>
  <c r="T544" i="2"/>
  <c r="X543" i="2"/>
  <c r="U543" i="2"/>
  <c r="T543" i="2"/>
  <c r="X542" i="2"/>
  <c r="U542" i="2"/>
  <c r="T542" i="2"/>
  <c r="X541" i="2"/>
  <c r="U541" i="2"/>
  <c r="T541" i="2"/>
  <c r="X540" i="2"/>
  <c r="U540" i="2"/>
  <c r="T540" i="2"/>
  <c r="X539" i="2"/>
  <c r="U539" i="2"/>
  <c r="T539" i="2"/>
  <c r="X538" i="2"/>
  <c r="U538" i="2"/>
  <c r="T538" i="2"/>
  <c r="X537" i="2"/>
  <c r="U537" i="2"/>
  <c r="T537" i="2"/>
  <c r="X536" i="2"/>
  <c r="U536" i="2"/>
  <c r="T536" i="2"/>
  <c r="X535" i="2"/>
  <c r="U535" i="2"/>
  <c r="T535" i="2"/>
  <c r="X534" i="2"/>
  <c r="U534" i="2"/>
  <c r="T534" i="2"/>
  <c r="X533" i="2"/>
  <c r="U533" i="2"/>
  <c r="T533" i="2"/>
  <c r="X532" i="2"/>
  <c r="U532" i="2"/>
  <c r="T532" i="2"/>
  <c r="X531" i="2"/>
  <c r="U531" i="2"/>
  <c r="T531" i="2"/>
  <c r="X530" i="2"/>
  <c r="U530" i="2"/>
  <c r="T530" i="2"/>
  <c r="X529" i="2"/>
  <c r="U529" i="2"/>
  <c r="T529" i="2"/>
  <c r="X528" i="2"/>
  <c r="U528" i="2"/>
  <c r="T528" i="2"/>
  <c r="X527" i="2"/>
  <c r="U527" i="2"/>
  <c r="T527" i="2"/>
  <c r="X526" i="2"/>
  <c r="U526" i="2"/>
  <c r="T526" i="2"/>
  <c r="X525" i="2"/>
  <c r="U525" i="2"/>
  <c r="T525" i="2"/>
  <c r="X524" i="2"/>
  <c r="U524" i="2"/>
  <c r="T524" i="2"/>
  <c r="X523" i="2"/>
  <c r="U523" i="2"/>
  <c r="T523" i="2"/>
  <c r="X522" i="2"/>
  <c r="U522" i="2"/>
  <c r="T522" i="2"/>
  <c r="X521" i="2"/>
  <c r="U521" i="2"/>
  <c r="T521" i="2"/>
  <c r="X520" i="2"/>
  <c r="U520" i="2"/>
  <c r="T520" i="2"/>
  <c r="X519" i="2"/>
  <c r="U519" i="2"/>
  <c r="T519" i="2"/>
  <c r="X518" i="2"/>
  <c r="U518" i="2"/>
  <c r="T518" i="2"/>
  <c r="X517" i="2"/>
  <c r="U517" i="2"/>
  <c r="T517" i="2"/>
  <c r="X516" i="2"/>
  <c r="U516" i="2"/>
  <c r="T516" i="2"/>
  <c r="X515" i="2"/>
  <c r="U515" i="2"/>
  <c r="T515" i="2"/>
  <c r="X514" i="2"/>
  <c r="U514" i="2"/>
  <c r="T514" i="2"/>
  <c r="X513" i="2"/>
  <c r="U513" i="2"/>
  <c r="T513" i="2"/>
  <c r="X512" i="2"/>
  <c r="U512" i="2"/>
  <c r="T512" i="2"/>
  <c r="X511" i="2"/>
  <c r="U511" i="2"/>
  <c r="T511" i="2"/>
  <c r="X510" i="2"/>
  <c r="U510" i="2"/>
  <c r="T510" i="2"/>
  <c r="X509" i="2"/>
  <c r="U509" i="2"/>
  <c r="T509" i="2"/>
  <c r="X508" i="2"/>
  <c r="U508" i="2"/>
  <c r="T508" i="2"/>
  <c r="X507" i="2"/>
  <c r="U507" i="2"/>
  <c r="T507" i="2"/>
  <c r="X506" i="2"/>
  <c r="U506" i="2"/>
  <c r="T506" i="2"/>
  <c r="X505" i="2"/>
  <c r="U505" i="2"/>
  <c r="T505" i="2"/>
  <c r="X504" i="2"/>
  <c r="U504" i="2"/>
  <c r="T504" i="2"/>
  <c r="X503" i="2"/>
  <c r="U503" i="2"/>
  <c r="T503" i="2"/>
  <c r="X502" i="2"/>
  <c r="U502" i="2"/>
  <c r="T502" i="2"/>
  <c r="X501" i="2"/>
  <c r="U501" i="2"/>
  <c r="T501" i="2"/>
  <c r="X500" i="2"/>
  <c r="U500" i="2"/>
  <c r="T500" i="2"/>
  <c r="X499" i="2"/>
  <c r="U499" i="2"/>
  <c r="T499" i="2"/>
  <c r="X498" i="2"/>
  <c r="U498" i="2"/>
  <c r="T498" i="2"/>
  <c r="X497" i="2"/>
  <c r="U497" i="2"/>
  <c r="T497" i="2"/>
  <c r="X496" i="2"/>
  <c r="U496" i="2"/>
  <c r="T496" i="2"/>
  <c r="X495" i="2"/>
  <c r="U495" i="2"/>
  <c r="T495" i="2"/>
  <c r="X494" i="2"/>
  <c r="U494" i="2"/>
  <c r="T494" i="2"/>
  <c r="X493" i="2"/>
  <c r="U493" i="2"/>
  <c r="T493" i="2"/>
  <c r="X492" i="2"/>
  <c r="U492" i="2"/>
  <c r="T492" i="2"/>
  <c r="X491" i="2"/>
  <c r="U491" i="2"/>
  <c r="T491" i="2"/>
  <c r="X490" i="2"/>
  <c r="U490" i="2"/>
  <c r="T490" i="2"/>
  <c r="X489" i="2"/>
  <c r="U489" i="2"/>
  <c r="T489" i="2"/>
  <c r="X488" i="2"/>
  <c r="U488" i="2"/>
  <c r="T488" i="2"/>
  <c r="X487" i="2"/>
  <c r="U487" i="2"/>
  <c r="T487" i="2"/>
  <c r="X486" i="2"/>
  <c r="U486" i="2"/>
  <c r="T486" i="2"/>
  <c r="X485" i="2"/>
  <c r="U485" i="2"/>
  <c r="T485" i="2"/>
  <c r="X484" i="2"/>
  <c r="U484" i="2"/>
  <c r="T484" i="2"/>
  <c r="X483" i="2"/>
  <c r="U483" i="2"/>
  <c r="T483" i="2"/>
  <c r="X482" i="2"/>
  <c r="U482" i="2"/>
  <c r="T482" i="2"/>
  <c r="X481" i="2"/>
  <c r="U481" i="2"/>
  <c r="T481" i="2"/>
  <c r="X480" i="2"/>
  <c r="U480" i="2"/>
  <c r="T480" i="2"/>
  <c r="X479" i="2"/>
  <c r="U479" i="2"/>
  <c r="T479" i="2"/>
  <c r="X478" i="2"/>
  <c r="U478" i="2"/>
  <c r="T478" i="2"/>
  <c r="X477" i="2"/>
  <c r="U477" i="2"/>
  <c r="T477" i="2"/>
  <c r="X476" i="2"/>
  <c r="U476" i="2"/>
  <c r="T476" i="2"/>
  <c r="X475" i="2"/>
  <c r="U475" i="2"/>
  <c r="T475" i="2"/>
  <c r="X474" i="2"/>
  <c r="U474" i="2"/>
  <c r="T474" i="2"/>
  <c r="X473" i="2"/>
  <c r="U473" i="2"/>
  <c r="T473" i="2"/>
  <c r="X472" i="2"/>
  <c r="U472" i="2"/>
  <c r="T472" i="2"/>
  <c r="X471" i="2"/>
  <c r="U471" i="2"/>
  <c r="T471" i="2"/>
  <c r="X470" i="2"/>
  <c r="U470" i="2"/>
  <c r="T470" i="2"/>
  <c r="X469" i="2"/>
  <c r="U469" i="2"/>
  <c r="T469" i="2"/>
  <c r="X468" i="2"/>
  <c r="U468" i="2"/>
  <c r="T468" i="2"/>
  <c r="X467" i="2"/>
  <c r="U467" i="2"/>
  <c r="T467" i="2"/>
  <c r="X466" i="2"/>
  <c r="U466" i="2"/>
  <c r="T466" i="2"/>
  <c r="X465" i="2"/>
  <c r="U465" i="2"/>
  <c r="T465" i="2"/>
  <c r="X464" i="2"/>
  <c r="U464" i="2"/>
  <c r="T464" i="2"/>
  <c r="X463" i="2"/>
  <c r="U463" i="2"/>
  <c r="T463" i="2"/>
  <c r="X462" i="2"/>
  <c r="U462" i="2"/>
  <c r="T462" i="2"/>
  <c r="X461" i="2"/>
  <c r="U461" i="2"/>
  <c r="T461" i="2"/>
  <c r="X460" i="2"/>
  <c r="U460" i="2"/>
  <c r="T460" i="2"/>
  <c r="X459" i="2"/>
  <c r="U459" i="2"/>
  <c r="T459" i="2"/>
  <c r="X458" i="2"/>
  <c r="U458" i="2"/>
  <c r="T458" i="2"/>
  <c r="X457" i="2"/>
  <c r="U457" i="2"/>
  <c r="T457" i="2"/>
  <c r="X456" i="2"/>
  <c r="U456" i="2"/>
  <c r="T456" i="2"/>
  <c r="X455" i="2"/>
  <c r="U455" i="2"/>
  <c r="T455" i="2"/>
  <c r="X454" i="2"/>
  <c r="U454" i="2"/>
  <c r="T454" i="2"/>
  <c r="X453" i="2"/>
  <c r="U453" i="2"/>
  <c r="T453" i="2"/>
  <c r="X452" i="2"/>
  <c r="U452" i="2"/>
  <c r="T452" i="2"/>
  <c r="X451" i="2"/>
  <c r="U451" i="2"/>
  <c r="T451" i="2"/>
  <c r="X450" i="2"/>
  <c r="U450" i="2"/>
  <c r="T450" i="2"/>
  <c r="X449" i="2"/>
  <c r="U449" i="2"/>
  <c r="T449" i="2"/>
  <c r="X448" i="2"/>
  <c r="U448" i="2"/>
  <c r="T448" i="2"/>
  <c r="X447" i="2"/>
  <c r="U447" i="2"/>
  <c r="T447" i="2"/>
  <c r="X446" i="2"/>
  <c r="U446" i="2"/>
  <c r="T446" i="2"/>
  <c r="X445" i="2"/>
  <c r="U445" i="2"/>
  <c r="T445" i="2"/>
  <c r="X444" i="2"/>
  <c r="U444" i="2"/>
  <c r="T444" i="2"/>
  <c r="X443" i="2"/>
  <c r="U443" i="2"/>
  <c r="T443" i="2"/>
  <c r="X442" i="2"/>
  <c r="U442" i="2"/>
  <c r="T442" i="2"/>
  <c r="X441" i="2"/>
  <c r="U441" i="2"/>
  <c r="T441" i="2"/>
  <c r="X440" i="2"/>
  <c r="U440" i="2"/>
  <c r="T440" i="2"/>
  <c r="X439" i="2"/>
  <c r="U439" i="2"/>
  <c r="T439" i="2"/>
  <c r="X438" i="2"/>
  <c r="U438" i="2"/>
  <c r="T438" i="2"/>
  <c r="X437" i="2"/>
  <c r="U437" i="2"/>
  <c r="T437" i="2"/>
  <c r="X436" i="2"/>
  <c r="U436" i="2"/>
  <c r="T436" i="2"/>
  <c r="X435" i="2"/>
  <c r="U435" i="2"/>
  <c r="T435" i="2"/>
  <c r="X434" i="2"/>
  <c r="U434" i="2"/>
  <c r="T434" i="2"/>
  <c r="X433" i="2"/>
  <c r="U433" i="2"/>
  <c r="T433" i="2"/>
  <c r="X432" i="2"/>
  <c r="U432" i="2"/>
  <c r="T432" i="2"/>
  <c r="X431" i="2"/>
  <c r="U431" i="2"/>
  <c r="T431" i="2"/>
  <c r="X430" i="2"/>
  <c r="U430" i="2"/>
  <c r="T430" i="2"/>
  <c r="X429" i="2"/>
  <c r="U429" i="2"/>
  <c r="T429" i="2"/>
  <c r="X428" i="2"/>
  <c r="U428" i="2"/>
  <c r="T428" i="2"/>
  <c r="X427" i="2"/>
  <c r="U427" i="2"/>
  <c r="T427" i="2"/>
  <c r="X426" i="2"/>
  <c r="U426" i="2"/>
  <c r="T426" i="2"/>
  <c r="X425" i="2"/>
  <c r="U425" i="2"/>
  <c r="T425" i="2"/>
  <c r="X424" i="2"/>
  <c r="U424" i="2"/>
  <c r="T424" i="2"/>
  <c r="X423" i="2"/>
  <c r="U423" i="2"/>
  <c r="T423" i="2"/>
  <c r="X422" i="2"/>
  <c r="U422" i="2"/>
  <c r="T422" i="2"/>
  <c r="X421" i="2"/>
  <c r="U421" i="2"/>
  <c r="T421" i="2"/>
  <c r="X420" i="2"/>
  <c r="U420" i="2"/>
  <c r="T420" i="2"/>
  <c r="X419" i="2"/>
  <c r="U419" i="2"/>
  <c r="T419" i="2"/>
  <c r="X418" i="2"/>
  <c r="U418" i="2"/>
  <c r="T418" i="2"/>
  <c r="X417" i="2"/>
  <c r="U417" i="2"/>
  <c r="T417" i="2"/>
  <c r="X416" i="2"/>
  <c r="U416" i="2"/>
  <c r="T416" i="2"/>
  <c r="X415" i="2"/>
  <c r="U415" i="2"/>
  <c r="T415" i="2"/>
  <c r="X414" i="2"/>
  <c r="U414" i="2"/>
  <c r="T414" i="2"/>
  <c r="X413" i="2"/>
  <c r="U413" i="2"/>
  <c r="T413" i="2"/>
  <c r="X412" i="2"/>
  <c r="U412" i="2"/>
  <c r="T412" i="2"/>
  <c r="X411" i="2"/>
  <c r="U411" i="2"/>
  <c r="T411" i="2"/>
  <c r="X410" i="2"/>
  <c r="U410" i="2"/>
  <c r="T410" i="2"/>
  <c r="X409" i="2"/>
  <c r="U409" i="2"/>
  <c r="T409" i="2"/>
  <c r="X408" i="2"/>
  <c r="U408" i="2"/>
  <c r="T408" i="2"/>
  <c r="X407" i="2"/>
  <c r="U407" i="2"/>
  <c r="T407" i="2"/>
  <c r="X406" i="2"/>
  <c r="U406" i="2"/>
  <c r="T406" i="2"/>
  <c r="X405" i="2"/>
  <c r="U405" i="2"/>
  <c r="T405" i="2"/>
  <c r="X404" i="2"/>
  <c r="U404" i="2"/>
  <c r="T404" i="2"/>
  <c r="X403" i="2"/>
  <c r="U403" i="2"/>
  <c r="T403" i="2"/>
  <c r="X402" i="2"/>
  <c r="U402" i="2"/>
  <c r="T402" i="2"/>
  <c r="X401" i="2"/>
  <c r="U401" i="2"/>
  <c r="T401" i="2"/>
  <c r="X400" i="2"/>
  <c r="U400" i="2"/>
  <c r="T400" i="2"/>
  <c r="X399" i="2"/>
  <c r="U399" i="2"/>
  <c r="T399" i="2"/>
  <c r="X398" i="2"/>
  <c r="U398" i="2"/>
  <c r="T398" i="2"/>
  <c r="X397" i="2"/>
  <c r="U397" i="2"/>
  <c r="T397" i="2"/>
  <c r="X396" i="2"/>
  <c r="U396" i="2"/>
  <c r="T396" i="2"/>
  <c r="X395" i="2"/>
  <c r="U395" i="2"/>
  <c r="T395" i="2"/>
  <c r="X394" i="2"/>
  <c r="U394" i="2"/>
  <c r="T394" i="2"/>
  <c r="X393" i="2"/>
  <c r="U393" i="2"/>
  <c r="T393" i="2"/>
  <c r="X392" i="2"/>
  <c r="U392" i="2"/>
  <c r="T392" i="2"/>
  <c r="X391" i="2"/>
  <c r="U391" i="2"/>
  <c r="T391" i="2"/>
  <c r="X390" i="2"/>
  <c r="U390" i="2"/>
  <c r="T390" i="2"/>
  <c r="X389" i="2"/>
  <c r="U389" i="2"/>
  <c r="T389" i="2"/>
  <c r="X388" i="2"/>
  <c r="U388" i="2"/>
  <c r="T388" i="2"/>
  <c r="X387" i="2"/>
  <c r="U387" i="2"/>
  <c r="T387" i="2"/>
  <c r="X386" i="2"/>
  <c r="U386" i="2"/>
  <c r="T386" i="2"/>
  <c r="X385" i="2"/>
  <c r="U385" i="2"/>
  <c r="T385" i="2"/>
  <c r="X384" i="2"/>
  <c r="U384" i="2"/>
  <c r="T384" i="2"/>
  <c r="X383" i="2"/>
  <c r="U383" i="2"/>
  <c r="T383" i="2"/>
  <c r="X382" i="2"/>
  <c r="U382" i="2"/>
  <c r="T382" i="2"/>
  <c r="X381" i="2"/>
  <c r="U381" i="2"/>
  <c r="T381" i="2"/>
  <c r="X380" i="2"/>
  <c r="U380" i="2"/>
  <c r="T380" i="2"/>
  <c r="X379" i="2"/>
  <c r="U379" i="2"/>
  <c r="T379" i="2"/>
  <c r="X378" i="2"/>
  <c r="U378" i="2"/>
  <c r="T378" i="2"/>
  <c r="X377" i="2"/>
  <c r="U377" i="2"/>
  <c r="T377" i="2"/>
  <c r="X376" i="2"/>
  <c r="U376" i="2"/>
  <c r="T376" i="2"/>
  <c r="X375" i="2"/>
  <c r="U375" i="2"/>
  <c r="T375" i="2"/>
  <c r="X374" i="2"/>
  <c r="U374" i="2"/>
  <c r="T374" i="2"/>
  <c r="X373" i="2"/>
  <c r="U373" i="2"/>
  <c r="T373" i="2"/>
  <c r="X372" i="2"/>
  <c r="U372" i="2"/>
  <c r="T372" i="2"/>
  <c r="X371" i="2"/>
  <c r="U371" i="2"/>
  <c r="T371" i="2"/>
  <c r="X370" i="2"/>
  <c r="U370" i="2"/>
  <c r="T370" i="2"/>
  <c r="X369" i="2"/>
  <c r="U369" i="2"/>
  <c r="T369" i="2"/>
  <c r="X368" i="2"/>
  <c r="U368" i="2"/>
  <c r="T368" i="2"/>
  <c r="X367" i="2"/>
  <c r="U367" i="2"/>
  <c r="T367" i="2"/>
  <c r="X366" i="2"/>
  <c r="U366" i="2"/>
  <c r="T366" i="2"/>
  <c r="X365" i="2"/>
  <c r="U365" i="2"/>
  <c r="T365" i="2"/>
  <c r="X364" i="2"/>
  <c r="U364" i="2"/>
  <c r="T364" i="2"/>
  <c r="X363" i="2"/>
  <c r="U363" i="2"/>
  <c r="T363" i="2"/>
  <c r="X362" i="2"/>
  <c r="U362" i="2"/>
  <c r="T362" i="2"/>
  <c r="X361" i="2"/>
  <c r="U361" i="2"/>
  <c r="T361" i="2"/>
  <c r="X360" i="2"/>
  <c r="U360" i="2"/>
  <c r="T360" i="2"/>
  <c r="X359" i="2"/>
  <c r="U359" i="2"/>
  <c r="T359" i="2"/>
  <c r="X358" i="2"/>
  <c r="U358" i="2"/>
  <c r="T358" i="2"/>
  <c r="X357" i="2"/>
  <c r="U357" i="2"/>
  <c r="T357" i="2"/>
  <c r="X356" i="2"/>
  <c r="U356" i="2"/>
  <c r="T356" i="2"/>
  <c r="X355" i="2"/>
  <c r="U355" i="2"/>
  <c r="T355" i="2"/>
  <c r="X354" i="2"/>
  <c r="U354" i="2"/>
  <c r="T354" i="2"/>
  <c r="X353" i="2"/>
  <c r="U353" i="2"/>
  <c r="T353" i="2"/>
  <c r="X352" i="2"/>
  <c r="U352" i="2"/>
  <c r="T352" i="2"/>
  <c r="X351" i="2"/>
  <c r="U351" i="2"/>
  <c r="T351" i="2"/>
  <c r="X350" i="2"/>
  <c r="U350" i="2"/>
  <c r="T350" i="2"/>
  <c r="X349" i="2"/>
  <c r="U349" i="2"/>
  <c r="T349" i="2"/>
  <c r="X348" i="2"/>
  <c r="U348" i="2"/>
  <c r="T348" i="2"/>
  <c r="X347" i="2"/>
  <c r="U347" i="2"/>
  <c r="T347" i="2"/>
  <c r="X346" i="2"/>
  <c r="U346" i="2"/>
  <c r="T346" i="2"/>
  <c r="X345" i="2"/>
  <c r="U345" i="2"/>
  <c r="T345" i="2"/>
  <c r="X344" i="2"/>
  <c r="U344" i="2"/>
  <c r="T344" i="2"/>
  <c r="X343" i="2"/>
  <c r="U343" i="2"/>
  <c r="T343" i="2"/>
  <c r="X342" i="2"/>
  <c r="U342" i="2"/>
  <c r="T342" i="2"/>
  <c r="X341" i="2"/>
  <c r="U341" i="2"/>
  <c r="T341" i="2"/>
  <c r="X340" i="2"/>
  <c r="U340" i="2"/>
  <c r="T340" i="2"/>
  <c r="X339" i="2"/>
  <c r="U339" i="2"/>
  <c r="T339" i="2"/>
  <c r="X338" i="2"/>
  <c r="U338" i="2"/>
  <c r="T338" i="2"/>
  <c r="X337" i="2"/>
  <c r="U337" i="2"/>
  <c r="T337" i="2"/>
  <c r="X336" i="2"/>
  <c r="U336" i="2"/>
  <c r="T336" i="2"/>
  <c r="X335" i="2"/>
  <c r="U335" i="2"/>
  <c r="T335" i="2"/>
  <c r="X334" i="2"/>
  <c r="U334" i="2"/>
  <c r="T334" i="2"/>
  <c r="X333" i="2"/>
  <c r="U333" i="2"/>
  <c r="T333" i="2"/>
  <c r="X332" i="2"/>
  <c r="U332" i="2"/>
  <c r="T332" i="2"/>
  <c r="X331" i="2"/>
  <c r="U331" i="2"/>
  <c r="T331" i="2"/>
  <c r="X330" i="2"/>
  <c r="U330" i="2"/>
  <c r="T330" i="2"/>
  <c r="X329" i="2"/>
  <c r="U329" i="2"/>
  <c r="T329" i="2"/>
  <c r="X328" i="2"/>
  <c r="U328" i="2"/>
  <c r="T328" i="2"/>
  <c r="X327" i="2"/>
  <c r="U327" i="2"/>
  <c r="T327" i="2"/>
  <c r="X326" i="2"/>
  <c r="U326" i="2"/>
  <c r="T326" i="2"/>
  <c r="X325" i="2"/>
  <c r="U325" i="2"/>
  <c r="T325" i="2"/>
  <c r="X324" i="2"/>
  <c r="U324" i="2"/>
  <c r="T324" i="2"/>
  <c r="X323" i="2"/>
  <c r="U323" i="2"/>
  <c r="T323" i="2"/>
  <c r="X322" i="2"/>
  <c r="U322" i="2"/>
  <c r="T322" i="2"/>
  <c r="X321" i="2"/>
  <c r="U321" i="2"/>
  <c r="T321" i="2"/>
  <c r="X320" i="2"/>
  <c r="U320" i="2"/>
  <c r="T320" i="2"/>
  <c r="X319" i="2"/>
  <c r="U319" i="2"/>
  <c r="T319" i="2"/>
  <c r="X318" i="2"/>
  <c r="U318" i="2"/>
  <c r="T318" i="2"/>
  <c r="X317" i="2"/>
  <c r="U317" i="2"/>
  <c r="T317" i="2"/>
  <c r="X316" i="2"/>
  <c r="U316" i="2"/>
  <c r="T316" i="2"/>
  <c r="X315" i="2"/>
  <c r="U315" i="2"/>
  <c r="T315" i="2"/>
  <c r="X314" i="2"/>
  <c r="U314" i="2"/>
  <c r="T314" i="2"/>
  <c r="X313" i="2"/>
  <c r="U313" i="2"/>
  <c r="T313" i="2"/>
  <c r="X312" i="2"/>
  <c r="U312" i="2"/>
  <c r="T312" i="2"/>
  <c r="X311" i="2"/>
  <c r="U311" i="2"/>
  <c r="T311" i="2"/>
  <c r="X310" i="2"/>
  <c r="U310" i="2"/>
  <c r="T310" i="2"/>
  <c r="X309" i="2"/>
  <c r="U309" i="2"/>
  <c r="T309" i="2"/>
  <c r="X308" i="2"/>
  <c r="U308" i="2"/>
  <c r="T308" i="2"/>
  <c r="X307" i="2"/>
  <c r="U307" i="2"/>
  <c r="T307" i="2"/>
  <c r="X306" i="2"/>
  <c r="U306" i="2"/>
  <c r="T306" i="2"/>
  <c r="X305" i="2"/>
  <c r="U305" i="2"/>
  <c r="T305" i="2"/>
  <c r="X304" i="2"/>
  <c r="U304" i="2"/>
  <c r="T304" i="2"/>
  <c r="X303" i="2"/>
  <c r="U303" i="2"/>
  <c r="T303" i="2"/>
  <c r="X302" i="2"/>
  <c r="U302" i="2"/>
  <c r="T302" i="2"/>
  <c r="X301" i="2"/>
  <c r="U301" i="2"/>
  <c r="T301" i="2"/>
  <c r="X300" i="2"/>
  <c r="U300" i="2"/>
  <c r="T300" i="2"/>
  <c r="X299" i="2"/>
  <c r="U299" i="2"/>
  <c r="T299" i="2"/>
  <c r="X298" i="2"/>
  <c r="U298" i="2"/>
  <c r="T298" i="2"/>
  <c r="X297" i="2"/>
  <c r="U297" i="2"/>
  <c r="T297" i="2"/>
  <c r="X296" i="2"/>
  <c r="U296" i="2"/>
  <c r="T296" i="2"/>
  <c r="X295" i="2"/>
  <c r="U295" i="2"/>
  <c r="T295" i="2"/>
  <c r="X294" i="2"/>
  <c r="U294" i="2"/>
  <c r="T294" i="2"/>
  <c r="X293" i="2"/>
  <c r="U293" i="2"/>
  <c r="T293" i="2"/>
  <c r="X292" i="2"/>
  <c r="U292" i="2"/>
  <c r="T292" i="2"/>
  <c r="X291" i="2"/>
  <c r="U291" i="2"/>
  <c r="T291" i="2"/>
  <c r="X290" i="2"/>
  <c r="U290" i="2"/>
  <c r="T290" i="2"/>
  <c r="X289" i="2"/>
  <c r="U289" i="2"/>
  <c r="T289" i="2"/>
  <c r="X288" i="2"/>
  <c r="U288" i="2"/>
  <c r="T288" i="2"/>
  <c r="X287" i="2"/>
  <c r="U287" i="2"/>
  <c r="T287" i="2"/>
  <c r="X286" i="2"/>
  <c r="U286" i="2"/>
  <c r="T286" i="2"/>
  <c r="X285" i="2"/>
  <c r="U285" i="2"/>
  <c r="T285" i="2"/>
  <c r="X284" i="2"/>
  <c r="U284" i="2"/>
  <c r="T284" i="2"/>
  <c r="X283" i="2"/>
  <c r="U283" i="2"/>
  <c r="T283" i="2"/>
  <c r="X282" i="2"/>
  <c r="U282" i="2"/>
  <c r="T282" i="2"/>
  <c r="X281" i="2"/>
  <c r="U281" i="2"/>
  <c r="T281" i="2"/>
  <c r="X280" i="2"/>
  <c r="U280" i="2"/>
  <c r="T280" i="2"/>
  <c r="X279" i="2"/>
  <c r="U279" i="2"/>
  <c r="T279" i="2"/>
  <c r="X278" i="2"/>
  <c r="U278" i="2"/>
  <c r="T278" i="2"/>
  <c r="X277" i="2"/>
  <c r="U277" i="2"/>
  <c r="T277" i="2"/>
  <c r="X276" i="2"/>
  <c r="U276" i="2"/>
  <c r="T276" i="2"/>
  <c r="X275" i="2"/>
  <c r="U275" i="2"/>
  <c r="T275" i="2"/>
  <c r="X274" i="2"/>
  <c r="U274" i="2"/>
  <c r="T274" i="2"/>
  <c r="X273" i="2"/>
  <c r="U273" i="2"/>
  <c r="T273" i="2"/>
  <c r="X272" i="2"/>
  <c r="U272" i="2"/>
  <c r="T272" i="2"/>
  <c r="X271" i="2"/>
  <c r="U271" i="2"/>
  <c r="T271" i="2"/>
  <c r="X270" i="2"/>
  <c r="U270" i="2"/>
  <c r="T270" i="2"/>
  <c r="X269" i="2"/>
  <c r="U269" i="2"/>
  <c r="T269" i="2"/>
  <c r="X268" i="2"/>
  <c r="U268" i="2"/>
  <c r="T268" i="2"/>
  <c r="X267" i="2"/>
  <c r="U267" i="2"/>
  <c r="T267" i="2"/>
  <c r="X266" i="2"/>
  <c r="U266" i="2"/>
  <c r="T266" i="2"/>
  <c r="X265" i="2"/>
  <c r="U265" i="2"/>
  <c r="T265" i="2"/>
  <c r="X264" i="2"/>
  <c r="U264" i="2"/>
  <c r="T264" i="2"/>
  <c r="X263" i="2"/>
  <c r="U263" i="2"/>
  <c r="T263" i="2"/>
  <c r="X262" i="2"/>
  <c r="U262" i="2"/>
  <c r="T262" i="2"/>
  <c r="X261" i="2"/>
  <c r="U261" i="2"/>
  <c r="T261" i="2"/>
  <c r="X260" i="2"/>
  <c r="U260" i="2"/>
  <c r="T260" i="2"/>
  <c r="X259" i="2"/>
  <c r="U259" i="2"/>
  <c r="T259" i="2"/>
  <c r="X258" i="2"/>
  <c r="U258" i="2"/>
  <c r="T258" i="2"/>
  <c r="X257" i="2"/>
  <c r="U257" i="2"/>
  <c r="T257" i="2"/>
  <c r="X256" i="2"/>
  <c r="U256" i="2"/>
  <c r="T256" i="2"/>
  <c r="X255" i="2"/>
  <c r="U255" i="2"/>
  <c r="T255" i="2"/>
  <c r="X254" i="2"/>
  <c r="U254" i="2"/>
  <c r="T254" i="2"/>
  <c r="X253" i="2"/>
  <c r="U253" i="2"/>
  <c r="T253" i="2"/>
  <c r="X252" i="2"/>
  <c r="U252" i="2"/>
  <c r="T252" i="2"/>
  <c r="X251" i="2"/>
  <c r="U251" i="2"/>
  <c r="T251" i="2"/>
  <c r="X250" i="2"/>
  <c r="U250" i="2"/>
  <c r="T250" i="2"/>
  <c r="X249" i="2"/>
  <c r="U249" i="2"/>
  <c r="T249" i="2"/>
  <c r="X248" i="2"/>
  <c r="U248" i="2"/>
  <c r="T248" i="2"/>
  <c r="X247" i="2"/>
  <c r="U247" i="2"/>
  <c r="T247" i="2"/>
  <c r="X246" i="2"/>
  <c r="U246" i="2"/>
  <c r="T246" i="2"/>
  <c r="X245" i="2"/>
  <c r="U245" i="2"/>
  <c r="T245" i="2"/>
  <c r="X244" i="2"/>
  <c r="U244" i="2"/>
  <c r="T244" i="2"/>
  <c r="X243" i="2"/>
  <c r="U243" i="2"/>
  <c r="T243" i="2"/>
  <c r="X242" i="2"/>
  <c r="U242" i="2"/>
  <c r="T242" i="2"/>
  <c r="X241" i="2"/>
  <c r="U241" i="2"/>
  <c r="T241" i="2"/>
  <c r="X240" i="2"/>
  <c r="U240" i="2"/>
  <c r="T240" i="2"/>
  <c r="X239" i="2"/>
  <c r="U239" i="2"/>
  <c r="T239" i="2"/>
  <c r="X238" i="2"/>
  <c r="U238" i="2"/>
  <c r="T238" i="2"/>
  <c r="X237" i="2"/>
  <c r="U237" i="2"/>
  <c r="T237" i="2"/>
  <c r="X236" i="2"/>
  <c r="U236" i="2"/>
  <c r="T236" i="2"/>
  <c r="X235" i="2"/>
  <c r="U235" i="2"/>
  <c r="T235" i="2"/>
  <c r="X234" i="2"/>
  <c r="U234" i="2"/>
  <c r="T234" i="2"/>
  <c r="X233" i="2"/>
  <c r="U233" i="2"/>
  <c r="T233" i="2"/>
  <c r="X232" i="2"/>
  <c r="U232" i="2"/>
  <c r="T232" i="2"/>
  <c r="X231" i="2"/>
  <c r="U231" i="2"/>
  <c r="T231" i="2"/>
  <c r="X230" i="2"/>
  <c r="U230" i="2"/>
  <c r="T230" i="2"/>
  <c r="X229" i="2"/>
  <c r="U229" i="2"/>
  <c r="T229" i="2"/>
  <c r="X228" i="2"/>
  <c r="U228" i="2"/>
  <c r="T228" i="2"/>
  <c r="X227" i="2"/>
  <c r="U227" i="2"/>
  <c r="T227" i="2"/>
  <c r="X226" i="2"/>
  <c r="U226" i="2"/>
  <c r="T226" i="2"/>
  <c r="X225" i="2"/>
  <c r="U225" i="2"/>
  <c r="T225" i="2"/>
  <c r="X224" i="2"/>
  <c r="U224" i="2"/>
  <c r="T224" i="2"/>
  <c r="X223" i="2"/>
  <c r="U223" i="2"/>
  <c r="T223" i="2"/>
  <c r="X222" i="2"/>
  <c r="U222" i="2"/>
  <c r="T222" i="2"/>
  <c r="X221" i="2"/>
  <c r="U221" i="2"/>
  <c r="T221" i="2"/>
  <c r="X220" i="2"/>
  <c r="U220" i="2"/>
  <c r="T220" i="2"/>
  <c r="X219" i="2"/>
  <c r="U219" i="2"/>
  <c r="T219" i="2"/>
  <c r="X218" i="2"/>
  <c r="U218" i="2"/>
  <c r="T218" i="2"/>
  <c r="X217" i="2"/>
  <c r="U217" i="2"/>
  <c r="T217" i="2"/>
  <c r="X216" i="2"/>
  <c r="U216" i="2"/>
  <c r="T216" i="2"/>
  <c r="X215" i="2"/>
  <c r="U215" i="2"/>
  <c r="T215" i="2"/>
  <c r="X214" i="2"/>
  <c r="U214" i="2"/>
  <c r="T214" i="2"/>
  <c r="X213" i="2"/>
  <c r="U213" i="2"/>
  <c r="T213" i="2"/>
  <c r="X212" i="2"/>
  <c r="U212" i="2"/>
  <c r="T212" i="2"/>
  <c r="X211" i="2"/>
  <c r="U211" i="2"/>
  <c r="T211" i="2"/>
  <c r="X210" i="2"/>
  <c r="U210" i="2"/>
  <c r="T210" i="2"/>
  <c r="X209" i="2"/>
  <c r="U209" i="2"/>
  <c r="T209" i="2"/>
  <c r="X208" i="2"/>
  <c r="U208" i="2"/>
  <c r="T208" i="2"/>
  <c r="X207" i="2"/>
  <c r="U207" i="2"/>
  <c r="T207" i="2"/>
  <c r="X206" i="2"/>
  <c r="U206" i="2"/>
  <c r="T206" i="2"/>
  <c r="X205" i="2"/>
  <c r="U205" i="2"/>
  <c r="T205" i="2"/>
  <c r="X204" i="2"/>
  <c r="U204" i="2"/>
  <c r="T204" i="2"/>
  <c r="X203" i="2"/>
  <c r="U203" i="2"/>
  <c r="T203" i="2"/>
  <c r="X202" i="2"/>
  <c r="U202" i="2"/>
  <c r="T202" i="2"/>
  <c r="X201" i="2"/>
  <c r="U201" i="2"/>
  <c r="T201" i="2"/>
  <c r="X200" i="2"/>
  <c r="U200" i="2"/>
  <c r="T200" i="2"/>
  <c r="X199" i="2"/>
  <c r="U199" i="2"/>
  <c r="T199" i="2"/>
  <c r="X198" i="2"/>
  <c r="U198" i="2"/>
  <c r="T198" i="2"/>
  <c r="X197" i="2"/>
  <c r="U197" i="2"/>
  <c r="T197" i="2"/>
  <c r="X196" i="2"/>
  <c r="U196" i="2"/>
  <c r="T196" i="2"/>
  <c r="X195" i="2"/>
  <c r="U195" i="2"/>
  <c r="T195" i="2"/>
  <c r="X194" i="2"/>
  <c r="U194" i="2"/>
  <c r="T194" i="2"/>
  <c r="X193" i="2"/>
  <c r="U193" i="2"/>
  <c r="T193" i="2"/>
  <c r="X192" i="2"/>
  <c r="U192" i="2"/>
  <c r="T192" i="2"/>
  <c r="X191" i="2"/>
  <c r="U191" i="2"/>
  <c r="T191" i="2"/>
  <c r="X190" i="2"/>
  <c r="U190" i="2"/>
  <c r="T190" i="2"/>
  <c r="X189" i="2"/>
  <c r="U189" i="2"/>
  <c r="T189" i="2"/>
  <c r="X188" i="2"/>
  <c r="U188" i="2"/>
  <c r="T188" i="2"/>
  <c r="X187" i="2"/>
  <c r="U187" i="2"/>
  <c r="T187" i="2"/>
  <c r="X186" i="2"/>
  <c r="U186" i="2"/>
  <c r="T186" i="2"/>
  <c r="X185" i="2"/>
  <c r="U185" i="2"/>
  <c r="T185" i="2"/>
  <c r="X184" i="2"/>
  <c r="U184" i="2"/>
  <c r="T184" i="2"/>
  <c r="X183" i="2"/>
  <c r="U183" i="2"/>
  <c r="T183" i="2"/>
  <c r="X182" i="2"/>
  <c r="U182" i="2"/>
  <c r="T182" i="2"/>
  <c r="X181" i="2"/>
  <c r="U181" i="2"/>
  <c r="T181" i="2"/>
  <c r="X180" i="2"/>
  <c r="U180" i="2"/>
  <c r="T180" i="2"/>
  <c r="X179" i="2"/>
  <c r="U179" i="2"/>
  <c r="T179" i="2"/>
  <c r="X178" i="2"/>
  <c r="U178" i="2"/>
  <c r="T178" i="2"/>
  <c r="X177" i="2"/>
  <c r="U177" i="2"/>
  <c r="T177" i="2"/>
  <c r="X176" i="2"/>
  <c r="U176" i="2"/>
  <c r="T176" i="2"/>
  <c r="X175" i="2"/>
  <c r="U175" i="2"/>
  <c r="T175" i="2"/>
  <c r="X174" i="2"/>
  <c r="U174" i="2"/>
  <c r="T174" i="2"/>
  <c r="X173" i="2"/>
  <c r="U173" i="2"/>
  <c r="T173" i="2"/>
  <c r="X172" i="2"/>
  <c r="U172" i="2"/>
  <c r="T172" i="2"/>
  <c r="X171" i="2"/>
  <c r="U171" i="2"/>
  <c r="T171" i="2"/>
  <c r="X170" i="2"/>
  <c r="U170" i="2"/>
  <c r="T170" i="2"/>
  <c r="X169" i="2"/>
  <c r="U169" i="2"/>
  <c r="T169" i="2"/>
  <c r="X168" i="2"/>
  <c r="U168" i="2"/>
  <c r="T168" i="2"/>
  <c r="X167" i="2"/>
  <c r="U167" i="2"/>
  <c r="T167" i="2"/>
  <c r="X166" i="2"/>
  <c r="U166" i="2"/>
  <c r="T166" i="2"/>
  <c r="X165" i="2"/>
  <c r="U165" i="2"/>
  <c r="T165" i="2"/>
  <c r="X164" i="2"/>
  <c r="U164" i="2"/>
  <c r="T164" i="2"/>
  <c r="X163" i="2"/>
  <c r="U163" i="2"/>
  <c r="T163" i="2"/>
  <c r="X162" i="2"/>
  <c r="U162" i="2"/>
  <c r="T162" i="2"/>
  <c r="X161" i="2"/>
  <c r="U161" i="2"/>
  <c r="T161" i="2"/>
  <c r="X160" i="2"/>
  <c r="U160" i="2"/>
  <c r="T160" i="2"/>
  <c r="X159" i="2"/>
  <c r="U159" i="2"/>
  <c r="T159" i="2"/>
  <c r="X158" i="2"/>
  <c r="U158" i="2"/>
  <c r="T158" i="2"/>
  <c r="X157" i="2"/>
  <c r="U157" i="2"/>
  <c r="T157" i="2"/>
  <c r="X156" i="2"/>
  <c r="U156" i="2"/>
  <c r="T156" i="2"/>
  <c r="X155" i="2"/>
  <c r="U155" i="2"/>
  <c r="T155" i="2"/>
  <c r="X154" i="2"/>
  <c r="U154" i="2"/>
  <c r="T154" i="2"/>
  <c r="X153" i="2"/>
  <c r="U153" i="2"/>
  <c r="T153" i="2"/>
  <c r="X152" i="2"/>
  <c r="U152" i="2"/>
  <c r="T152" i="2"/>
  <c r="X151" i="2"/>
  <c r="U151" i="2"/>
  <c r="T151" i="2"/>
  <c r="X150" i="2"/>
  <c r="U150" i="2"/>
  <c r="T150" i="2"/>
  <c r="X149" i="2"/>
  <c r="U149" i="2"/>
  <c r="T149" i="2"/>
  <c r="X148" i="2"/>
  <c r="U148" i="2"/>
  <c r="T148" i="2"/>
  <c r="X147" i="2"/>
  <c r="U147" i="2"/>
  <c r="T147" i="2"/>
  <c r="X146" i="2"/>
  <c r="U146" i="2"/>
  <c r="T146" i="2"/>
  <c r="X145" i="2"/>
  <c r="U145" i="2"/>
  <c r="T145" i="2"/>
  <c r="X144" i="2"/>
  <c r="U144" i="2"/>
  <c r="T144" i="2"/>
  <c r="X143" i="2"/>
  <c r="U143" i="2"/>
  <c r="T143" i="2"/>
  <c r="X142" i="2"/>
  <c r="U142" i="2"/>
  <c r="T142" i="2"/>
  <c r="X141" i="2"/>
  <c r="U141" i="2"/>
  <c r="T141" i="2"/>
  <c r="X140" i="2"/>
  <c r="U140" i="2"/>
  <c r="T140" i="2"/>
  <c r="X139" i="2"/>
  <c r="U139" i="2"/>
  <c r="T139" i="2"/>
  <c r="X138" i="2"/>
  <c r="U138" i="2"/>
  <c r="T138" i="2"/>
  <c r="X137" i="2"/>
  <c r="U137" i="2"/>
  <c r="T137" i="2"/>
  <c r="X136" i="2"/>
  <c r="U136" i="2"/>
  <c r="T136" i="2"/>
  <c r="X135" i="2"/>
  <c r="U135" i="2"/>
  <c r="T135" i="2"/>
  <c r="X134" i="2"/>
  <c r="U134" i="2"/>
  <c r="T134" i="2"/>
  <c r="X133" i="2"/>
  <c r="U133" i="2"/>
  <c r="T133" i="2"/>
  <c r="X132" i="2"/>
  <c r="U132" i="2"/>
  <c r="T132" i="2"/>
  <c r="X131" i="2"/>
  <c r="U131" i="2"/>
  <c r="T131" i="2"/>
  <c r="X130" i="2"/>
  <c r="U130" i="2"/>
  <c r="T130" i="2"/>
  <c r="X129" i="2"/>
  <c r="U129" i="2"/>
  <c r="T129" i="2"/>
  <c r="X128" i="2"/>
  <c r="U128" i="2"/>
  <c r="T128" i="2"/>
  <c r="X127" i="2"/>
  <c r="U127" i="2"/>
  <c r="T127" i="2"/>
  <c r="X126" i="2"/>
  <c r="U126" i="2"/>
  <c r="T126" i="2"/>
  <c r="X125" i="2"/>
  <c r="U125" i="2"/>
  <c r="T125" i="2"/>
  <c r="X124" i="2"/>
  <c r="U124" i="2"/>
  <c r="T124" i="2"/>
  <c r="X123" i="2"/>
  <c r="U123" i="2"/>
  <c r="T123" i="2"/>
  <c r="X122" i="2"/>
  <c r="U122" i="2"/>
  <c r="T122" i="2"/>
  <c r="X121" i="2"/>
  <c r="U121" i="2"/>
  <c r="T121" i="2"/>
  <c r="X120" i="2"/>
  <c r="U120" i="2"/>
  <c r="T120" i="2"/>
  <c r="X119" i="2"/>
  <c r="U119" i="2"/>
  <c r="T119" i="2"/>
  <c r="X118" i="2"/>
  <c r="U118" i="2"/>
  <c r="T118" i="2"/>
  <c r="X117" i="2"/>
  <c r="U117" i="2"/>
  <c r="T117" i="2"/>
  <c r="X116" i="2"/>
  <c r="U116" i="2"/>
  <c r="T116" i="2"/>
  <c r="X115" i="2"/>
  <c r="U115" i="2"/>
  <c r="T115" i="2"/>
  <c r="X114" i="2"/>
  <c r="U114" i="2"/>
  <c r="T114" i="2"/>
  <c r="X113" i="2"/>
  <c r="U113" i="2"/>
  <c r="T113" i="2"/>
  <c r="X112" i="2"/>
  <c r="U112" i="2"/>
  <c r="T112" i="2"/>
  <c r="X111" i="2"/>
  <c r="U111" i="2"/>
  <c r="T111" i="2"/>
  <c r="X110" i="2"/>
  <c r="U110" i="2"/>
  <c r="T110" i="2"/>
  <c r="X109" i="2"/>
  <c r="U109" i="2"/>
  <c r="T109" i="2"/>
  <c r="X108" i="2"/>
  <c r="U108" i="2"/>
  <c r="T108" i="2"/>
  <c r="X107" i="2"/>
  <c r="U107" i="2"/>
  <c r="T107" i="2"/>
  <c r="X106" i="2"/>
  <c r="U106" i="2"/>
  <c r="T106" i="2"/>
  <c r="X105" i="2"/>
  <c r="U105" i="2"/>
  <c r="T105" i="2"/>
  <c r="X104" i="2"/>
  <c r="U104" i="2"/>
  <c r="T104" i="2"/>
  <c r="X103" i="2"/>
  <c r="U103" i="2"/>
  <c r="T103" i="2"/>
  <c r="X102" i="2"/>
  <c r="U102" i="2"/>
  <c r="T102" i="2"/>
  <c r="X101" i="2"/>
  <c r="U101" i="2"/>
  <c r="T101" i="2"/>
  <c r="X100" i="2"/>
  <c r="U100" i="2"/>
  <c r="T100" i="2"/>
  <c r="X99" i="2"/>
  <c r="U99" i="2"/>
  <c r="T99" i="2"/>
  <c r="X98" i="2"/>
  <c r="U98" i="2"/>
  <c r="T98" i="2"/>
  <c r="X97" i="2"/>
  <c r="U97" i="2"/>
  <c r="T97" i="2"/>
  <c r="X96" i="2"/>
  <c r="U96" i="2"/>
  <c r="T96" i="2"/>
  <c r="X95" i="2"/>
  <c r="U95" i="2"/>
  <c r="T95" i="2"/>
  <c r="X94" i="2"/>
  <c r="U94" i="2"/>
  <c r="T94" i="2"/>
  <c r="X93" i="2"/>
  <c r="U93" i="2"/>
  <c r="T93" i="2"/>
  <c r="X92" i="2"/>
  <c r="U92" i="2"/>
  <c r="T92" i="2"/>
  <c r="X91" i="2"/>
  <c r="U91" i="2"/>
  <c r="T91" i="2"/>
  <c r="X90" i="2"/>
  <c r="U90" i="2"/>
  <c r="T90" i="2"/>
  <c r="X89" i="2"/>
  <c r="U89" i="2"/>
  <c r="T89" i="2"/>
  <c r="X88" i="2"/>
  <c r="U88" i="2"/>
  <c r="T88" i="2"/>
  <c r="X87" i="2"/>
  <c r="U87" i="2"/>
  <c r="T87" i="2"/>
  <c r="X86" i="2"/>
  <c r="U86" i="2"/>
  <c r="T86" i="2"/>
  <c r="X85" i="2"/>
  <c r="U85" i="2"/>
  <c r="T85" i="2"/>
  <c r="X84" i="2"/>
  <c r="U84" i="2"/>
  <c r="T84" i="2"/>
  <c r="X83" i="2"/>
  <c r="U83" i="2"/>
  <c r="T83" i="2"/>
  <c r="X82" i="2"/>
  <c r="U82" i="2"/>
  <c r="T82" i="2"/>
  <c r="X81" i="2"/>
  <c r="U81" i="2"/>
  <c r="T81" i="2"/>
  <c r="X80" i="2"/>
  <c r="U80" i="2"/>
  <c r="T80" i="2"/>
  <c r="X79" i="2"/>
  <c r="U79" i="2"/>
  <c r="T79" i="2"/>
  <c r="X78" i="2"/>
  <c r="U78" i="2"/>
  <c r="T78" i="2"/>
  <c r="X77" i="2"/>
  <c r="U77" i="2"/>
  <c r="T77" i="2"/>
  <c r="X76" i="2"/>
  <c r="U76" i="2"/>
  <c r="T76" i="2"/>
  <c r="X75" i="2"/>
  <c r="U75" i="2"/>
  <c r="T75" i="2"/>
  <c r="X74" i="2"/>
  <c r="U74" i="2"/>
  <c r="T74" i="2"/>
  <c r="X73" i="2"/>
  <c r="U73" i="2"/>
  <c r="T73" i="2"/>
  <c r="X72" i="2"/>
  <c r="U72" i="2"/>
  <c r="T72" i="2"/>
  <c r="X71" i="2"/>
  <c r="U71" i="2"/>
  <c r="T71" i="2"/>
  <c r="X70" i="2"/>
  <c r="U70" i="2"/>
  <c r="T70" i="2"/>
  <c r="X69" i="2"/>
  <c r="U69" i="2"/>
  <c r="T69" i="2"/>
  <c r="X68" i="2"/>
  <c r="U68" i="2"/>
  <c r="T68" i="2"/>
  <c r="X67" i="2"/>
  <c r="U67" i="2"/>
  <c r="T67" i="2"/>
  <c r="X66" i="2"/>
  <c r="U66" i="2"/>
  <c r="T66" i="2"/>
  <c r="X65" i="2"/>
  <c r="U65" i="2"/>
  <c r="T65" i="2"/>
  <c r="X64" i="2"/>
  <c r="U64" i="2"/>
  <c r="T64" i="2"/>
  <c r="X63" i="2"/>
  <c r="U63" i="2"/>
  <c r="T63" i="2"/>
  <c r="X62" i="2"/>
  <c r="U62" i="2"/>
  <c r="T62" i="2"/>
  <c r="X61" i="2"/>
  <c r="U61" i="2"/>
  <c r="T61" i="2"/>
  <c r="X60" i="2"/>
  <c r="U60" i="2"/>
  <c r="T60" i="2"/>
  <c r="X59" i="2"/>
  <c r="U59" i="2"/>
  <c r="T59" i="2"/>
  <c r="X58" i="2"/>
  <c r="U58" i="2"/>
  <c r="T58" i="2"/>
  <c r="X57" i="2"/>
  <c r="U57" i="2"/>
  <c r="T57" i="2"/>
  <c r="X56" i="2"/>
  <c r="U56" i="2"/>
  <c r="T56" i="2"/>
  <c r="X55" i="2"/>
  <c r="U55" i="2"/>
  <c r="T55" i="2"/>
  <c r="X54" i="2"/>
  <c r="U54" i="2"/>
  <c r="T54" i="2"/>
  <c r="X53" i="2"/>
  <c r="U53" i="2"/>
  <c r="T53" i="2"/>
  <c r="X52" i="2"/>
  <c r="U52" i="2"/>
  <c r="T52" i="2"/>
  <c r="X51" i="2"/>
  <c r="U51" i="2"/>
  <c r="T51" i="2"/>
  <c r="X50" i="2"/>
  <c r="U50" i="2"/>
  <c r="T50" i="2"/>
  <c r="X49" i="2"/>
  <c r="U49" i="2"/>
  <c r="T49" i="2"/>
  <c r="X48" i="2"/>
  <c r="U48" i="2"/>
  <c r="T48" i="2"/>
  <c r="X47" i="2"/>
  <c r="U47" i="2"/>
  <c r="T47" i="2"/>
  <c r="X46" i="2"/>
  <c r="U46" i="2"/>
  <c r="T46" i="2"/>
  <c r="X45" i="2"/>
  <c r="U45" i="2"/>
  <c r="T45" i="2"/>
  <c r="X44" i="2"/>
  <c r="U44" i="2"/>
  <c r="T44" i="2"/>
  <c r="X43" i="2"/>
  <c r="U43" i="2"/>
  <c r="T43" i="2"/>
  <c r="X42" i="2"/>
  <c r="U42" i="2"/>
  <c r="T42" i="2"/>
  <c r="X41" i="2"/>
  <c r="U41" i="2"/>
  <c r="T41" i="2"/>
  <c r="X40" i="2"/>
  <c r="U40" i="2"/>
  <c r="T40" i="2"/>
  <c r="X39" i="2"/>
  <c r="U39" i="2"/>
  <c r="T39" i="2"/>
  <c r="X38" i="2"/>
  <c r="U38" i="2"/>
  <c r="T38" i="2"/>
  <c r="X37" i="2"/>
  <c r="U37" i="2"/>
  <c r="T37" i="2"/>
  <c r="X36" i="2"/>
  <c r="U36" i="2"/>
  <c r="T36" i="2"/>
  <c r="X35" i="2"/>
  <c r="U35" i="2"/>
  <c r="T35" i="2"/>
  <c r="X34" i="2"/>
  <c r="U34" i="2"/>
  <c r="T34" i="2"/>
  <c r="X33" i="2"/>
  <c r="U33" i="2"/>
  <c r="T33" i="2"/>
  <c r="X32" i="2"/>
  <c r="U32" i="2"/>
  <c r="T32" i="2"/>
  <c r="X31" i="2"/>
  <c r="U31" i="2"/>
  <c r="T31" i="2"/>
  <c r="X30" i="2"/>
  <c r="U30" i="2"/>
  <c r="T30" i="2"/>
  <c r="X29" i="2"/>
  <c r="U29" i="2"/>
  <c r="T29" i="2"/>
  <c r="X28" i="2"/>
  <c r="U28" i="2"/>
  <c r="T28" i="2"/>
  <c r="X27" i="2"/>
  <c r="U27" i="2"/>
  <c r="T27" i="2"/>
  <c r="X26" i="2"/>
  <c r="U26" i="2"/>
  <c r="T26" i="2"/>
  <c r="X25" i="2"/>
  <c r="U25" i="2"/>
  <c r="T25" i="2"/>
  <c r="X24" i="2"/>
  <c r="U24" i="2"/>
  <c r="T24" i="2"/>
  <c r="X23" i="2"/>
  <c r="U23" i="2"/>
  <c r="T23" i="2"/>
  <c r="X22" i="2"/>
  <c r="U22" i="2"/>
  <c r="T22" i="2"/>
  <c r="X21" i="2"/>
  <c r="U21" i="2"/>
  <c r="T21" i="2"/>
  <c r="X20" i="2"/>
  <c r="U20" i="2"/>
  <c r="T20" i="2"/>
  <c r="X19" i="2"/>
  <c r="U19" i="2"/>
  <c r="T19" i="2"/>
  <c r="X18" i="2"/>
  <c r="U18" i="2"/>
  <c r="T18" i="2"/>
  <c r="X17" i="2"/>
  <c r="U17" i="2"/>
  <c r="T17" i="2"/>
  <c r="X16" i="2"/>
  <c r="U16" i="2"/>
  <c r="T16" i="2"/>
  <c r="X15" i="2"/>
  <c r="U15" i="2"/>
  <c r="T15" i="2"/>
  <c r="X14" i="2"/>
  <c r="U14" i="2"/>
  <c r="T14" i="2"/>
  <c r="X13" i="2"/>
  <c r="U13" i="2"/>
  <c r="T13" i="2"/>
  <c r="X12" i="2"/>
  <c r="U12" i="2"/>
  <c r="T12" i="2"/>
  <c r="X11" i="2"/>
  <c r="U11" i="2"/>
  <c r="T11" i="2"/>
  <c r="X10" i="2"/>
  <c r="U10" i="2"/>
  <c r="T10" i="2"/>
  <c r="X9" i="2"/>
  <c r="U9" i="2"/>
  <c r="T9" i="2"/>
  <c r="X8" i="2"/>
  <c r="U8" i="2"/>
  <c r="T8" i="2"/>
  <c r="X7" i="2"/>
  <c r="U7" i="2"/>
  <c r="T7" i="2"/>
  <c r="X6" i="2"/>
  <c r="U6" i="2"/>
  <c r="T6" i="2"/>
  <c r="X5" i="2"/>
  <c r="U5" i="2"/>
  <c r="T5" i="2"/>
  <c r="X4" i="2"/>
  <c r="U4" i="2"/>
  <c r="T4" i="2"/>
  <c r="X3" i="2"/>
  <c r="U3" i="2"/>
  <c r="T3" i="2"/>
  <c r="X2" i="2"/>
  <c r="U2" i="2"/>
  <c r="T2" i="2"/>
  <c r="B18" i="1"/>
  <c r="B17" i="1"/>
  <c r="B16" i="1"/>
  <c r="B15" i="1"/>
</calcChain>
</file>

<file path=xl/sharedStrings.xml><?xml version="1.0" encoding="utf-8"?>
<sst xmlns="http://schemas.openxmlformats.org/spreadsheetml/2006/main" count="8283" uniqueCount="2707">
  <si>
    <r>
      <rPr>
        <b/>
        <sz val="12"/>
        <rFont val="Noto Sans CJK SC"/>
        <family val="2"/>
      </rPr>
      <t xml:space="preserve">負面新聞離線覆核：第二批（待人工覆核剩餘＋已分類 </t>
    </r>
    <r>
      <rPr>
        <b/>
        <sz val="12"/>
        <rFont val="Arial"/>
        <family val="2"/>
      </rPr>
      <t>L3</t>
    </r>
    <r>
      <rPr>
        <b/>
        <sz val="12"/>
        <rFont val="Noto Sans CJK SC"/>
        <family val="2"/>
      </rPr>
      <t>）</t>
    </r>
  </si>
  <si>
    <r>
      <rPr>
        <sz val="10"/>
        <rFont val="Noto Sans CJK SC"/>
        <family val="2"/>
      </rPr>
      <t>產生日期：</t>
    </r>
    <r>
      <rPr>
        <sz val="10"/>
        <rFont val="Arial"/>
        <family val="2"/>
      </rPr>
      <t>2026-10-26</t>
    </r>
    <r>
      <rPr>
        <sz val="10"/>
        <rFont val="Noto Sans CJK SC"/>
        <family val="2"/>
      </rPr>
      <t>　筆數：</t>
    </r>
    <r>
      <rPr>
        <sz val="10"/>
        <rFont val="Arial"/>
        <family val="2"/>
      </rPr>
      <t>645</t>
    </r>
    <r>
      <rPr>
        <sz val="10"/>
        <rFont val="Noto Sans CJK SC"/>
        <family val="2"/>
      </rPr>
      <t xml:space="preserve">（待人工覆核 </t>
    </r>
    <r>
      <rPr>
        <sz val="10"/>
        <rFont val="Arial"/>
        <family val="2"/>
      </rPr>
      <t>315</t>
    </r>
    <r>
      <rPr>
        <sz val="10"/>
        <rFont val="Noto Sans CJK SC"/>
        <family val="2"/>
      </rPr>
      <t xml:space="preserve">、已分類 </t>
    </r>
    <r>
      <rPr>
        <sz val="10"/>
        <rFont val="Arial"/>
        <family val="2"/>
      </rPr>
      <t>L3 330</t>
    </r>
    <r>
      <rPr>
        <sz val="10"/>
        <rFont val="Noto Sans CJK SC"/>
        <family val="2"/>
      </rPr>
      <t>）</t>
    </r>
  </si>
  <si>
    <t>怎麼填（只動黃色欄位）</t>
  </si>
  <si>
    <r>
      <rPr>
        <sz val="10"/>
        <rFont val="Arial"/>
        <family val="2"/>
      </rPr>
      <t xml:space="preserve">1. </t>
    </r>
    <r>
      <rPr>
        <sz val="10"/>
        <rFont val="Noto Sans CJK SC"/>
        <family val="2"/>
      </rPr>
      <t>最終決定（</t>
    </r>
    <r>
      <rPr>
        <sz val="10"/>
        <rFont val="Arial"/>
        <family val="2"/>
      </rPr>
      <t xml:space="preserve">R </t>
    </r>
    <r>
      <rPr>
        <sz val="10"/>
        <rFont val="Noto Sans CJK SC"/>
        <family val="2"/>
      </rPr>
      <t xml:space="preserve">欄）：已預填我的建議。維持＝沿用目前分類；修改＝改成「新事件代碼」；排除＝記為 </t>
    </r>
    <r>
      <rPr>
        <sz val="10"/>
        <rFont val="Arial"/>
        <family val="2"/>
      </rPr>
      <t>NOT_RELEVANT</t>
    </r>
    <r>
      <rPr>
        <sz val="10"/>
        <rFont val="Noto Sans CJK SC"/>
        <family val="2"/>
      </rPr>
      <t>、</t>
    </r>
    <r>
      <rPr>
        <sz val="10"/>
        <rFont val="Arial"/>
        <family val="2"/>
      </rPr>
      <t>Level 0</t>
    </r>
    <r>
      <rPr>
        <sz val="10"/>
        <rFont val="Noto Sans CJK SC"/>
        <family val="2"/>
      </rPr>
      <t>、</t>
    </r>
    <r>
      <rPr>
        <sz val="10"/>
        <rFont val="Arial"/>
        <family val="2"/>
      </rPr>
      <t>Action</t>
    </r>
    <r>
      <rPr>
        <sz val="10"/>
        <rFont val="Noto Sans CJK SC"/>
        <family val="2"/>
      </rPr>
      <t>「排除、不納入風險事件」。</t>
    </r>
  </si>
  <si>
    <r>
      <rPr>
        <sz val="10"/>
        <rFont val="Arial"/>
        <family val="2"/>
      </rPr>
      <t xml:space="preserve">2. </t>
    </r>
    <r>
      <rPr>
        <sz val="10"/>
        <rFont val="Noto Sans CJK SC"/>
        <family val="2"/>
      </rPr>
      <t>新事件代碼（</t>
    </r>
    <r>
      <rPr>
        <sz val="10"/>
        <rFont val="Arial"/>
        <family val="2"/>
      </rPr>
      <t xml:space="preserve">S </t>
    </r>
    <r>
      <rPr>
        <sz val="10"/>
        <rFont val="Noto Sans CJK SC"/>
        <family val="2"/>
      </rPr>
      <t xml:space="preserve">欄）：只有「修改」才需要，從下拉選單選；新事件中文與新 </t>
    </r>
    <r>
      <rPr>
        <sz val="10"/>
        <rFont val="Arial"/>
        <family val="2"/>
      </rPr>
      <t xml:space="preserve">Level </t>
    </r>
    <r>
      <rPr>
        <sz val="10"/>
        <rFont val="Noto Sans CJK SC"/>
        <family val="2"/>
      </rPr>
      <t>會自動帶出。</t>
    </r>
  </si>
  <si>
    <r>
      <rPr>
        <sz val="10"/>
        <rFont val="Arial"/>
        <family val="2"/>
      </rPr>
      <t xml:space="preserve">3. </t>
    </r>
    <r>
      <rPr>
        <sz val="10"/>
        <rFont val="Noto Sans CJK SC"/>
        <family val="2"/>
      </rPr>
      <t>更正公司（</t>
    </r>
    <r>
      <rPr>
        <sz val="10"/>
        <rFont val="Arial"/>
        <family val="2"/>
      </rPr>
      <t xml:space="preserve">V </t>
    </r>
    <r>
      <rPr>
        <sz val="10"/>
        <rFont val="Noto Sans CJK SC"/>
        <family val="2"/>
      </rPr>
      <t>欄）、更正</t>
    </r>
    <r>
      <rPr>
        <sz val="10"/>
        <rFont val="Arial"/>
        <family val="2"/>
      </rPr>
      <t>Ticker</t>
    </r>
    <r>
      <rPr>
        <sz val="10"/>
        <rFont val="Noto Sans CJK SC"/>
        <family val="2"/>
      </rPr>
      <t>（</t>
    </r>
    <r>
      <rPr>
        <sz val="10"/>
        <rFont val="Arial"/>
        <family val="2"/>
      </rPr>
      <t xml:space="preserve">W </t>
    </r>
    <r>
      <rPr>
        <sz val="10"/>
        <rFont val="Noto Sans CJK SC"/>
        <family val="2"/>
      </rPr>
      <t xml:space="preserve">欄）：只在公司歸屬錯誤或 </t>
    </r>
    <r>
      <rPr>
        <sz val="10"/>
        <rFont val="Arial"/>
        <family val="2"/>
      </rPr>
      <t xml:space="preserve">Ticker </t>
    </r>
    <r>
      <rPr>
        <sz val="10"/>
        <rFont val="Noto Sans CJK SC"/>
        <family val="2"/>
      </rPr>
      <t xml:space="preserve">空白時填寫，空白代表不更正。已依 </t>
    </r>
    <r>
      <rPr>
        <sz val="10"/>
        <rFont val="Arial"/>
        <family val="2"/>
      </rPr>
      <t xml:space="preserve">S&amp;P 500 </t>
    </r>
    <r>
      <rPr>
        <sz val="10"/>
        <rFont val="Noto Sans CJK SC"/>
        <family val="2"/>
      </rPr>
      <t xml:space="preserve">清單預填 </t>
    </r>
    <r>
      <rPr>
        <sz val="10"/>
        <rFont val="Arial"/>
        <family val="2"/>
      </rPr>
      <t xml:space="preserve">Ticker </t>
    </r>
    <r>
      <rPr>
        <sz val="10"/>
        <rFont val="Noto Sans CJK SC"/>
        <family val="2"/>
      </rPr>
      <t>空白的列。</t>
    </r>
  </si>
  <si>
    <r>
      <rPr>
        <sz val="10"/>
        <rFont val="Arial"/>
        <family val="2"/>
      </rPr>
      <t xml:space="preserve">4. </t>
    </r>
    <r>
      <rPr>
        <sz val="10"/>
        <rFont val="Noto Sans CJK SC"/>
        <family val="2"/>
      </rPr>
      <t>覆核註記（</t>
    </r>
    <r>
      <rPr>
        <sz val="10"/>
        <rFont val="Arial"/>
        <family val="2"/>
      </rPr>
      <t xml:space="preserve">Y </t>
    </r>
    <r>
      <rPr>
        <sz val="10"/>
        <rFont val="Noto Sans CJK SC"/>
        <family val="2"/>
      </rPr>
      <t>欄）、覆核人（</t>
    </r>
    <r>
      <rPr>
        <sz val="10"/>
        <rFont val="Arial"/>
        <family val="2"/>
      </rPr>
      <t xml:space="preserve">Z </t>
    </r>
    <r>
      <rPr>
        <sz val="10"/>
        <rFont val="Noto Sans CJK SC"/>
        <family val="2"/>
      </rPr>
      <t>欄）：請填你的姓名；註記可空白。</t>
    </r>
  </si>
  <si>
    <r>
      <rPr>
        <sz val="10"/>
        <rFont val="Arial"/>
        <family val="2"/>
      </rPr>
      <t xml:space="preserve">5. </t>
    </r>
    <r>
      <rPr>
        <sz val="10"/>
        <rFont val="Noto Sans CJK SC"/>
        <family val="2"/>
      </rPr>
      <t>把握程度為「低」或「建議看原文」為「是」的列（紅字），建議點標題開原文確認。</t>
    </r>
  </si>
  <si>
    <r>
      <rPr>
        <sz val="10"/>
        <rFont val="Arial"/>
        <family val="2"/>
      </rPr>
      <t xml:space="preserve">6. </t>
    </r>
    <r>
      <rPr>
        <sz val="10"/>
        <rFont val="Noto Sans CJK SC"/>
        <family val="2"/>
      </rPr>
      <t>檢查欄（</t>
    </r>
    <r>
      <rPr>
        <sz val="10"/>
        <rFont val="Arial"/>
        <family val="2"/>
      </rPr>
      <t>X</t>
    </r>
    <r>
      <rPr>
        <sz val="10"/>
        <rFont val="Noto Sans CJK SC"/>
        <family val="2"/>
      </rPr>
      <t>）若出現紅字，表示該列填寫不完整。</t>
    </r>
  </si>
  <si>
    <r>
      <rPr>
        <sz val="10"/>
        <rFont val="Arial"/>
        <family val="2"/>
      </rPr>
      <t xml:space="preserve">7. </t>
    </r>
    <r>
      <rPr>
        <sz val="10"/>
        <rFont val="Noto Sans CJK SC"/>
        <family val="2"/>
      </rPr>
      <t xml:space="preserve">不要修改 </t>
    </r>
    <r>
      <rPr>
        <sz val="10"/>
        <rFont val="Arial"/>
        <family val="2"/>
      </rPr>
      <t>news_id</t>
    </r>
    <r>
      <rPr>
        <sz val="10"/>
        <rFont val="Noto Sans CJK SC"/>
        <family val="2"/>
      </rPr>
      <t>、人工版本欄；上傳時靠這兩欄對應與防衝突。</t>
    </r>
  </si>
  <si>
    <r>
      <rPr>
        <sz val="10"/>
        <rFont val="Arial"/>
        <family val="2"/>
      </rPr>
      <t xml:space="preserve">8. </t>
    </r>
    <r>
      <rPr>
        <sz val="10"/>
        <rFont val="Noto Sans CJK SC"/>
        <family val="2"/>
      </rPr>
      <t>確認後請另存為「檔名</t>
    </r>
    <r>
      <rPr>
        <sz val="10"/>
        <rFont val="Arial"/>
        <family val="2"/>
      </rPr>
      <t>_</t>
    </r>
    <r>
      <rPr>
        <sz val="10"/>
        <rFont val="Noto Sans CJK SC"/>
        <family val="2"/>
      </rPr>
      <t>已確認</t>
    </r>
    <r>
      <rPr>
        <sz val="10"/>
        <rFont val="Arial"/>
        <family val="2"/>
      </rPr>
      <t>.xlsx</t>
    </r>
    <r>
      <rPr>
        <sz val="10"/>
        <rFont val="Noto Sans CJK SC"/>
        <family val="2"/>
      </rPr>
      <t>」。</t>
    </r>
  </si>
  <si>
    <t>我的建議統計（即時計算）</t>
  </si>
  <si>
    <t>建議維持：</t>
  </si>
  <si>
    <t>建議修改：</t>
  </si>
  <si>
    <t>建議排除：</t>
  </si>
  <si>
    <t>最終決定尚未填寫的列數：</t>
  </si>
  <si>
    <r>
      <rPr>
        <sz val="10"/>
        <rFont val="Noto Sans CJK SC"/>
        <family val="2"/>
      </rPr>
      <t>限制：我只看資料中的標題與摘要，沒有逐篇開原文；建議不保證全對，最終由你確認。</t>
    </r>
    <r>
      <rPr>
        <sz val="10"/>
        <rFont val="Arial"/>
        <family val="2"/>
      </rPr>
      <t xml:space="preserve">Level </t>
    </r>
    <r>
      <rPr>
        <sz val="10"/>
        <rFont val="Noto Sans CJK SC"/>
        <family val="2"/>
      </rPr>
      <t>顏色：</t>
    </r>
    <r>
      <rPr>
        <sz val="10"/>
        <rFont val="Arial"/>
        <family val="2"/>
      </rPr>
      <t xml:space="preserve">5 </t>
    </r>
    <r>
      <rPr>
        <sz val="10"/>
        <rFont val="Noto Sans CJK SC"/>
        <family val="2"/>
      </rPr>
      <t>紅、</t>
    </r>
    <r>
      <rPr>
        <sz val="10"/>
        <rFont val="Arial"/>
        <family val="2"/>
      </rPr>
      <t xml:space="preserve">4 </t>
    </r>
    <r>
      <rPr>
        <sz val="10"/>
        <rFont val="Noto Sans CJK SC"/>
        <family val="2"/>
      </rPr>
      <t>橘、</t>
    </r>
    <r>
      <rPr>
        <sz val="10"/>
        <rFont val="Arial"/>
        <family val="2"/>
      </rPr>
      <t xml:space="preserve">3 </t>
    </r>
    <r>
      <rPr>
        <sz val="10"/>
        <rFont val="Noto Sans CJK SC"/>
        <family val="2"/>
      </rPr>
      <t>黃、</t>
    </r>
    <r>
      <rPr>
        <sz val="10"/>
        <rFont val="Arial"/>
        <family val="2"/>
      </rPr>
      <t xml:space="preserve">2 </t>
    </r>
    <r>
      <rPr>
        <sz val="10"/>
        <rFont val="Noto Sans CJK SC"/>
        <family val="2"/>
      </rPr>
      <t>淡藍、</t>
    </r>
    <r>
      <rPr>
        <sz val="10"/>
        <rFont val="Arial"/>
        <family val="2"/>
      </rPr>
      <t xml:space="preserve">1 </t>
    </r>
    <r>
      <rPr>
        <sz val="10"/>
        <rFont val="Noto Sans CJK SC"/>
        <family val="2"/>
      </rPr>
      <t>淺灰、</t>
    </r>
    <r>
      <rPr>
        <sz val="10"/>
        <rFont val="Arial"/>
        <family val="2"/>
      </rPr>
      <t xml:space="preserve">0 </t>
    </r>
    <r>
      <rPr>
        <sz val="10"/>
        <rFont val="Noto Sans CJK SC"/>
        <family val="2"/>
      </rPr>
      <t>深灰。</t>
    </r>
  </si>
  <si>
    <t>序號</t>
  </si>
  <si>
    <t>日期</t>
  </si>
  <si>
    <t>Ticker</t>
  </si>
  <si>
    <t>公司</t>
  </si>
  <si>
    <t>標題（點擊開原文）</t>
  </si>
  <si>
    <t>中文標題／摘要</t>
  </si>
  <si>
    <t>來源</t>
  </si>
  <si>
    <t>FinBERT</t>
  </si>
  <si>
    <t>目前事件代碼</t>
  </si>
  <si>
    <t>目前事件中文</t>
  </si>
  <si>
    <r>
      <rPr>
        <b/>
        <sz val="10"/>
        <color rgb="FFFFFFFF"/>
        <rFont val="Noto Sans CJK SC"/>
        <family val="2"/>
      </rPr>
      <t>目前</t>
    </r>
    <r>
      <rPr>
        <b/>
        <sz val="10"/>
        <color rgb="FFFFFFFF"/>
        <rFont val="Arial"/>
        <family val="2"/>
      </rPr>
      <t>Level</t>
    </r>
  </si>
  <si>
    <t>目前分類狀態</t>
  </si>
  <si>
    <t>建議</t>
  </si>
  <si>
    <t>建議事件代碼</t>
  </si>
  <si>
    <t>把握程度</t>
  </si>
  <si>
    <t>理由</t>
  </si>
  <si>
    <t>建議看原文</t>
  </si>
  <si>
    <t>最終決定</t>
  </si>
  <si>
    <t>新事件代碼</t>
  </si>
  <si>
    <t>新事件中文</t>
  </si>
  <si>
    <r>
      <rPr>
        <b/>
        <sz val="10"/>
        <color rgb="FFFFFFFF"/>
        <rFont val="Noto Sans CJK SC"/>
        <family val="2"/>
      </rPr>
      <t>新</t>
    </r>
    <r>
      <rPr>
        <b/>
        <sz val="10"/>
        <color rgb="FFFFFFFF"/>
        <rFont val="Arial"/>
        <family val="2"/>
      </rPr>
      <t>Level</t>
    </r>
  </si>
  <si>
    <t>更正公司</t>
  </si>
  <si>
    <r>
      <rPr>
        <b/>
        <sz val="10"/>
        <color rgb="FFFFFFFF"/>
        <rFont val="Noto Sans CJK SC"/>
        <family val="2"/>
      </rPr>
      <t>更正</t>
    </r>
    <r>
      <rPr>
        <b/>
        <sz val="10"/>
        <color rgb="FFFFFFFF"/>
        <rFont val="Arial"/>
        <family val="2"/>
      </rPr>
      <t>Ticker</t>
    </r>
  </si>
  <si>
    <t>檢查</t>
  </si>
  <si>
    <t>覆核註記</t>
  </si>
  <si>
    <t>覆核人</t>
  </si>
  <si>
    <t>news_id</t>
  </si>
  <si>
    <t>人工版本</t>
  </si>
  <si>
    <t>2026-10-23</t>
  </si>
  <si>
    <t>CRWV</t>
  </si>
  <si>
    <t>CoreWeave, Inc.</t>
  </si>
  <si>
    <t>股價月內跌36%、CDS利差飆升AI雲服務商CoreWeave(CRWV.US)深陷信心危機作者智通財經</t>
  </si>
  <si>
    <r>
      <rPr>
        <sz val="10"/>
        <rFont val="Arial"/>
        <family val="2"/>
      </rPr>
      <t xml:space="preserve">CoreWeave </t>
    </r>
    <r>
      <rPr>
        <sz val="10"/>
        <rFont val="Noto Sans CJK SC"/>
        <family val="2"/>
      </rPr>
      <t>股價在一個月內下跌</t>
    </r>
    <r>
      <rPr>
        <sz val="10"/>
        <rFont val="Arial"/>
        <family val="2"/>
      </rPr>
      <t>36%</t>
    </r>
    <r>
      <rPr>
        <sz val="10"/>
        <rFont val="Noto Sans CJK SC"/>
        <family val="2"/>
      </rPr>
      <t xml:space="preserve">，同時其 </t>
    </r>
    <r>
      <rPr>
        <sz val="10"/>
        <rFont val="Arial"/>
        <family val="2"/>
      </rPr>
      <t xml:space="preserve">CDS </t>
    </r>
    <r>
      <rPr>
        <sz val="10"/>
        <rFont val="Noto Sans CJK SC"/>
        <family val="2"/>
      </rPr>
      <t>利差急劇擴大，顯示市場對其信用風險的擔憂升高，但並未有任何明確的違約或破產訊息。</t>
    </r>
  </si>
  <si>
    <r>
      <rPr>
        <sz val="10"/>
        <rFont val="Arial"/>
        <family val="2"/>
      </rPr>
      <t xml:space="preserve">Investing.com </t>
    </r>
    <r>
      <rPr>
        <sz val="10"/>
        <rFont val="Noto Sans CJK SC"/>
        <family val="2"/>
      </rPr>
      <t xml:space="preserve">香港 </t>
    </r>
    <r>
      <rPr>
        <sz val="10"/>
        <rFont val="Arial"/>
        <family val="2"/>
      </rPr>
      <t xml:space="preserve">- </t>
    </r>
    <r>
      <rPr>
        <sz val="10"/>
        <rFont val="Noto Sans CJK SC"/>
        <family val="2"/>
      </rPr>
      <t>股市報價</t>
    </r>
    <r>
      <rPr>
        <sz val="10"/>
        <rFont val="Arial"/>
        <family val="2"/>
      </rPr>
      <t xml:space="preserve">&amp; </t>
    </r>
    <r>
      <rPr>
        <sz val="10"/>
        <rFont val="Noto Sans CJK SC"/>
        <family val="2"/>
      </rPr>
      <t>財經新聞</t>
    </r>
  </si>
  <si>
    <t>CDS_SPREAD_WIDENING</t>
  </si>
  <si>
    <r>
      <rPr>
        <sz val="10"/>
        <rFont val="Arial"/>
        <family val="2"/>
      </rPr>
      <t>CDS</t>
    </r>
    <r>
      <rPr>
        <sz val="10"/>
        <rFont val="Noto Sans CJK SC"/>
        <family val="2"/>
      </rPr>
      <t>利差擴大／信用風險升高</t>
    </r>
  </si>
  <si>
    <t>已分類</t>
  </si>
  <si>
    <t>維持</t>
  </si>
  <si>
    <t>高</t>
  </si>
  <si>
    <r>
      <rPr>
        <sz val="10"/>
        <rFont val="Arial"/>
        <family val="2"/>
      </rPr>
      <t xml:space="preserve">CoreWeave </t>
    </r>
    <r>
      <rPr>
        <sz val="10"/>
        <rFont val="Noto Sans CJK SC"/>
        <family val="2"/>
      </rPr>
      <t xml:space="preserve">股價月內跌 </t>
    </r>
    <r>
      <rPr>
        <sz val="10"/>
        <rFont val="Arial"/>
        <family val="2"/>
      </rPr>
      <t xml:space="preserve">36% </t>
    </r>
    <r>
      <rPr>
        <sz val="10"/>
        <rFont val="Noto Sans CJK SC"/>
        <family val="2"/>
      </rPr>
      <t xml:space="preserve">且 </t>
    </r>
    <r>
      <rPr>
        <sz val="10"/>
        <rFont val="Arial"/>
        <family val="2"/>
      </rPr>
      <t xml:space="preserve">CDS </t>
    </r>
    <r>
      <rPr>
        <sz val="10"/>
        <rFont val="Noto Sans CJK SC"/>
        <family val="2"/>
      </rPr>
      <t>利差急升，市場對信用的信心下降。</t>
    </r>
  </si>
  <si>
    <t>a409987af5a8c21a78698323</t>
  </si>
  <si>
    <t>股價月內跌36%、CDS利差飆升 AI雲服務商CoreWeave深陷信心危機</t>
  </si>
  <si>
    <r>
      <rPr>
        <sz val="10"/>
        <rFont val="Arial"/>
        <family val="2"/>
      </rPr>
      <t xml:space="preserve">CoreWeave </t>
    </r>
    <r>
      <rPr>
        <sz val="10"/>
        <rFont val="Noto Sans CJK SC"/>
        <family val="2"/>
      </rPr>
      <t>股價在一個月內下跌</t>
    </r>
    <r>
      <rPr>
        <sz val="10"/>
        <rFont val="Arial"/>
        <family val="2"/>
      </rPr>
      <t>36%</t>
    </r>
    <r>
      <rPr>
        <sz val="10"/>
        <rFont val="Noto Sans CJK SC"/>
        <family val="2"/>
      </rPr>
      <t xml:space="preserve">，同時 </t>
    </r>
    <r>
      <rPr>
        <sz val="10"/>
        <rFont val="Arial"/>
        <family val="2"/>
      </rPr>
      <t xml:space="preserve">CDS </t>
    </r>
    <r>
      <rPr>
        <sz val="10"/>
        <rFont val="Noto Sans CJK SC"/>
        <family val="2"/>
      </rPr>
      <t>利差急劇擴大，顯示市場對其信用風險的擔憂升高，但並未確認任何違約或其他重大事件。</t>
    </r>
  </si>
  <si>
    <t>Moomoo</t>
  </si>
  <si>
    <t>2d665ff894609ba4dcbe3fbf</t>
  </si>
  <si>
    <t>CoreWeave Stock Tumbles as Bernstein Cuts Target on AI Debt Fears</t>
  </si>
  <si>
    <r>
      <rPr>
        <sz val="10"/>
        <rFont val="Noto Sans CJK SC"/>
        <family val="2"/>
      </rPr>
      <t>核心算力公司</t>
    </r>
    <r>
      <rPr>
        <sz val="10"/>
        <rFont val="Arial"/>
        <family val="2"/>
      </rPr>
      <t>CoreWeave</t>
    </r>
    <r>
      <rPr>
        <sz val="10"/>
        <rFont val="Noto Sans CJK SC"/>
        <family val="2"/>
      </rPr>
      <t>因市場對其</t>
    </r>
    <r>
      <rPr>
        <sz val="10"/>
        <rFont val="Arial"/>
        <family val="2"/>
      </rPr>
      <t>AI</t>
    </r>
    <r>
      <rPr>
        <sz val="10"/>
        <rFont val="Noto Sans CJK SC"/>
        <family val="2"/>
      </rPr>
      <t>債務的擔憂，股價大幅下跌，顯示投資者對其信用風險的擔憂升高。</t>
    </r>
  </si>
  <si>
    <t>TradingView</t>
  </si>
  <si>
    <t>中</t>
  </si>
  <si>
    <r>
      <rPr>
        <sz val="10"/>
        <rFont val="Arial"/>
        <family val="2"/>
      </rPr>
      <t xml:space="preserve">Bernstein </t>
    </r>
    <r>
      <rPr>
        <sz val="10"/>
        <rFont val="Noto Sans CJK SC"/>
        <family val="2"/>
      </rPr>
      <t xml:space="preserve">因 </t>
    </r>
    <r>
      <rPr>
        <sz val="10"/>
        <rFont val="Arial"/>
        <family val="2"/>
      </rPr>
      <t xml:space="preserve">AI </t>
    </r>
    <r>
      <rPr>
        <sz val="10"/>
        <rFont val="Noto Sans CJK SC"/>
        <family val="2"/>
      </rPr>
      <t xml:space="preserve">債務疑慮調降 </t>
    </r>
    <r>
      <rPr>
        <sz val="10"/>
        <rFont val="Arial"/>
        <family val="2"/>
      </rPr>
      <t xml:space="preserve">CoreWeave </t>
    </r>
    <r>
      <rPr>
        <sz val="10"/>
        <rFont val="Noto Sans CJK SC"/>
        <family val="2"/>
      </rPr>
      <t>目標價，股價下跌。</t>
    </r>
  </si>
  <si>
    <t>13aeb2cf4e45fd614990924e</t>
  </si>
  <si>
    <t>2026-10-25</t>
  </si>
  <si>
    <t>ADP</t>
  </si>
  <si>
    <t>Automatic Data Processing</t>
  </si>
  <si>
    <t>ADP implementation drops to 3.89pc in July-September</t>
  </si>
  <si>
    <r>
      <rPr>
        <sz val="10"/>
        <rFont val="Noto Sans CJK SC"/>
        <family val="2"/>
      </rPr>
      <t>自動資料處理公司（</t>
    </r>
    <r>
      <rPr>
        <sz val="10"/>
        <rFont val="Arial"/>
        <family val="2"/>
      </rPr>
      <t>ADP</t>
    </r>
    <r>
      <rPr>
        <sz val="10"/>
        <rFont val="Noto Sans CJK SC"/>
        <family val="2"/>
      </rPr>
      <t>）在七至九月的實施率下降至</t>
    </r>
    <r>
      <rPr>
        <sz val="10"/>
        <rFont val="Arial"/>
        <family val="2"/>
      </rPr>
      <t>3.89%</t>
    </r>
    <r>
      <rPr>
        <sz val="10"/>
        <rFont val="Noto Sans CJK SC"/>
        <family val="2"/>
      </rPr>
      <t>，導致其信用違約掉期（</t>
    </r>
    <r>
      <rPr>
        <sz val="10"/>
        <rFont val="Arial"/>
        <family val="2"/>
      </rPr>
      <t>CDS</t>
    </r>
    <r>
      <rPr>
        <sz val="10"/>
        <rFont val="Noto Sans CJK SC"/>
        <family val="2"/>
      </rPr>
      <t>）利差擴大，顯示市場對其信用風險的擔憂升高。</t>
    </r>
  </si>
  <si>
    <t>The Financial Express</t>
  </si>
  <si>
    <t>排除</t>
  </si>
  <si>
    <r>
      <rPr>
        <sz val="10"/>
        <rFont val="Noto Sans CJK SC"/>
        <family val="2"/>
      </rPr>
      <t xml:space="preserve">文章談的是 </t>
    </r>
    <r>
      <rPr>
        <sz val="10"/>
        <rFont val="Arial"/>
        <family val="2"/>
      </rPr>
      <t xml:space="preserve">ADP </t>
    </r>
    <r>
      <rPr>
        <sz val="10"/>
        <rFont val="Noto Sans CJK SC"/>
        <family val="2"/>
      </rPr>
      <t xml:space="preserve">實施率（與 </t>
    </r>
    <r>
      <rPr>
        <sz val="10"/>
        <rFont val="Arial"/>
        <family val="2"/>
      </rPr>
      <t xml:space="preserve">Automatic Data Processing </t>
    </r>
    <r>
      <rPr>
        <sz val="10"/>
        <rFont val="Noto Sans CJK SC"/>
        <family val="2"/>
      </rPr>
      <t>無關）。</t>
    </r>
  </si>
  <si>
    <t>8a519af9cbc36c7c5948edab</t>
  </si>
  <si>
    <t>2026-08-09</t>
  </si>
  <si>
    <t>MSFT</t>
  </si>
  <si>
    <t>Microsoft Corporation</t>
  </si>
  <si>
    <t>Microsoft releases Windows XP patch for WannaCrypt ransomware</t>
  </si>
  <si>
    <r>
      <rPr>
        <sz val="10"/>
        <rFont val="Noto Sans CJK SC"/>
        <family val="2"/>
      </rPr>
      <t xml:space="preserve">微軟發布針對 </t>
    </r>
    <r>
      <rPr>
        <sz val="10"/>
        <rFont val="Arial"/>
        <family val="2"/>
      </rPr>
      <t xml:space="preserve">WannaCrypt </t>
    </r>
    <r>
      <rPr>
        <sz val="10"/>
        <rFont val="Noto Sans CJK SC"/>
        <family val="2"/>
      </rPr>
      <t xml:space="preserve">勒索軟體的 </t>
    </r>
    <r>
      <rPr>
        <sz val="10"/>
        <rFont val="Arial"/>
        <family val="2"/>
      </rPr>
      <t xml:space="preserve">Windows XP </t>
    </r>
    <r>
      <rPr>
        <sz val="10"/>
        <rFont val="Noto Sans CJK SC"/>
        <family val="2"/>
      </rPr>
      <t>補丁</t>
    </r>
  </si>
  <si>
    <t>Mashable</t>
  </si>
  <si>
    <t>CYBER_ATTACK</t>
  </si>
  <si>
    <t>資安攻擊</t>
  </si>
  <si>
    <r>
      <rPr>
        <sz val="10"/>
        <rFont val="Arial"/>
        <family val="2"/>
      </rPr>
      <t xml:space="preserve">Windows XP WannaCrypt </t>
    </r>
    <r>
      <rPr>
        <sz val="10"/>
        <rFont val="Noto Sans CJK SC"/>
        <family val="2"/>
      </rPr>
      <t>修補程式為多年前舊聞，非新事件。</t>
    </r>
  </si>
  <si>
    <t>92d1743eeade3cb6fad4a889</t>
  </si>
  <si>
    <t>2026-08-10</t>
  </si>
  <si>
    <t>China-linked hackers turning popular cybersecurity tool into ransomware launchpad, Microsoft warns</t>
  </si>
  <si>
    <t>微軟警告稱，與中國有關的駭客將流行的網路安全工具變成勒索軟體啟動板</t>
  </si>
  <si>
    <t>The Record from Recorded Future News</t>
  </si>
  <si>
    <r>
      <rPr>
        <sz val="10"/>
        <rFont val="Arial"/>
        <family val="2"/>
      </rPr>
      <t xml:space="preserve">Microsoft </t>
    </r>
    <r>
      <rPr>
        <sz val="10"/>
        <rFont val="Noto Sans CJK SC"/>
        <family val="2"/>
      </rPr>
      <t>是發出警告的一方，不是受害者。</t>
    </r>
  </si>
  <si>
    <t>988268a4ccf878c75da46a85</t>
  </si>
  <si>
    <t>PSA</t>
  </si>
  <si>
    <t>Public Storage Common Stock</t>
  </si>
  <si>
    <t>PSA: Steam Machine and Steam Controller Customers in Europe Hit by Cyber Attack</t>
  </si>
  <si>
    <r>
      <rPr>
        <sz val="10"/>
        <rFont val="Arial"/>
        <family val="2"/>
      </rPr>
      <t>PSA</t>
    </r>
    <r>
      <rPr>
        <sz val="10"/>
        <rFont val="Noto Sans CJK SC"/>
        <family val="2"/>
      </rPr>
      <t>：歐洲蒸汽機和蒸汽控制器客戶遭受網路攻擊</t>
    </r>
  </si>
  <si>
    <t>Digital Foundry</t>
  </si>
  <si>
    <r>
      <rPr>
        <sz val="10"/>
        <rFont val="Arial"/>
        <family val="2"/>
      </rPr>
      <t xml:space="preserve">PSA </t>
    </r>
    <r>
      <rPr>
        <sz val="10"/>
        <rFont val="Noto Sans CJK SC"/>
        <family val="2"/>
      </rPr>
      <t>為「公共服務公告」，</t>
    </r>
    <r>
      <rPr>
        <sz val="10"/>
        <rFont val="Arial"/>
        <family val="2"/>
      </rPr>
      <t xml:space="preserve">Steam </t>
    </r>
    <r>
      <rPr>
        <sz val="10"/>
        <rFont val="Noto Sans CJK SC"/>
        <family val="2"/>
      </rPr>
      <t xml:space="preserve">受攻擊與 </t>
    </r>
    <r>
      <rPr>
        <sz val="10"/>
        <rFont val="Arial"/>
        <family val="2"/>
      </rPr>
      <t xml:space="preserve">Public Storage </t>
    </r>
    <r>
      <rPr>
        <sz val="10"/>
        <rFont val="Noto Sans CJK SC"/>
        <family val="2"/>
      </rPr>
      <t>無關。</t>
    </r>
  </si>
  <si>
    <t>408f0cdda38cf445ebf777d7</t>
  </si>
  <si>
    <t>2026-08-11</t>
  </si>
  <si>
    <t>PSA: Steam users have been hit by a cyber attack, ‘expect fake messages’</t>
  </si>
  <si>
    <r>
      <rPr>
        <sz val="10"/>
        <rFont val="Arial"/>
        <family val="2"/>
      </rPr>
      <t>PSA</t>
    </r>
    <r>
      <rPr>
        <sz val="10"/>
        <rFont val="Noto Sans CJK SC"/>
        <family val="2"/>
      </rPr>
      <t>：</t>
    </r>
    <r>
      <rPr>
        <sz val="10"/>
        <rFont val="Arial"/>
        <family val="2"/>
      </rPr>
      <t xml:space="preserve">Steam </t>
    </r>
    <r>
      <rPr>
        <sz val="10"/>
        <rFont val="Noto Sans CJK SC"/>
        <family val="2"/>
      </rPr>
      <t>用戶遭受網路攻擊，“預計會出現虛假消息”</t>
    </r>
  </si>
  <si>
    <t>Destructoid</t>
  </si>
  <si>
    <t>5aadece27ff463eaa8dce614</t>
  </si>
  <si>
    <t>2026-08-12</t>
  </si>
  <si>
    <t>CRWD</t>
  </si>
  <si>
    <t>CrowdStrike</t>
  </si>
  <si>
    <t>AI驚傳脫序駭客事件！資安成下一波投資熱潮 專家點名 Palo Alto、CrowdStrike率先受惠</t>
  </si>
  <si>
    <r>
      <rPr>
        <sz val="10"/>
        <rFont val="Arial"/>
        <family val="2"/>
      </rPr>
      <t>AI</t>
    </r>
    <r>
      <rPr>
        <sz val="10"/>
        <rFont val="Noto Sans CJK SC"/>
        <family val="2"/>
      </rPr>
      <t xml:space="preserve">驚傳脫序駭客事件！資安成下一波投資熱潮 專家點名 </t>
    </r>
    <r>
      <rPr>
        <sz val="10"/>
        <rFont val="Arial"/>
        <family val="2"/>
      </rPr>
      <t>Palo Alto</t>
    </r>
    <r>
      <rPr>
        <sz val="10"/>
        <rFont val="Noto Sans CJK SC"/>
        <family val="2"/>
      </rPr>
      <t>、</t>
    </r>
    <r>
      <rPr>
        <sz val="10"/>
        <rFont val="Arial"/>
        <family val="2"/>
      </rPr>
      <t>CrowdStrike</t>
    </r>
    <r>
      <rPr>
        <sz val="10"/>
        <rFont val="Noto Sans CJK SC"/>
        <family val="2"/>
      </rPr>
      <t>率先受惠</t>
    </r>
  </si>
  <si>
    <t>鉅亨網</t>
  </si>
  <si>
    <t>資安股投資評論／財報，不是這些公司遭攻擊。</t>
  </si>
  <si>
    <t>02141c3c46d649e9c1225f18</t>
  </si>
  <si>
    <t>2026-09-02</t>
  </si>
  <si>
    <t>PANW</t>
  </si>
  <si>
    <t>Palo Alto Networks, Inc.</t>
  </si>
  <si>
    <t>AI資安需求升温，Palo Alto Networks Q4業績及指引均勝預期</t>
  </si>
  <si>
    <t>604f5199f8da58eb0972fb4b</t>
  </si>
  <si>
    <t>2026-09-09</t>
  </si>
  <si>
    <t>T</t>
  </si>
  <si>
    <t>AT&amp;T Inc.</t>
  </si>
  <si>
    <t>Iranian group claims responsibility for AT&amp;T cyber attack</t>
  </si>
  <si>
    <t>FOX 4 News Dallas-Fort Worth</t>
  </si>
  <si>
    <r>
      <rPr>
        <sz val="10"/>
        <rFont val="Noto Sans CJK SC"/>
        <family val="2"/>
      </rPr>
      <t xml:space="preserve">伊朗組織宣稱對 </t>
    </r>
    <r>
      <rPr>
        <sz val="10"/>
        <rFont val="Arial"/>
        <family val="2"/>
      </rPr>
      <t xml:space="preserve">AT&amp;T </t>
    </r>
    <r>
      <rPr>
        <sz val="10"/>
        <rFont val="Noto Sans CJK SC"/>
        <family val="2"/>
      </rPr>
      <t>發動網路攻擊；屬對方宣稱，尚待證實。</t>
    </r>
  </si>
  <si>
    <t>56a8e6d9f7d9285ccbceac4d</t>
  </si>
  <si>
    <t>2026-09-10</t>
  </si>
  <si>
    <t>CSCO</t>
  </si>
  <si>
    <t>Cisco</t>
  </si>
  <si>
    <t>Cisco FMC bugs exploited by nation-state and ransomware actors (CVE-2026-20079, CVE-2026-20316)</t>
  </si>
  <si>
    <t>Help Net Security</t>
  </si>
  <si>
    <t>修改</t>
  </si>
  <si>
    <t>PRODUCT_DEFECT</t>
  </si>
  <si>
    <r>
      <rPr>
        <sz val="10"/>
        <rFont val="Arial"/>
        <family val="2"/>
      </rPr>
      <t xml:space="preserve">Cisco FMC </t>
    </r>
    <r>
      <rPr>
        <sz val="10"/>
        <rFont val="Noto Sans CJK SC"/>
        <family val="2"/>
      </rPr>
      <t>軟體漏洞被國家級與勒索軟體組織利用，屬產品瑕疵，</t>
    </r>
    <r>
      <rPr>
        <sz val="10"/>
        <rFont val="Arial"/>
        <family val="2"/>
      </rPr>
      <t xml:space="preserve">Cisco </t>
    </r>
    <r>
      <rPr>
        <sz val="10"/>
        <rFont val="Noto Sans CJK SC"/>
        <family val="2"/>
      </rPr>
      <t>本身未被入侵。</t>
    </r>
  </si>
  <si>
    <t>6d8450cf1d2478dab7cfdd9a</t>
  </si>
  <si>
    <t>2026-09-11</t>
  </si>
  <si>
    <t>Cisco FMC Flaws Exploited to Steal Credentials and Deploy Qilin Ransomware</t>
  </si>
  <si>
    <t>The Hacker News</t>
  </si>
  <si>
    <t>acb74955c92e417543c27e22</t>
  </si>
  <si>
    <t>2026-10-07</t>
  </si>
  <si>
    <t>BA</t>
  </si>
  <si>
    <t>Boeing</t>
  </si>
  <si>
    <t>Ransomware gang targets FlyDubai - and says it has Boeing's code</t>
  </si>
  <si>
    <t>Insurance Business</t>
  </si>
  <si>
    <r>
      <rPr>
        <sz val="10"/>
        <rFont val="Noto Sans CJK SC"/>
        <family val="2"/>
      </rPr>
      <t xml:space="preserve">勒索軟體組織宣稱透過 </t>
    </r>
    <r>
      <rPr>
        <sz val="10"/>
        <rFont val="Arial"/>
        <family val="2"/>
      </rPr>
      <t xml:space="preserve">FlyDubai </t>
    </r>
    <r>
      <rPr>
        <sz val="10"/>
        <rFont val="Noto Sans CJK SC"/>
        <family val="2"/>
      </rPr>
      <t>取得波音程式碼；屬對方宣稱。</t>
    </r>
  </si>
  <si>
    <t>c4048d11214374f0ea66a073</t>
  </si>
  <si>
    <t>2026-10-09</t>
  </si>
  <si>
    <t>Flydubai and Boeing: Targets of Everest Ransomware Campaign</t>
  </si>
  <si>
    <t>Cyber Magazine</t>
  </si>
  <si>
    <t>07b4a0c0b95defc58dd555c3</t>
  </si>
  <si>
    <t>2026-08-13</t>
  </si>
  <si>
    <t>UBER</t>
  </si>
  <si>
    <t>Uber Technologies, Inc. Common Stock</t>
  </si>
  <si>
    <t>Uber Freight reportedly investigating after hacking group claims data breach</t>
  </si>
  <si>
    <r>
      <rPr>
        <sz val="10"/>
        <rFont val="Noto Sans CJK SC"/>
        <family val="2"/>
      </rPr>
      <t>據報道，</t>
    </r>
    <r>
      <rPr>
        <sz val="10"/>
        <rFont val="Arial"/>
        <family val="2"/>
      </rPr>
      <t xml:space="preserve">Uber Freight </t>
    </r>
    <r>
      <rPr>
        <sz val="10"/>
        <rFont val="Noto Sans CJK SC"/>
        <family val="2"/>
      </rPr>
      <t>在駭客組織聲稱資料外洩後正在進行調查</t>
    </r>
  </si>
  <si>
    <t>TechCrunch</t>
  </si>
  <si>
    <t>DATA_BREACH</t>
  </si>
  <si>
    <t>資料外洩</t>
  </si>
  <si>
    <r>
      <rPr>
        <sz val="10"/>
        <rFont val="Noto Sans CJK SC"/>
        <family val="2"/>
      </rPr>
      <t xml:space="preserve">駭客組織宣稱入侵 </t>
    </r>
    <r>
      <rPr>
        <sz val="10"/>
        <rFont val="Arial"/>
        <family val="2"/>
      </rPr>
      <t>Uber Freight</t>
    </r>
    <r>
      <rPr>
        <sz val="10"/>
        <rFont val="Noto Sans CJK SC"/>
        <family val="2"/>
      </rPr>
      <t>，公司調查中。</t>
    </r>
  </si>
  <si>
    <t>dd7f2946f86b0678ab55f27b</t>
  </si>
  <si>
    <t>2026-08-14</t>
  </si>
  <si>
    <t>CRM</t>
  </si>
  <si>
    <t>Salesforce, Inc. Common Stock</t>
  </si>
  <si>
    <t>Over 1,000 Charities Hit by Beacon CRM Data Breach</t>
  </si>
  <si>
    <r>
      <rPr>
        <sz val="10"/>
        <rFont val="Noto Sans CJK SC"/>
        <family val="2"/>
      </rPr>
      <t xml:space="preserve">超過 </t>
    </r>
    <r>
      <rPr>
        <sz val="10"/>
        <rFont val="Arial"/>
        <family val="2"/>
      </rPr>
      <t xml:space="preserve">1,000 </t>
    </r>
    <r>
      <rPr>
        <sz val="10"/>
        <rFont val="Noto Sans CJK SC"/>
        <family val="2"/>
      </rPr>
      <t xml:space="preserve">個慈善機構受到 </t>
    </r>
    <r>
      <rPr>
        <sz val="10"/>
        <rFont val="Arial"/>
        <family val="2"/>
      </rPr>
      <t xml:space="preserve">Beacon CRM </t>
    </r>
    <r>
      <rPr>
        <sz val="10"/>
        <rFont val="Noto Sans CJK SC"/>
        <family val="2"/>
      </rPr>
      <t>資料外洩的影響</t>
    </r>
  </si>
  <si>
    <t>SecurityWeek</t>
  </si>
  <si>
    <r>
      <rPr>
        <sz val="10"/>
        <rFont val="Arial"/>
        <family val="2"/>
      </rPr>
      <t xml:space="preserve">Beacon CRM </t>
    </r>
    <r>
      <rPr>
        <sz val="10"/>
        <rFont val="Noto Sans CJK SC"/>
        <family val="2"/>
      </rPr>
      <t xml:space="preserve">是另一家供應商，非 </t>
    </r>
    <r>
      <rPr>
        <sz val="10"/>
        <rFont val="Arial"/>
        <family val="2"/>
      </rPr>
      <t>Salesforce</t>
    </r>
    <r>
      <rPr>
        <sz val="10"/>
        <rFont val="Noto Sans CJK SC"/>
        <family val="2"/>
      </rPr>
      <t>。</t>
    </r>
  </si>
  <si>
    <t>63e55ad1310d4ec1dd5066ec</t>
  </si>
  <si>
    <t>2026-08-15</t>
  </si>
  <si>
    <t>LEN</t>
  </si>
  <si>
    <t>Lennar Corporation Class A Common Stock</t>
  </si>
  <si>
    <t>Lennar Corporation Data Breach Alert: Edelson Lechtzin LLP Launches Investigation Into Exposure of Personal Information</t>
  </si>
  <si>
    <r>
      <rPr>
        <sz val="10"/>
        <rFont val="Arial"/>
        <family val="2"/>
      </rPr>
      <t xml:space="preserve">Lennar Corporation </t>
    </r>
    <r>
      <rPr>
        <sz val="10"/>
        <rFont val="Noto Sans CJK SC"/>
        <family val="2"/>
      </rPr>
      <t>資料外洩警報：</t>
    </r>
    <r>
      <rPr>
        <sz val="10"/>
        <rFont val="Arial"/>
        <family val="2"/>
      </rPr>
      <t xml:space="preserve">Edelson Lechtzin LLP </t>
    </r>
    <r>
      <rPr>
        <sz val="10"/>
        <rFont val="Noto Sans CJK SC"/>
        <family val="2"/>
      </rPr>
      <t>啟動針對個人資訊外洩的調查</t>
    </r>
  </si>
  <si>
    <t>The Daily Tribune News</t>
  </si>
  <si>
    <r>
      <rPr>
        <sz val="10"/>
        <rFont val="Noto Sans CJK SC"/>
        <family val="2"/>
      </rPr>
      <t xml:space="preserve">律師事務所對 </t>
    </r>
    <r>
      <rPr>
        <sz val="10"/>
        <rFont val="Arial"/>
        <family val="2"/>
      </rPr>
      <t xml:space="preserve">Lennar </t>
    </r>
    <r>
      <rPr>
        <sz val="10"/>
        <rFont val="Noto Sans CJK SC"/>
        <family val="2"/>
      </rPr>
      <t>資料外洩的徵求公告，事件已有其他報導。</t>
    </r>
  </si>
  <si>
    <t>4fcff80cbae75add25c9574a</t>
  </si>
  <si>
    <t>Lennar Corporation Data Breach Alert: Edelson Lechtzin LLP</t>
  </si>
  <si>
    <r>
      <rPr>
        <sz val="10"/>
        <rFont val="Arial"/>
        <family val="2"/>
      </rPr>
      <t xml:space="preserve">Lennar </t>
    </r>
    <r>
      <rPr>
        <sz val="10"/>
        <rFont val="Noto Sans CJK SC"/>
        <family val="2"/>
      </rPr>
      <t>公司資料外洩警報：</t>
    </r>
    <r>
      <rPr>
        <sz val="10"/>
        <rFont val="Arial"/>
        <family val="2"/>
      </rPr>
      <t>Edelson Lechtzin LLP</t>
    </r>
  </si>
  <si>
    <t>GlobeNewswire</t>
  </si>
  <si>
    <t>1afc9ccb94eb0aab4b6f9d71</t>
  </si>
  <si>
    <t>Lennar Mortgage Data Breach Lawsuit Investigation</t>
  </si>
  <si>
    <r>
      <rPr>
        <sz val="10"/>
        <rFont val="Arial"/>
        <family val="2"/>
      </rPr>
      <t xml:space="preserve">Lennar </t>
    </r>
    <r>
      <rPr>
        <sz val="10"/>
        <rFont val="Noto Sans CJK SC"/>
        <family val="2"/>
      </rPr>
      <t>抵押貸款資料外洩訴訟調查</t>
    </r>
  </si>
  <si>
    <t>Claim Depot</t>
  </si>
  <si>
    <t>3369449d738b1f178a63c13a</t>
  </si>
  <si>
    <t>Lennar Mortgage Data Breach Affects 60,526 Texans</t>
  </si>
  <si>
    <r>
      <rPr>
        <sz val="10"/>
        <rFont val="Arial"/>
        <family val="2"/>
      </rPr>
      <t xml:space="preserve">Lennar </t>
    </r>
    <r>
      <rPr>
        <sz val="10"/>
        <rFont val="Noto Sans CJK SC"/>
        <family val="2"/>
      </rPr>
      <t xml:space="preserve">抵押貸款資料外洩影響 </t>
    </r>
    <r>
      <rPr>
        <sz val="10"/>
        <rFont val="Arial"/>
        <family val="2"/>
      </rPr>
      <t xml:space="preserve">60,526 </t>
    </r>
    <r>
      <rPr>
        <sz val="10"/>
        <rFont val="Noto Sans CJK SC"/>
        <family val="2"/>
      </rPr>
      <t>名德州人</t>
    </r>
  </si>
  <si>
    <r>
      <rPr>
        <sz val="10"/>
        <rFont val="Arial"/>
        <family val="2"/>
      </rPr>
      <t xml:space="preserve">Lennar Mortgage </t>
    </r>
    <r>
      <rPr>
        <sz val="10"/>
        <rFont val="Noto Sans CJK SC"/>
        <family val="2"/>
      </rPr>
      <t xml:space="preserve">資料外洩，影響 </t>
    </r>
    <r>
      <rPr>
        <sz val="10"/>
        <rFont val="Arial"/>
        <family val="2"/>
      </rPr>
      <t xml:space="preserve">60,526 </t>
    </r>
    <r>
      <rPr>
        <sz val="10"/>
        <rFont val="Noto Sans CJK SC"/>
        <family val="2"/>
      </rPr>
      <t>名德州居民（含相關訴訟）。</t>
    </r>
  </si>
  <si>
    <t>594eaa985b351c2648b735eb</t>
  </si>
  <si>
    <t>2026-08-16</t>
  </si>
  <si>
    <t>DOW</t>
  </si>
  <si>
    <t xml:space="preserve">Dow Inc. Common Stock </t>
  </si>
  <si>
    <t>Bloomberg Money Minute: Dow Hits Record High As SpaceX Plunges Canada Revenue Agency Data Breaches (Kz5b0Hg4QP)</t>
  </si>
  <si>
    <r>
      <rPr>
        <sz val="10"/>
        <rFont val="Noto Sans CJK SC"/>
        <family val="2"/>
      </rPr>
      <t xml:space="preserve">彭博財經紀要：隨著 </t>
    </r>
    <r>
      <rPr>
        <sz val="10"/>
        <rFont val="Arial"/>
        <family val="2"/>
      </rPr>
      <t xml:space="preserve">SpaceX </t>
    </r>
    <r>
      <rPr>
        <sz val="10"/>
        <rFont val="Noto Sans CJK SC"/>
        <family val="2"/>
      </rPr>
      <t xml:space="preserve">暴跌，道瓊指數創下歷史新高 加拿大稅務局資料外洩 </t>
    </r>
    <r>
      <rPr>
        <sz val="10"/>
        <rFont val="Arial"/>
        <family val="2"/>
      </rPr>
      <t>(Kz5b0Hg4QP)</t>
    </r>
  </si>
  <si>
    <t>Mshale</t>
  </si>
  <si>
    <r>
      <rPr>
        <sz val="10"/>
        <rFont val="Arial"/>
        <family val="2"/>
      </rPr>
      <t xml:space="preserve">Bloomberg </t>
    </r>
    <r>
      <rPr>
        <sz val="10"/>
        <rFont val="Noto Sans CJK SC"/>
        <family val="2"/>
      </rPr>
      <t xml:space="preserve">市場快報標題，資料外洩指加拿大稅務局，與 </t>
    </r>
    <r>
      <rPr>
        <sz val="10"/>
        <rFont val="Arial"/>
        <family val="2"/>
      </rPr>
      <t xml:space="preserve">Dow </t>
    </r>
    <r>
      <rPr>
        <sz val="10"/>
        <rFont val="Noto Sans CJK SC"/>
        <family val="2"/>
      </rPr>
      <t>無關。</t>
    </r>
  </si>
  <si>
    <t>7031ef56aea01413bbc14779</t>
  </si>
  <si>
    <t>2026-08-17</t>
  </si>
  <si>
    <t>IBM</t>
  </si>
  <si>
    <t>International Business Machines Corporat</t>
  </si>
  <si>
    <t>IBM: ASEAN data breach costs hit record US$4.12 million as AI attacks rise</t>
  </si>
  <si>
    <r>
      <rPr>
        <sz val="10"/>
        <rFont val="Arial"/>
        <family val="2"/>
      </rPr>
      <t>IBM</t>
    </r>
    <r>
      <rPr>
        <sz val="10"/>
        <rFont val="Noto Sans CJK SC"/>
        <family val="2"/>
      </rPr>
      <t xml:space="preserve">：隨著人工智慧攻擊的增加，東協資料外洩成本達到創紀錄的 </t>
    </r>
    <r>
      <rPr>
        <sz val="10"/>
        <rFont val="Arial"/>
        <family val="2"/>
      </rPr>
      <t xml:space="preserve">412 </t>
    </r>
    <r>
      <rPr>
        <sz val="10"/>
        <rFont val="Noto Sans CJK SC"/>
        <family val="2"/>
      </rPr>
      <t>萬美元</t>
    </r>
  </si>
  <si>
    <t>crnasia.com</t>
  </si>
  <si>
    <r>
      <rPr>
        <sz val="10"/>
        <rFont val="Arial"/>
        <family val="2"/>
      </rPr>
      <t xml:space="preserve">IBM </t>
    </r>
    <r>
      <rPr>
        <sz val="10"/>
        <rFont val="Noto Sans CJK SC"/>
        <family val="2"/>
      </rPr>
      <t xml:space="preserve">發布的資料外洩成本報告，不是 </t>
    </r>
    <r>
      <rPr>
        <sz val="10"/>
        <rFont val="Arial"/>
        <family val="2"/>
      </rPr>
      <t xml:space="preserve">IBM </t>
    </r>
    <r>
      <rPr>
        <sz val="10"/>
        <rFont val="Noto Sans CJK SC"/>
        <family val="2"/>
      </rPr>
      <t>自身事件。</t>
    </r>
  </si>
  <si>
    <t>9cecc970db7ffabca16030b6</t>
  </si>
  <si>
    <t>2026-08-19</t>
  </si>
  <si>
    <t>News - Lennar Mortgage data breach exposes personal information of more than 60,000 Texans</t>
  </si>
  <si>
    <t>teiss</t>
  </si>
  <si>
    <t>98248d8bb5062e16bbdce959</t>
  </si>
  <si>
    <t>2026-08-20</t>
  </si>
  <si>
    <t>CTSH</t>
  </si>
  <si>
    <t>Cognizant</t>
  </si>
  <si>
    <t>Cognizant Data Breach Lawsuit Investigation</t>
  </si>
  <si>
    <t>低</t>
  </si>
  <si>
    <r>
      <rPr>
        <sz val="10"/>
        <rFont val="Noto Sans CJK SC"/>
        <family val="2"/>
      </rPr>
      <t>「</t>
    </r>
    <r>
      <rPr>
        <sz val="10"/>
        <rFont val="Arial"/>
        <family val="2"/>
      </rPr>
      <t xml:space="preserve">Cognizant </t>
    </r>
    <r>
      <rPr>
        <sz val="10"/>
        <rFont val="Noto Sans CJK SC"/>
        <family val="2"/>
      </rPr>
      <t>資料外洩訴訟調查」，內容僅為標題，請看原文確認是否有實際外洩。</t>
    </r>
  </si>
  <si>
    <t>是</t>
  </si>
  <si>
    <t>3d33575d263b136c4a43c7fa</t>
  </si>
  <si>
    <t>IBM’s 2026 Data Breach Report: Houston, We Have A Problem</t>
  </si>
  <si>
    <t>Above the Law</t>
  </si>
  <si>
    <t>b5fb7ce9cc34eee18630b78a</t>
  </si>
  <si>
    <t>2026-08-21</t>
  </si>
  <si>
    <t>APO</t>
  </si>
  <si>
    <t>Apollo Global Management</t>
  </si>
  <si>
    <t>Apollo Global Management Data Breach Impacts SSNs; Lawsuit Possible</t>
  </si>
  <si>
    <t>classaction.org</t>
  </si>
  <si>
    <r>
      <rPr>
        <sz val="10"/>
        <rFont val="Arial"/>
        <family val="2"/>
      </rPr>
      <t xml:space="preserve">Apollo </t>
    </r>
    <r>
      <rPr>
        <sz val="10"/>
        <rFont val="Noto Sans CJK SC"/>
        <family val="2"/>
      </rPr>
      <t>資料外洩涉及社會安全號碼，可能提起訴訟。</t>
    </r>
  </si>
  <si>
    <t>95def5878b484fab12e3ab5e</t>
  </si>
  <si>
    <t>2026-09-03</t>
  </si>
  <si>
    <t>DVA</t>
  </si>
  <si>
    <t>DaVita Inc. Common Stock</t>
  </si>
  <si>
    <t>DaVita agrees to pay $15M to settle claims from data breach</t>
  </si>
  <si>
    <t>Healthcare Dive</t>
  </si>
  <si>
    <r>
      <rPr>
        <sz val="10"/>
        <rFont val="Arial"/>
        <family val="2"/>
      </rPr>
      <t xml:space="preserve">DaVita </t>
    </r>
    <r>
      <rPr>
        <sz val="10"/>
        <rFont val="Noto Sans CJK SC"/>
        <family val="2"/>
      </rPr>
      <t xml:space="preserve">以 </t>
    </r>
    <r>
      <rPr>
        <sz val="10"/>
        <rFont val="Arial"/>
        <family val="2"/>
      </rPr>
      <t xml:space="preserve">1,500 </t>
    </r>
    <r>
      <rPr>
        <sz val="10"/>
        <rFont val="Noto Sans CJK SC"/>
        <family val="2"/>
      </rPr>
      <t>萬美元和解資料外洩索賠。</t>
    </r>
  </si>
  <si>
    <t>a18c5f8cc1d23cf00e4d9c8a</t>
  </si>
  <si>
    <t>2026-09-08</t>
  </si>
  <si>
    <t>Lennar data breach lawsuit takes aim at company’s lax data security</t>
  </si>
  <si>
    <t>Top Class Actions</t>
  </si>
  <si>
    <t>684239e1c4e7e3d7964a7f70</t>
  </si>
  <si>
    <t>2026-09-17</t>
  </si>
  <si>
    <t>IBM, J&amp;J Get Incurable Data Breach Suit Tossed For Good</t>
  </si>
  <si>
    <t>Law360</t>
  </si>
  <si>
    <r>
      <rPr>
        <sz val="10"/>
        <rFont val="Arial"/>
        <family val="2"/>
      </rPr>
      <t>IBM</t>
    </r>
    <r>
      <rPr>
        <sz val="10"/>
        <rFont val="Noto Sans CJK SC"/>
        <family val="2"/>
      </rPr>
      <t>、</t>
    </r>
    <r>
      <rPr>
        <sz val="10"/>
        <rFont val="Arial"/>
        <family val="2"/>
      </rPr>
      <t xml:space="preserve">J&amp;J </t>
    </r>
    <r>
      <rPr>
        <sz val="10"/>
        <rFont val="Noto Sans CJK SC"/>
        <family val="2"/>
      </rPr>
      <t>的資料外洩訴訟被永久駁回，對公司為正面。</t>
    </r>
  </si>
  <si>
    <t>6ce8773304d44f52a85c5ca6</t>
  </si>
  <si>
    <t>2026-09-25</t>
  </si>
  <si>
    <t>LH</t>
  </si>
  <si>
    <t>Labcorp</t>
  </si>
  <si>
    <t>Labcorp Settles Multistate Data Breach Investigation for $2.3 Million</t>
  </si>
  <si>
    <t>The HIPAA Journal</t>
  </si>
  <si>
    <r>
      <rPr>
        <sz val="10"/>
        <rFont val="Arial"/>
        <family val="2"/>
      </rPr>
      <t xml:space="preserve">Labcorp </t>
    </r>
    <r>
      <rPr>
        <sz val="10"/>
        <rFont val="Noto Sans CJK SC"/>
        <family val="2"/>
      </rPr>
      <t xml:space="preserve">以 </t>
    </r>
    <r>
      <rPr>
        <sz val="10"/>
        <rFont val="Arial"/>
        <family val="2"/>
      </rPr>
      <t xml:space="preserve">230 </t>
    </r>
    <r>
      <rPr>
        <sz val="10"/>
        <rFont val="Noto Sans CJK SC"/>
        <family val="2"/>
      </rPr>
      <t>萬美元和解多州資料外洩調查。</t>
    </r>
  </si>
  <si>
    <t>23ba8f3784dba1f0cb7e8c17</t>
  </si>
  <si>
    <t>2026-10-05</t>
  </si>
  <si>
    <t>ACN</t>
  </si>
  <si>
    <t>Accenture plc Class A Ordinary Shares (I</t>
  </si>
  <si>
    <t>EXCLUSIVE: Accenture contractor removed from FBI following damaging data breach, sources say</t>
  </si>
  <si>
    <t>Reuters</t>
  </si>
  <si>
    <r>
      <rPr>
        <sz val="10"/>
        <rFont val="Arial"/>
        <family val="2"/>
      </rPr>
      <t xml:space="preserve">FBI </t>
    </r>
    <r>
      <rPr>
        <sz val="10"/>
        <rFont val="Noto Sans CJK SC"/>
        <family val="2"/>
      </rPr>
      <t xml:space="preserve">因資料外洩與未修補漏洞，終止與 </t>
    </r>
    <r>
      <rPr>
        <sz val="10"/>
        <rFont val="Arial"/>
        <family val="2"/>
      </rPr>
      <t xml:space="preserve">Accenture </t>
    </r>
    <r>
      <rPr>
        <sz val="10"/>
        <rFont val="Noto Sans CJK SC"/>
        <family val="2"/>
      </rPr>
      <t>承包商合作。</t>
    </r>
  </si>
  <si>
    <t>0c94db61ca0b7844387a6c13</t>
  </si>
  <si>
    <t>2026-10-06</t>
  </si>
  <si>
    <t>FBI Cuts Ties With Accenture After Missed Security Patch Linked To Data Breach</t>
  </si>
  <si>
    <t>LinkedIn</t>
  </si>
  <si>
    <t>e670fbcc9435d64e497e916b</t>
  </si>
  <si>
    <t>FBI removed an Accenture contractor after a data breach exposed thousands of employees' records</t>
  </si>
  <si>
    <t>Quartz</t>
  </si>
  <si>
    <t>3c3c6443bddbd1fa0ca616a7</t>
  </si>
  <si>
    <t>2026-10-08</t>
  </si>
  <si>
    <t>GS</t>
  </si>
  <si>
    <t>Goldman Sachs</t>
  </si>
  <si>
    <t>Goldman Sachs Ensnared in EY Data Breach Earlier This Year</t>
  </si>
  <si>
    <t>Claims Journal</t>
  </si>
  <si>
    <r>
      <rPr>
        <sz val="10"/>
        <rFont val="Arial"/>
        <family val="2"/>
      </rPr>
      <t xml:space="preserve">Goldman Sachs </t>
    </r>
    <r>
      <rPr>
        <sz val="10"/>
        <rFont val="Noto Sans CJK SC"/>
        <family val="2"/>
      </rPr>
      <t xml:space="preserve">受 </t>
    </r>
    <r>
      <rPr>
        <sz val="10"/>
        <rFont val="Arial"/>
        <family val="2"/>
      </rPr>
      <t xml:space="preserve">EY </t>
    </r>
    <r>
      <rPr>
        <sz val="10"/>
        <rFont val="Noto Sans CJK SC"/>
        <family val="2"/>
      </rPr>
      <t>資料外洩牽連（第三方事件）。</t>
    </r>
  </si>
  <si>
    <t>0c48ccb7c65f57c24ba2ac79</t>
  </si>
  <si>
    <t>2026-10-15</t>
  </si>
  <si>
    <t>CNP</t>
  </si>
  <si>
    <t>CenterPoint Energy</t>
  </si>
  <si>
    <t>1M Impacted by CenterPoint Energy Data Breach</t>
  </si>
  <si>
    <r>
      <rPr>
        <sz val="10"/>
        <rFont val="Arial"/>
        <family val="2"/>
      </rPr>
      <t xml:space="preserve">100 </t>
    </r>
    <r>
      <rPr>
        <sz val="10"/>
        <rFont val="Noto Sans CJK SC"/>
        <family val="2"/>
      </rPr>
      <t xml:space="preserve">萬人受到 </t>
    </r>
    <r>
      <rPr>
        <sz val="10"/>
        <rFont val="Arial"/>
        <family val="2"/>
      </rPr>
      <t xml:space="preserve">CenterPoint </t>
    </r>
    <r>
      <rPr>
        <sz val="10"/>
        <rFont val="Noto Sans CJK SC"/>
        <family val="2"/>
      </rPr>
      <t>能源資料外洩的影響</t>
    </r>
  </si>
  <si>
    <t>Security Magazine</t>
  </si>
  <si>
    <r>
      <rPr>
        <sz val="10"/>
        <rFont val="Arial"/>
        <family val="2"/>
      </rPr>
      <t xml:space="preserve">CenterPoint Energy </t>
    </r>
    <r>
      <rPr>
        <sz val="10"/>
        <rFont val="Noto Sans CJK SC"/>
        <family val="2"/>
      </rPr>
      <t xml:space="preserve">資料外洩影響逾 </t>
    </r>
    <r>
      <rPr>
        <sz val="10"/>
        <rFont val="Arial"/>
        <family val="2"/>
      </rPr>
      <t xml:space="preserve">100 </t>
    </r>
    <r>
      <rPr>
        <sz val="10"/>
        <rFont val="Noto Sans CJK SC"/>
        <family val="2"/>
      </rPr>
      <t>萬名客戶。</t>
    </r>
  </si>
  <si>
    <t>526c02dc8a51f4dfb3eed28b</t>
  </si>
  <si>
    <t>More than 1 million customers affected in CenterPoint Energy data breach, Texas DA’s office says</t>
  </si>
  <si>
    <r>
      <rPr>
        <sz val="10"/>
        <rFont val="Noto Sans CJK SC"/>
        <family val="2"/>
      </rPr>
      <t xml:space="preserve">德州地方檢察官辦公室表示，超過 </t>
    </r>
    <r>
      <rPr>
        <sz val="10"/>
        <rFont val="Arial"/>
        <family val="2"/>
      </rPr>
      <t xml:space="preserve">100 </t>
    </r>
    <r>
      <rPr>
        <sz val="10"/>
        <rFont val="Noto Sans CJK SC"/>
        <family val="2"/>
      </rPr>
      <t xml:space="preserve">萬名客戶因 </t>
    </r>
    <r>
      <rPr>
        <sz val="10"/>
        <rFont val="Arial"/>
        <family val="2"/>
      </rPr>
      <t xml:space="preserve">CenterPoint Energy </t>
    </r>
    <r>
      <rPr>
        <sz val="10"/>
        <rFont val="Noto Sans CJK SC"/>
        <family val="2"/>
      </rPr>
      <t>資料外洩而受到影響</t>
    </r>
  </si>
  <si>
    <t>CW39 Houston</t>
  </si>
  <si>
    <t>a160021d837a200295fca910</t>
  </si>
  <si>
    <t>CenterPoint Energy Data Breach Impacts 1 Million Texans</t>
  </si>
  <si>
    <r>
      <rPr>
        <sz val="10"/>
        <rFont val="Arial"/>
        <family val="2"/>
      </rPr>
      <t xml:space="preserve">CenterPoint </t>
    </r>
    <r>
      <rPr>
        <sz val="10"/>
        <rFont val="Noto Sans CJK SC"/>
        <family val="2"/>
      </rPr>
      <t xml:space="preserve">能源資料外洩影響 </t>
    </r>
    <r>
      <rPr>
        <sz val="10"/>
        <rFont val="Arial"/>
        <family val="2"/>
      </rPr>
      <t xml:space="preserve">100 </t>
    </r>
    <r>
      <rPr>
        <sz val="10"/>
        <rFont val="Noto Sans CJK SC"/>
        <family val="2"/>
      </rPr>
      <t>萬德州人</t>
    </r>
  </si>
  <si>
    <t>fa26c8a2a64ef24eee780b89</t>
  </si>
  <si>
    <t>More than 1 million customers impacted by CenterPoint Energy data breach, AG report filing shows</t>
  </si>
  <si>
    <r>
      <rPr>
        <sz val="10"/>
        <rFont val="Arial"/>
        <family val="2"/>
      </rPr>
      <t xml:space="preserve">AG </t>
    </r>
    <r>
      <rPr>
        <sz val="10"/>
        <rFont val="Noto Sans CJK SC"/>
        <family val="2"/>
      </rPr>
      <t xml:space="preserve">報告顯示，超過 </t>
    </r>
    <r>
      <rPr>
        <sz val="10"/>
        <rFont val="Arial"/>
        <family val="2"/>
      </rPr>
      <t xml:space="preserve">100 </t>
    </r>
    <r>
      <rPr>
        <sz val="10"/>
        <rFont val="Noto Sans CJK SC"/>
        <family val="2"/>
      </rPr>
      <t xml:space="preserve">萬名客戶受到 </t>
    </r>
    <r>
      <rPr>
        <sz val="10"/>
        <rFont val="Arial"/>
        <family val="2"/>
      </rPr>
      <t xml:space="preserve">CenterPoint Energy </t>
    </r>
    <r>
      <rPr>
        <sz val="10"/>
        <rFont val="Noto Sans CJK SC"/>
        <family val="2"/>
      </rPr>
      <t>資料外洩的影響</t>
    </r>
  </si>
  <si>
    <t>ABC13 Houston</t>
  </si>
  <si>
    <t>28f260be7eac8f93590dbec7</t>
  </si>
  <si>
    <t>META</t>
  </si>
  <si>
    <t>Meta Platforms, Inc.</t>
  </si>
  <si>
    <t>Cathie Wood's Ark Piled Into Nvidia and Taiwan Semiconductor After Meta's Earnings Miss. Here's What It Signals for Artificial Intelligence (AI) Stocks.</t>
  </si>
  <si>
    <r>
      <rPr>
        <sz val="10"/>
        <rFont val="Arial"/>
        <family val="2"/>
      </rPr>
      <t xml:space="preserve">Meta </t>
    </r>
    <r>
      <rPr>
        <sz val="10"/>
        <rFont val="Noto Sans CJK SC"/>
        <family val="2"/>
      </rPr>
      <t>的獲利未達標後，</t>
    </r>
    <r>
      <rPr>
        <sz val="10"/>
        <rFont val="Arial"/>
        <family val="2"/>
      </rPr>
      <t xml:space="preserve">Cathie Wood </t>
    </r>
    <r>
      <rPr>
        <sz val="10"/>
        <rFont val="Noto Sans CJK SC"/>
        <family val="2"/>
      </rPr>
      <t xml:space="preserve">的方舟紛紛買進英偉達和台積電。以下是人工智慧 </t>
    </r>
    <r>
      <rPr>
        <sz val="10"/>
        <rFont val="Arial"/>
        <family val="2"/>
      </rPr>
      <t xml:space="preserve">(AI) </t>
    </r>
    <r>
      <rPr>
        <sz val="10"/>
        <rFont val="Noto Sans CJK SC"/>
        <family val="2"/>
      </rPr>
      <t>股票的訊號。</t>
    </r>
  </si>
  <si>
    <t>The Motley Fool</t>
  </si>
  <si>
    <t>EARNINGS_MISS</t>
  </si>
  <si>
    <t>財報不如預期</t>
  </si>
  <si>
    <r>
      <rPr>
        <sz val="10"/>
        <rFont val="Arial"/>
        <family val="2"/>
      </rPr>
      <t xml:space="preserve">Ark </t>
    </r>
    <r>
      <rPr>
        <sz val="10"/>
        <rFont val="Noto Sans CJK SC"/>
        <family val="2"/>
      </rPr>
      <t xml:space="preserve">基金交易評論，只提到 </t>
    </r>
    <r>
      <rPr>
        <sz val="10"/>
        <rFont val="Arial"/>
        <family val="2"/>
      </rPr>
      <t xml:space="preserve">Meta </t>
    </r>
    <r>
      <rPr>
        <sz val="10"/>
        <rFont val="Noto Sans CJK SC"/>
        <family val="2"/>
      </rPr>
      <t>財報不如預期，不是公司事件本身。</t>
    </r>
  </si>
  <si>
    <t>705eabf69f239b628c12d34f</t>
  </si>
  <si>
    <t>NVDA</t>
  </si>
  <si>
    <t>NVIDIA Corporation</t>
  </si>
  <si>
    <t>Yahoo Finance</t>
  </si>
  <si>
    <t>280826a9a8d021b3b0a3a85c</t>
  </si>
  <si>
    <t>DRI</t>
  </si>
  <si>
    <t>Darden Restaurants, Inc. Common Stock</t>
  </si>
  <si>
    <t>Earnings call transcript: DRI Healthcare Trust posts record Q2 2026 results despite EPS miss</t>
  </si>
  <si>
    <r>
      <rPr>
        <sz val="10"/>
        <rFont val="Noto Sans CJK SC"/>
        <family val="2"/>
      </rPr>
      <t xml:space="preserve">財報電話會議記錄：儘管 </t>
    </r>
    <r>
      <rPr>
        <sz val="10"/>
        <rFont val="Arial"/>
        <family val="2"/>
      </rPr>
      <t xml:space="preserve">EPS </t>
    </r>
    <r>
      <rPr>
        <sz val="10"/>
        <rFont val="Noto Sans CJK SC"/>
        <family val="2"/>
      </rPr>
      <t>未達預期，</t>
    </r>
    <r>
      <rPr>
        <sz val="10"/>
        <rFont val="Arial"/>
        <family val="2"/>
      </rPr>
      <t xml:space="preserve">DRI </t>
    </r>
    <r>
      <rPr>
        <sz val="10"/>
        <rFont val="Noto Sans CJK SC"/>
        <family val="2"/>
      </rPr>
      <t xml:space="preserve">醫療保健信託仍公佈 </t>
    </r>
    <r>
      <rPr>
        <sz val="10"/>
        <rFont val="Arial"/>
        <family val="2"/>
      </rPr>
      <t xml:space="preserve">2026 </t>
    </r>
    <r>
      <rPr>
        <sz val="10"/>
        <rFont val="Noto Sans CJK SC"/>
        <family val="2"/>
      </rPr>
      <t>年第二季創紀錄業績</t>
    </r>
  </si>
  <si>
    <t>Investing.com</t>
  </si>
  <si>
    <r>
      <rPr>
        <sz val="10"/>
        <rFont val="Arial"/>
        <family val="2"/>
      </rPr>
      <t xml:space="preserve">DRI Healthcare Trust </t>
    </r>
    <r>
      <rPr>
        <sz val="10"/>
        <rFont val="Noto Sans CJK SC"/>
        <family val="2"/>
      </rPr>
      <t xml:space="preserve">與 </t>
    </r>
    <r>
      <rPr>
        <sz val="10"/>
        <rFont val="Arial"/>
        <family val="2"/>
      </rPr>
      <t xml:space="preserve">Darden </t>
    </r>
    <r>
      <rPr>
        <sz val="10"/>
        <rFont val="Noto Sans CJK SC"/>
        <family val="2"/>
      </rPr>
      <t>無關（公司誤配）。</t>
    </r>
  </si>
  <si>
    <t>67ddb0f5f237ddb8c67fcffd</t>
  </si>
  <si>
    <t>TKO</t>
  </si>
  <si>
    <t xml:space="preserve">TKO Group Holdings, Inc. Class A Common </t>
  </si>
  <si>
    <t>Taseko Mines Ltd TKO Earnings Miss Estimates by 8.3%</t>
  </si>
  <si>
    <r>
      <rPr>
        <sz val="10"/>
        <rFont val="Arial"/>
        <family val="2"/>
      </rPr>
      <t xml:space="preserve">Taseko Mines Ltd TKO </t>
    </r>
    <r>
      <rPr>
        <sz val="10"/>
        <rFont val="Noto Sans CJK SC"/>
        <family val="2"/>
      </rPr>
      <t xml:space="preserve">獲利比預期低 </t>
    </r>
    <r>
      <rPr>
        <sz val="10"/>
        <rFont val="Arial"/>
        <family val="2"/>
      </rPr>
      <t>8.3%</t>
    </r>
  </si>
  <si>
    <t>Wealth Awesome</t>
  </si>
  <si>
    <r>
      <rPr>
        <sz val="10"/>
        <rFont val="Arial"/>
        <family val="2"/>
      </rPr>
      <t xml:space="preserve">Taseko Mines </t>
    </r>
    <r>
      <rPr>
        <sz val="10"/>
        <rFont val="Noto Sans CJK SC"/>
        <family val="2"/>
      </rPr>
      <t xml:space="preserve">與 </t>
    </r>
    <r>
      <rPr>
        <sz val="10"/>
        <rFont val="Arial"/>
        <family val="2"/>
      </rPr>
      <t xml:space="preserve">TKO </t>
    </r>
    <r>
      <rPr>
        <sz val="10"/>
        <rFont val="Noto Sans CJK SC"/>
        <family val="2"/>
      </rPr>
      <t>無關（公司誤配）。</t>
    </r>
  </si>
  <si>
    <t>9180002e6f5b989445a148b4</t>
  </si>
  <si>
    <t>DRI Healthcare Trust DHT-UN Earnings Miss Estimates by 6.7%</t>
  </si>
  <si>
    <r>
      <rPr>
        <sz val="10"/>
        <rFont val="Arial"/>
        <family val="2"/>
      </rPr>
      <t xml:space="preserve">DRI </t>
    </r>
    <r>
      <rPr>
        <sz val="10"/>
        <rFont val="Noto Sans CJK SC"/>
        <family val="2"/>
      </rPr>
      <t xml:space="preserve">醫療保健信託基金 </t>
    </r>
    <r>
      <rPr>
        <sz val="10"/>
        <rFont val="Arial"/>
        <family val="2"/>
      </rPr>
      <t xml:space="preserve">DHT-UN </t>
    </r>
    <r>
      <rPr>
        <sz val="10"/>
        <rFont val="Noto Sans CJK SC"/>
        <family val="2"/>
      </rPr>
      <t xml:space="preserve">獲利比預期低 </t>
    </r>
    <r>
      <rPr>
        <sz val="10"/>
        <rFont val="Arial"/>
        <family val="2"/>
      </rPr>
      <t>6.7%</t>
    </r>
  </si>
  <si>
    <t>f5de0fb43bfb05f0ce34f1bf</t>
  </si>
  <si>
    <t>DRI Healthcare Trust DHT-U Earnings Miss Estimates by 81.7%</t>
  </si>
  <si>
    <r>
      <rPr>
        <sz val="10"/>
        <rFont val="Arial"/>
        <family val="2"/>
      </rPr>
      <t xml:space="preserve">DRI </t>
    </r>
    <r>
      <rPr>
        <sz val="10"/>
        <rFont val="Noto Sans CJK SC"/>
        <family val="2"/>
      </rPr>
      <t xml:space="preserve">醫療保健信託基金 </t>
    </r>
    <r>
      <rPr>
        <sz val="10"/>
        <rFont val="Arial"/>
        <family val="2"/>
      </rPr>
      <t xml:space="preserve">DHT-U </t>
    </r>
    <r>
      <rPr>
        <sz val="10"/>
        <rFont val="Noto Sans CJK SC"/>
        <family val="2"/>
      </rPr>
      <t xml:space="preserve">獲利比預期低 </t>
    </r>
    <r>
      <rPr>
        <sz val="10"/>
        <rFont val="Arial"/>
        <family val="2"/>
      </rPr>
      <t>81.7%</t>
    </r>
  </si>
  <si>
    <t>41eb27f3a18a6fc6608d1bb7</t>
  </si>
  <si>
    <t>PNC</t>
  </si>
  <si>
    <t>PNC Financial Services</t>
  </si>
  <si>
    <t>Earnings call transcript: PNC Infratech Q1 2027 profit miss sparks 6.3% drop</t>
  </si>
  <si>
    <r>
      <rPr>
        <sz val="10"/>
        <rFont val="Noto Sans CJK SC"/>
        <family val="2"/>
      </rPr>
      <t>財報電話會議紀錄：</t>
    </r>
    <r>
      <rPr>
        <sz val="10"/>
        <rFont val="Arial"/>
        <family val="2"/>
      </rPr>
      <t xml:space="preserve">PNC Infratech 2027 </t>
    </r>
    <r>
      <rPr>
        <sz val="10"/>
        <rFont val="Noto Sans CJK SC"/>
        <family val="2"/>
      </rPr>
      <t xml:space="preserve">年第一季獲利未達標導致下降 </t>
    </r>
    <r>
      <rPr>
        <sz val="10"/>
        <rFont val="Arial"/>
        <family val="2"/>
      </rPr>
      <t>6.3%</t>
    </r>
  </si>
  <si>
    <r>
      <rPr>
        <sz val="10"/>
        <rFont val="Arial"/>
        <family val="2"/>
      </rPr>
      <t xml:space="preserve">PNC Infratech </t>
    </r>
    <r>
      <rPr>
        <sz val="10"/>
        <rFont val="Noto Sans CJK SC"/>
        <family val="2"/>
      </rPr>
      <t xml:space="preserve">與 </t>
    </r>
    <r>
      <rPr>
        <sz val="10"/>
        <rFont val="Arial"/>
        <family val="2"/>
      </rPr>
      <t xml:space="preserve">PNC Financial </t>
    </r>
    <r>
      <rPr>
        <sz val="10"/>
        <rFont val="Noto Sans CJK SC"/>
        <family val="2"/>
      </rPr>
      <t>無關（公司誤配）。</t>
    </r>
  </si>
  <si>
    <t>d1b2fe254dbd40c0fe61ddea</t>
  </si>
  <si>
    <t>EA</t>
  </si>
  <si>
    <t>Electronic Arts</t>
  </si>
  <si>
    <t>Electronic Arts Stock Exits Nasdaq at $209.70 as Deal Mechanics Eclipse Earnings Miss</t>
  </si>
  <si>
    <r>
      <rPr>
        <sz val="10"/>
        <rFont val="Noto Sans CJK SC"/>
        <family val="2"/>
      </rPr>
      <t xml:space="preserve">藝電股票以 </t>
    </r>
    <r>
      <rPr>
        <sz val="10"/>
        <rFont val="Arial"/>
        <family val="2"/>
      </rPr>
      <t xml:space="preserve">209.70 </t>
    </r>
    <r>
      <rPr>
        <sz val="10"/>
        <rFont val="Noto Sans CJK SC"/>
        <family val="2"/>
      </rPr>
      <t>美元退出納斯達克，交易機制讓獲利黯然失色</t>
    </r>
  </si>
  <si>
    <t>TechStock²</t>
  </si>
  <si>
    <r>
      <rPr>
        <sz val="10"/>
        <rFont val="Arial"/>
        <family val="2"/>
      </rPr>
      <t xml:space="preserve">EA </t>
    </r>
    <r>
      <rPr>
        <sz val="10"/>
        <rFont val="Noto Sans CJK SC"/>
        <family val="2"/>
      </rPr>
      <t>完成私有化下市，財報不如預期已不重要。</t>
    </r>
  </si>
  <si>
    <t>bde2eb909d061bb6427dee53</t>
  </si>
  <si>
    <t>SPG</t>
  </si>
  <si>
    <t>Simon Property Group, Inc. Common Stock</t>
  </si>
  <si>
    <t>Simon Property Group (SPG) Releases Q2 2026 Earnings: Revenue Beats, EPS Misses</t>
  </si>
  <si>
    <r>
      <rPr>
        <sz val="10"/>
        <rFont val="Noto Sans CJK SC"/>
        <family val="2"/>
      </rPr>
      <t xml:space="preserve">西蒙地產集團 </t>
    </r>
    <r>
      <rPr>
        <sz val="10"/>
        <rFont val="Arial"/>
        <family val="2"/>
      </rPr>
      <t xml:space="preserve">(SPG) </t>
    </r>
    <r>
      <rPr>
        <sz val="10"/>
        <rFont val="Noto Sans CJK SC"/>
        <family val="2"/>
      </rPr>
      <t xml:space="preserve">發布 </t>
    </r>
    <r>
      <rPr>
        <sz val="10"/>
        <rFont val="Arial"/>
        <family val="2"/>
      </rPr>
      <t xml:space="preserve">2026 </t>
    </r>
    <r>
      <rPr>
        <sz val="10"/>
        <rFont val="Noto Sans CJK SC"/>
        <family val="2"/>
      </rPr>
      <t>年第二季收益：營收超出預期，每股收益低於預期</t>
    </r>
  </si>
  <si>
    <t>Quiver Quantitative</t>
  </si>
  <si>
    <r>
      <rPr>
        <sz val="10"/>
        <rFont val="Noto Sans CJK SC"/>
        <family val="2"/>
      </rPr>
      <t>財報好壞參半（</t>
    </r>
    <r>
      <rPr>
        <sz val="10"/>
        <rFont val="Arial"/>
        <family val="2"/>
      </rPr>
      <t xml:space="preserve">EPS </t>
    </r>
    <r>
      <rPr>
        <sz val="10"/>
        <rFont val="Noto Sans CJK SC"/>
        <family val="2"/>
      </rPr>
      <t>或營收其中之一未達預期），股價未顯著受壓。</t>
    </r>
  </si>
  <si>
    <t>e17452ecc46732ee392bc375</t>
  </si>
  <si>
    <t>IP</t>
  </si>
  <si>
    <t>International Paper</t>
  </si>
  <si>
    <t>WEBTOON Q2 revenue slightly misses estimates on lower Paid Content and IP Adaptations</t>
  </si>
  <si>
    <r>
      <rPr>
        <sz val="10"/>
        <rFont val="Noto Sans CJK SC"/>
        <family val="2"/>
      </rPr>
      <t xml:space="preserve">由於付費內容和 </t>
    </r>
    <r>
      <rPr>
        <sz val="10"/>
        <rFont val="Arial"/>
        <family val="2"/>
      </rPr>
      <t xml:space="preserve">IP </t>
    </r>
    <r>
      <rPr>
        <sz val="10"/>
        <rFont val="Noto Sans CJK SC"/>
        <family val="2"/>
      </rPr>
      <t>改編較低，</t>
    </r>
    <r>
      <rPr>
        <sz val="10"/>
        <rFont val="Arial"/>
        <family val="2"/>
      </rPr>
      <t xml:space="preserve">WEBTOON </t>
    </r>
    <r>
      <rPr>
        <sz val="10"/>
        <rFont val="Noto Sans CJK SC"/>
        <family val="2"/>
      </rPr>
      <t>第二季營收略低於預期</t>
    </r>
  </si>
  <si>
    <r>
      <rPr>
        <sz val="10"/>
        <rFont val="Arial"/>
        <family val="2"/>
      </rPr>
      <t xml:space="preserve">WEBTOON </t>
    </r>
    <r>
      <rPr>
        <sz val="10"/>
        <rFont val="Noto Sans CJK SC"/>
        <family val="2"/>
      </rPr>
      <t xml:space="preserve">與 </t>
    </r>
    <r>
      <rPr>
        <sz val="10"/>
        <rFont val="Arial"/>
        <family val="2"/>
      </rPr>
      <t xml:space="preserve">International Paper </t>
    </r>
    <r>
      <rPr>
        <sz val="10"/>
        <rFont val="Noto Sans CJK SC"/>
        <family val="2"/>
      </rPr>
      <t>無關（公司誤配）。</t>
    </r>
  </si>
  <si>
    <t>908cac5aa0d2e751a4427682</t>
  </si>
  <si>
    <t>COIN</t>
  </si>
  <si>
    <t>Coinbase</t>
  </si>
  <si>
    <t>COIN Stock Jumps Post Earnings Despite Revenue Miss – CEO Calls Crypto Slump 'Psychological'</t>
  </si>
  <si>
    <r>
      <rPr>
        <sz val="10"/>
        <rFont val="Noto Sans CJK SC"/>
        <family val="2"/>
      </rPr>
      <t>儘管收入未達標，</t>
    </r>
    <r>
      <rPr>
        <sz val="10"/>
        <rFont val="Arial"/>
        <family val="2"/>
      </rPr>
      <t xml:space="preserve">COIN </t>
    </r>
    <r>
      <rPr>
        <sz val="10"/>
        <rFont val="Noto Sans CJK SC"/>
        <family val="2"/>
      </rPr>
      <t>股價仍大幅上漲——首席執行官稱加密貨幣暴跌是“心理原因”</t>
    </r>
  </si>
  <si>
    <t>Stocktwits</t>
  </si>
  <si>
    <t>eca6cf9570b8b807f2c91b12</t>
  </si>
  <si>
    <t>LVS</t>
  </si>
  <si>
    <t>Las Vegas Sands Corp.</t>
  </si>
  <si>
    <t>How Investors Are Reacting To Las Vegas Sands (LVS) Earnings Miss And Bearish Analyst Revisions</t>
  </si>
  <si>
    <r>
      <rPr>
        <sz val="10"/>
        <rFont val="Noto Sans CJK SC"/>
        <family val="2"/>
      </rPr>
      <t xml:space="preserve">投資者對拉斯維加斯金沙集團 </t>
    </r>
    <r>
      <rPr>
        <sz val="10"/>
        <rFont val="Arial"/>
        <family val="2"/>
      </rPr>
      <t xml:space="preserve">(LVS) </t>
    </r>
    <r>
      <rPr>
        <sz val="10"/>
        <rFont val="Noto Sans CJK SC"/>
        <family val="2"/>
      </rPr>
      <t>盈利低於預期和分析師悲觀的修正有何反應</t>
    </r>
  </si>
  <si>
    <t>simplywall.st</t>
  </si>
  <si>
    <r>
      <rPr>
        <sz val="10"/>
        <rFont val="Arial"/>
        <family val="2"/>
      </rPr>
      <t xml:space="preserve">Las Vegas Sands </t>
    </r>
    <r>
      <rPr>
        <sz val="10"/>
        <rFont val="Noto Sans CJK SC"/>
        <family val="2"/>
      </rPr>
      <t>財報不如預期，分析師下修看法。</t>
    </r>
  </si>
  <si>
    <t>72f1c0826466cb8774c826f9</t>
  </si>
  <si>
    <t>Is Las Vegas Sands (LVS) Below Fair Value On Its Earnings Miss?</t>
  </si>
  <si>
    <r>
      <rPr>
        <sz val="10"/>
        <rFont val="Noto Sans CJK SC"/>
        <family val="2"/>
      </rPr>
      <t xml:space="preserve">拉斯維加斯金沙集團 </t>
    </r>
    <r>
      <rPr>
        <sz val="10"/>
        <rFont val="Arial"/>
        <family val="2"/>
      </rPr>
      <t xml:space="preserve">(LVS) </t>
    </r>
    <r>
      <rPr>
        <sz val="10"/>
        <rFont val="Noto Sans CJK SC"/>
        <family val="2"/>
      </rPr>
      <t>的獲利是否低於公允價值？</t>
    </r>
  </si>
  <si>
    <t>估值或目標價評論，不是財報事件本身。</t>
  </si>
  <si>
    <t>2dedf7d8bdc3037d0a8877b6</t>
  </si>
  <si>
    <t>Crypto Stocks Under Pressure – HOOD Slumps After Earnings Miss, While COIN And CRCL Drift Lower</t>
  </si>
  <si>
    <r>
      <rPr>
        <sz val="10"/>
        <rFont val="Noto Sans CJK SC"/>
        <family val="2"/>
      </rPr>
      <t>加密貨幣股票面臨壓力——</t>
    </r>
    <r>
      <rPr>
        <sz val="10"/>
        <rFont val="Arial"/>
        <family val="2"/>
      </rPr>
      <t xml:space="preserve">HOOD </t>
    </r>
    <r>
      <rPr>
        <sz val="10"/>
        <rFont val="Noto Sans CJK SC"/>
        <family val="2"/>
      </rPr>
      <t xml:space="preserve">在盈利不佳後暴跌，而 </t>
    </r>
    <r>
      <rPr>
        <sz val="10"/>
        <rFont val="Arial"/>
        <family val="2"/>
      </rPr>
      <t xml:space="preserve">COIN </t>
    </r>
    <r>
      <rPr>
        <sz val="10"/>
        <rFont val="Noto Sans CJK SC"/>
        <family val="2"/>
      </rPr>
      <t xml:space="preserve">和 </t>
    </r>
    <r>
      <rPr>
        <sz val="10"/>
        <rFont val="Arial"/>
        <family val="2"/>
      </rPr>
      <t xml:space="preserve">CRCL </t>
    </r>
    <r>
      <rPr>
        <sz val="10"/>
        <rFont val="Noto Sans CJK SC"/>
        <family val="2"/>
      </rPr>
      <t>則下跌</t>
    </r>
  </si>
  <si>
    <r>
      <rPr>
        <sz val="10"/>
        <rFont val="Noto Sans CJK SC"/>
        <family val="2"/>
      </rPr>
      <t>加密貨幣股盤勢報導，</t>
    </r>
    <r>
      <rPr>
        <sz val="10"/>
        <rFont val="Arial"/>
        <family val="2"/>
      </rPr>
      <t xml:space="preserve">COIN </t>
    </r>
    <r>
      <rPr>
        <sz val="10"/>
        <rFont val="Noto Sans CJK SC"/>
        <family val="2"/>
      </rPr>
      <t>只是順帶提到。</t>
    </r>
  </si>
  <si>
    <t>96d596275583b16f0fefdfa9</t>
  </si>
  <si>
    <t>HOOD</t>
  </si>
  <si>
    <t>Robinhood Markets, Inc.</t>
  </si>
  <si>
    <r>
      <rPr>
        <sz val="10"/>
        <rFont val="Noto Sans CJK SC"/>
        <family val="2"/>
      </rPr>
      <t>加密貨幣股票面臨壓力——</t>
    </r>
    <r>
      <rPr>
        <sz val="10"/>
        <rFont val="Arial"/>
        <family val="2"/>
      </rPr>
      <t xml:space="preserve">HOOD </t>
    </r>
    <r>
      <rPr>
        <sz val="10"/>
        <rFont val="Noto Sans CJK SC"/>
        <family val="2"/>
      </rPr>
      <t xml:space="preserve">在盈利不佳後暴跌，而 </t>
    </r>
    <r>
      <rPr>
        <sz val="10"/>
        <rFont val="Arial"/>
        <family val="2"/>
      </rPr>
      <t xml:space="preserve">COIN </t>
    </r>
    <r>
      <rPr>
        <sz val="10"/>
        <rFont val="Noto Sans CJK SC"/>
        <family val="2"/>
      </rPr>
      <t xml:space="preserve">和 </t>
    </r>
    <r>
      <rPr>
        <sz val="10"/>
        <rFont val="Arial"/>
        <family val="2"/>
      </rPr>
      <t xml:space="preserve">CRCL </t>
    </r>
    <r>
      <rPr>
        <sz val="10"/>
        <rFont val="Noto Sans CJK SC"/>
        <family val="2"/>
      </rPr>
      <t>則走低</t>
    </r>
  </si>
  <si>
    <r>
      <rPr>
        <sz val="10"/>
        <rFont val="Arial"/>
        <family val="2"/>
      </rPr>
      <t xml:space="preserve">Robinhood </t>
    </r>
    <r>
      <rPr>
        <sz val="10"/>
        <rFont val="Noto Sans CJK SC"/>
        <family val="2"/>
      </rPr>
      <t>財報不如預期後股價下跌。</t>
    </r>
  </si>
  <si>
    <t>e4ec98457401625562f7434d</t>
  </si>
  <si>
    <t>TTD</t>
  </si>
  <si>
    <t>Trade Desk (The)</t>
  </si>
  <si>
    <t>TTD Stock Sinks Over 26% On Earnings Miss, Weak Outlook — Retail Says Trade Desk’s Guidance Is The Real Problem</t>
  </si>
  <si>
    <r>
      <rPr>
        <sz val="10"/>
        <rFont val="Arial"/>
        <family val="2"/>
      </rPr>
      <t xml:space="preserve">TTD </t>
    </r>
    <r>
      <rPr>
        <sz val="10"/>
        <rFont val="Noto Sans CJK SC"/>
        <family val="2"/>
      </rPr>
      <t xml:space="preserve">股價因盈利不佳和前景疲軟而下跌超過 </t>
    </r>
    <r>
      <rPr>
        <sz val="10"/>
        <rFont val="Arial"/>
        <family val="2"/>
      </rPr>
      <t xml:space="preserve">26% — </t>
    </r>
    <r>
      <rPr>
        <sz val="10"/>
        <rFont val="Noto Sans CJK SC"/>
        <family val="2"/>
      </rPr>
      <t xml:space="preserve">零售業表示 </t>
    </r>
    <r>
      <rPr>
        <sz val="10"/>
        <rFont val="Arial"/>
        <family val="2"/>
      </rPr>
      <t xml:space="preserve">Trade Desk </t>
    </r>
    <r>
      <rPr>
        <sz val="10"/>
        <rFont val="Noto Sans CJK SC"/>
        <family val="2"/>
      </rPr>
      <t>的指導才是真正的問題</t>
    </r>
  </si>
  <si>
    <r>
      <rPr>
        <sz val="10"/>
        <rFont val="Arial"/>
        <family val="2"/>
      </rPr>
      <t xml:space="preserve">Trade Desk </t>
    </r>
    <r>
      <rPr>
        <sz val="10"/>
        <rFont val="Noto Sans CJK SC"/>
        <family val="2"/>
      </rPr>
      <t xml:space="preserve">財報不如預期、展望疲弱，股價重挫逾 </t>
    </r>
    <r>
      <rPr>
        <sz val="10"/>
        <rFont val="Arial"/>
        <family val="2"/>
      </rPr>
      <t>26%</t>
    </r>
    <r>
      <rPr>
        <sz val="10"/>
        <rFont val="Noto Sans CJK SC"/>
        <family val="2"/>
      </rPr>
      <t>。</t>
    </r>
  </si>
  <si>
    <t>9d95623c9dd011b866d26579</t>
  </si>
  <si>
    <t>ES</t>
  </si>
  <si>
    <t>Eversource Energy</t>
  </si>
  <si>
    <t>Eversource (ES) Financial Update: EPS Misses Its Estimate under the Current Snapshot; Session Reaction: The Stock Ends Up 0.43% at the Close - Quarterly Earnings Report</t>
  </si>
  <si>
    <t>vinanet.vn</t>
  </si>
  <si>
    <r>
      <rPr>
        <sz val="10"/>
        <rFont val="Arial"/>
        <family val="2"/>
      </rPr>
      <t xml:space="preserve">Eversource EPS </t>
    </r>
    <r>
      <rPr>
        <sz val="10"/>
        <rFont val="Noto Sans CJK SC"/>
        <family val="2"/>
      </rPr>
      <t>小幅低於預期，市場反應不明顯。</t>
    </r>
  </si>
  <si>
    <t>0f01c7d4a0fd1ba5bfe6dd13</t>
  </si>
  <si>
    <t>Dow drops 600 points on rising yields, Walmart earnings miss</t>
  </si>
  <si>
    <t>finance.yahoo.com</t>
  </si>
  <si>
    <r>
      <rPr>
        <sz val="10"/>
        <rFont val="Noto Sans CJK SC"/>
        <family val="2"/>
      </rPr>
      <t>道瓊指數下跌新聞，</t>
    </r>
    <r>
      <rPr>
        <sz val="10"/>
        <rFont val="Arial"/>
        <family val="2"/>
      </rPr>
      <t xml:space="preserve">Dow </t>
    </r>
    <r>
      <rPr>
        <sz val="10"/>
        <rFont val="Noto Sans CJK SC"/>
        <family val="2"/>
      </rPr>
      <t xml:space="preserve">指 </t>
    </r>
    <r>
      <rPr>
        <sz val="10"/>
        <rFont val="Arial"/>
        <family val="2"/>
      </rPr>
      <t xml:space="preserve">Dow Jones </t>
    </r>
    <r>
      <rPr>
        <sz val="10"/>
        <rFont val="Noto Sans CJK SC"/>
        <family val="2"/>
      </rPr>
      <t xml:space="preserve">而非 </t>
    </r>
    <r>
      <rPr>
        <sz val="10"/>
        <rFont val="Arial"/>
        <family val="2"/>
      </rPr>
      <t>Dow Inc.</t>
    </r>
    <r>
      <rPr>
        <sz val="10"/>
        <rFont val="Noto Sans CJK SC"/>
        <family val="2"/>
      </rPr>
      <t xml:space="preserve">，且是 </t>
    </r>
    <r>
      <rPr>
        <sz val="10"/>
        <rFont val="Arial"/>
        <family val="2"/>
      </rPr>
      <t xml:space="preserve">Walmart </t>
    </r>
    <r>
      <rPr>
        <sz val="10"/>
        <rFont val="Noto Sans CJK SC"/>
        <family val="2"/>
      </rPr>
      <t>財報。</t>
    </r>
  </si>
  <si>
    <t>cd9e7fa383a3406940cf5220</t>
  </si>
  <si>
    <t>AZO</t>
  </si>
  <si>
    <t>AutoZone, Inc. Common Stock</t>
  </si>
  <si>
    <t>Advance Auto Parts Plunges 21% as Revenue Miss Overshadows Earnings Beat; AutoZone Falls 4%, O'Reilly Automotive Slips</t>
  </si>
  <si>
    <t>24/7 Wall St.</t>
  </si>
  <si>
    <r>
      <rPr>
        <sz val="10"/>
        <rFont val="Noto Sans CJK SC"/>
        <family val="2"/>
      </rPr>
      <t xml:space="preserve">主角是 </t>
    </r>
    <r>
      <rPr>
        <sz val="10"/>
        <rFont val="Arial"/>
        <family val="2"/>
      </rPr>
      <t xml:space="preserve">Advance Auto Parts </t>
    </r>
    <r>
      <rPr>
        <sz val="10"/>
        <rFont val="Noto Sans CJK SC"/>
        <family val="2"/>
      </rPr>
      <t>重挫，</t>
    </r>
    <r>
      <rPr>
        <sz val="10"/>
        <rFont val="Arial"/>
        <family val="2"/>
      </rPr>
      <t xml:space="preserve">AutoZone </t>
    </r>
    <r>
      <rPr>
        <sz val="10"/>
        <rFont val="Noto Sans CJK SC"/>
        <family val="2"/>
      </rPr>
      <t xml:space="preserve">只小跌 </t>
    </r>
    <r>
      <rPr>
        <sz val="10"/>
        <rFont val="Arial"/>
        <family val="2"/>
      </rPr>
      <t>4%</t>
    </r>
    <r>
      <rPr>
        <sz val="10"/>
        <rFont val="Noto Sans CJK SC"/>
        <family val="2"/>
      </rPr>
      <t>。</t>
    </r>
  </si>
  <si>
    <t>908d5cfc2f0f8f14818d4cd3</t>
  </si>
  <si>
    <t>2026-08-25</t>
  </si>
  <si>
    <t>COIN Stock Slides After Earnings Miss — Coinbase CEO Says The Crypto Exchange Is Becoming More Than A Bitcoin Bet</t>
  </si>
  <si>
    <r>
      <rPr>
        <sz val="10"/>
        <rFont val="Arial"/>
        <family val="2"/>
      </rPr>
      <t xml:space="preserve">Coinbase </t>
    </r>
    <r>
      <rPr>
        <sz val="10"/>
        <rFont val="Noto Sans CJK SC"/>
        <family val="2"/>
      </rPr>
      <t>財報不如預期，股價下滑。</t>
    </r>
  </si>
  <si>
    <t>5a7609b07982daf1e9fe7d5d</t>
  </si>
  <si>
    <t>2026-09-04</t>
  </si>
  <si>
    <t>LULU</t>
  </si>
  <si>
    <t>lululemon athletica inc.</t>
  </si>
  <si>
    <t>LULU: Revenue and earnings missed expectations, prompting lower guidance and renewed focus on innovation</t>
  </si>
  <si>
    <r>
      <rPr>
        <sz val="10"/>
        <rFont val="Arial"/>
        <family val="2"/>
      </rPr>
      <t>LULU</t>
    </r>
    <r>
      <rPr>
        <sz val="10"/>
        <rFont val="Noto Sans CJK SC"/>
        <family val="2"/>
      </rPr>
      <t>：收入和利潤未達預期，導致指引下調並重新專注於創新</t>
    </r>
  </si>
  <si>
    <r>
      <rPr>
        <sz val="10"/>
        <rFont val="Arial"/>
        <family val="2"/>
      </rPr>
      <t xml:space="preserve">lululemon </t>
    </r>
    <r>
      <rPr>
        <sz val="10"/>
        <rFont val="Noto Sans CJK SC"/>
        <family val="2"/>
      </rPr>
      <t xml:space="preserve">營收與獲利未達預期並下調展望，股價跌 </t>
    </r>
    <r>
      <rPr>
        <sz val="10"/>
        <rFont val="Arial"/>
        <family val="2"/>
      </rPr>
      <t>15%</t>
    </r>
    <r>
      <rPr>
        <sz val="10"/>
        <rFont val="Noto Sans CJK SC"/>
        <family val="2"/>
      </rPr>
      <t>。</t>
    </r>
  </si>
  <si>
    <t>d13f5f3fd0d9e26de9f10867</t>
  </si>
  <si>
    <t>Lululemon (NASDAQ:LULU) Tumbles 15% on Revenue Miss and Weak Guidance</t>
  </si>
  <si>
    <r>
      <rPr>
        <sz val="10"/>
        <rFont val="Arial"/>
        <family val="2"/>
      </rPr>
      <t>Lululemon</t>
    </r>
    <r>
      <rPr>
        <sz val="10"/>
        <rFont val="Noto Sans CJK SC"/>
        <family val="2"/>
      </rPr>
      <t>（納斯達克股票代碼：</t>
    </r>
    <r>
      <rPr>
        <sz val="10"/>
        <rFont val="Arial"/>
        <family val="2"/>
      </rPr>
      <t>LULU</t>
    </r>
    <r>
      <rPr>
        <sz val="10"/>
        <rFont val="Noto Sans CJK SC"/>
        <family val="2"/>
      </rPr>
      <t xml:space="preserve">）因收入失誤和指引疲軟而下跌 </t>
    </r>
    <r>
      <rPr>
        <sz val="10"/>
        <rFont val="Arial"/>
        <family val="2"/>
      </rPr>
      <t>15%</t>
    </r>
  </si>
  <si>
    <t>ChartMill</t>
  </si>
  <si>
    <t>62a05513f80266032cd6843e</t>
  </si>
  <si>
    <t>CPRT</t>
  </si>
  <si>
    <t>Copart, Inc.</t>
  </si>
  <si>
    <t>Copart (NASDAQ:CPRT) Stock Surges After Hours on Reported ACV Acquisition Despite Q4 EPS Miss</t>
  </si>
  <si>
    <t>5e973c886a6dc88dee4aeaaa</t>
  </si>
  <si>
    <t>2026-09-16</t>
  </si>
  <si>
    <t>Lennar Q3 earnings miss; guidance disappoints (LEN:NYSE)</t>
  </si>
  <si>
    <t>Seeking Alpha</t>
  </si>
  <si>
    <r>
      <rPr>
        <sz val="10"/>
        <rFont val="Arial"/>
        <family val="2"/>
      </rPr>
      <t xml:space="preserve">Lennar </t>
    </r>
    <r>
      <rPr>
        <sz val="10"/>
        <rFont val="Noto Sans CJK SC"/>
        <family val="2"/>
      </rPr>
      <t>第三季財報不如預期且展望令人失望。</t>
    </r>
  </si>
  <si>
    <t>8cda12a45d54c01a2b61101c</t>
  </si>
  <si>
    <t>Lennar Q3 Earnings Miss Estimates on Housing Weakness, Revenues Lag</t>
  </si>
  <si>
    <t>643c78860fe605f4befdf93b</t>
  </si>
  <si>
    <t>2026-09-19</t>
  </si>
  <si>
    <t>Lennar’s Earnings Miss May Be Sending a Bigger Warning About U.S. Housing</t>
  </si>
  <si>
    <r>
      <rPr>
        <sz val="10"/>
        <rFont val="Arial"/>
        <family val="2"/>
      </rPr>
      <t xml:space="preserve">Lennar </t>
    </r>
    <r>
      <rPr>
        <sz val="10"/>
        <rFont val="Noto Sans CJK SC"/>
        <family val="2"/>
      </rPr>
      <t>財報不如預期，被視為美國房市的警訊。</t>
    </r>
  </si>
  <si>
    <t>35c2f650041aceb96195e59f</t>
  </si>
  <si>
    <t>2026-09-22</t>
  </si>
  <si>
    <t>AutoZone Climbs 6% as Profit Beat Offsets Revenue Miss; Advance Auto Parts Rises 6%, O'Reilly Automotive Gains 4%</t>
  </si>
  <si>
    <t>獲利優於預期（只有營收略低），屬正面或中性結果。</t>
  </si>
  <si>
    <t>1a0377ef33f45dfd169e6928</t>
  </si>
  <si>
    <t>2026-09-28</t>
  </si>
  <si>
    <t>EXC</t>
  </si>
  <si>
    <t>Exelon Corporation</t>
  </si>
  <si>
    <t>Exelon stock faces lower targets after Q2 earnings miss</t>
  </si>
  <si>
    <t>ad-hoc-news.de</t>
  </si>
  <si>
    <t>30b53c78b9a25a4a3af002ef</t>
  </si>
  <si>
    <t>Darden Restaurants (DRI) Stock May Be 13% Undervalued After Q1 Earnings Miss</t>
  </si>
  <si>
    <t>260bef3068ad46f360e48c7b</t>
  </si>
  <si>
    <t>DAL</t>
  </si>
  <si>
    <t>Delta Air Lines, Inc. Common Stock</t>
  </si>
  <si>
    <t>DAL Q3 Earnings Miss Estimates as Higher Fuel Costs Hurt Margins</t>
  </si>
  <si>
    <r>
      <rPr>
        <sz val="10"/>
        <rFont val="Arial"/>
        <family val="2"/>
      </rPr>
      <t xml:space="preserve">Delta </t>
    </r>
    <r>
      <rPr>
        <sz val="10"/>
        <rFont val="Noto Sans CJK SC"/>
        <family val="2"/>
      </rPr>
      <t>第三季財報不如預期，燃料成本侵蝕利潤。</t>
    </r>
  </si>
  <si>
    <t>7d63275fbd7f3da8f5877808</t>
  </si>
  <si>
    <t>Delta Air Lines Shares Fall as Third-Quarter Earnings Miss Forecasts and Full-Year Outlook Is Cut</t>
  </si>
  <si>
    <r>
      <rPr>
        <sz val="10"/>
        <rFont val="Arial"/>
        <family val="2"/>
      </rPr>
      <t xml:space="preserve">Delta </t>
    </r>
    <r>
      <rPr>
        <sz val="10"/>
        <rFont val="Noto Sans CJK SC"/>
        <family val="2"/>
      </rPr>
      <t>第三季不如預期並下調全年展望，股價下跌。</t>
    </r>
  </si>
  <si>
    <t>65abd5e282d9ab8570074472</t>
  </si>
  <si>
    <t>PNC Q3 2026 earnings show revenue of $6.56 billion missed estimates</t>
  </si>
  <si>
    <r>
      <rPr>
        <sz val="10"/>
        <rFont val="Arial"/>
        <family val="2"/>
      </rPr>
      <t xml:space="preserve">PNC 2026 </t>
    </r>
    <r>
      <rPr>
        <sz val="10"/>
        <rFont val="Noto Sans CJK SC"/>
        <family val="2"/>
      </rPr>
      <t xml:space="preserve">年第三季財報顯示，營收達 </t>
    </r>
    <r>
      <rPr>
        <sz val="10"/>
        <rFont val="Arial"/>
        <family val="2"/>
      </rPr>
      <t xml:space="preserve">65.6 </t>
    </r>
    <r>
      <rPr>
        <sz val="10"/>
        <rFont val="Noto Sans CJK SC"/>
        <family val="2"/>
      </rPr>
      <t>億美元，未達預期</t>
    </r>
  </si>
  <si>
    <t>e364fbee8424570f44cea339</t>
  </si>
  <si>
    <t>USB</t>
  </si>
  <si>
    <t>U.S. Bancorp Common Stock</t>
  </si>
  <si>
    <t>U.S. Bancorp beats earnings despite revenue miss</t>
  </si>
  <si>
    <t>儘管收入低於預期，美國合眾銀行仍實現獲利</t>
  </si>
  <si>
    <t>e4f16d41248b04632e676f70</t>
  </si>
  <si>
    <t>U.S. Bancorp Q3 earnings beat, as expense control offsets revenue miss (USB:NYSE)</t>
  </si>
  <si>
    <r>
      <rPr>
        <sz val="10"/>
        <rFont val="Noto Sans CJK SC"/>
        <family val="2"/>
      </rPr>
      <t>美國合眾銀行第三季獲利超出預期，費用控制抵消了收入損失（</t>
    </r>
    <r>
      <rPr>
        <sz val="10"/>
        <rFont val="Arial"/>
        <family val="2"/>
      </rPr>
      <t>USB</t>
    </r>
    <r>
      <rPr>
        <sz val="10"/>
        <rFont val="Noto Sans CJK SC"/>
        <family val="2"/>
      </rPr>
      <t>：</t>
    </r>
    <r>
      <rPr>
        <sz val="10"/>
        <rFont val="Arial"/>
        <family val="2"/>
      </rPr>
      <t>NYSE</t>
    </r>
    <r>
      <rPr>
        <sz val="10"/>
        <rFont val="Noto Sans CJK SC"/>
        <family val="2"/>
      </rPr>
      <t>）</t>
    </r>
  </si>
  <si>
    <t>59e53b066d7c104e860fd7d9</t>
  </si>
  <si>
    <t>PNC Third-Quarter Lending Revenue Misses Estimates as Costs Beat</t>
  </si>
  <si>
    <r>
      <rPr>
        <sz val="10"/>
        <rFont val="Noto Sans CJK SC"/>
        <family val="2"/>
      </rPr>
      <t>由於成本超出預期，</t>
    </r>
    <r>
      <rPr>
        <sz val="10"/>
        <rFont val="Arial"/>
        <family val="2"/>
      </rPr>
      <t xml:space="preserve">PNC </t>
    </r>
    <r>
      <rPr>
        <sz val="10"/>
        <rFont val="Noto Sans CJK SC"/>
        <family val="2"/>
      </rPr>
      <t>第三季貸款收入未達預期</t>
    </r>
  </si>
  <si>
    <t>6b258e858c09ce977170351c</t>
  </si>
  <si>
    <t>2026-10-16</t>
  </si>
  <si>
    <t>PNC Financial Q3 Earnings Beat Estimates on Higher NII, Revenue Miss</t>
  </si>
  <si>
    <r>
      <rPr>
        <sz val="10"/>
        <rFont val="Arial"/>
        <family val="2"/>
      </rPr>
      <t xml:space="preserve">PNC Financial </t>
    </r>
    <r>
      <rPr>
        <sz val="10"/>
        <rFont val="Noto Sans CJK SC"/>
        <family val="2"/>
      </rPr>
      <t xml:space="preserve">第三季獲利超出預期，因 </t>
    </r>
    <r>
      <rPr>
        <sz val="10"/>
        <rFont val="Arial"/>
        <family val="2"/>
      </rPr>
      <t xml:space="preserve">NII </t>
    </r>
    <r>
      <rPr>
        <sz val="10"/>
        <rFont val="Noto Sans CJK SC"/>
        <family val="2"/>
      </rPr>
      <t>較高，營收未達預期</t>
    </r>
  </si>
  <si>
    <t>Zacks Investment Research</t>
  </si>
  <si>
    <t>2587e39ff2aa09c9878f3293</t>
  </si>
  <si>
    <t>PNC posts strong Q3 EPS of $5.09, beating estimates despite slight revenue miss.</t>
  </si>
  <si>
    <r>
      <rPr>
        <sz val="10"/>
        <rFont val="Arial"/>
        <family val="2"/>
      </rPr>
      <t xml:space="preserve">PNC </t>
    </r>
    <r>
      <rPr>
        <sz val="10"/>
        <rFont val="Noto Sans CJK SC"/>
        <family val="2"/>
      </rPr>
      <t xml:space="preserve">第三季每股收益強勁，達到 </t>
    </r>
    <r>
      <rPr>
        <sz val="10"/>
        <rFont val="Arial"/>
        <family val="2"/>
      </rPr>
      <t xml:space="preserve">5.09 </t>
    </r>
    <r>
      <rPr>
        <sz val="10"/>
        <rFont val="Noto Sans CJK SC"/>
        <family val="2"/>
      </rPr>
      <t>美元，儘管收入略有下降，但仍超出預期。</t>
    </r>
  </si>
  <si>
    <t>Pluang</t>
  </si>
  <si>
    <t>d7a7e70cfcdca5486b0593a1</t>
  </si>
  <si>
    <t>2026-10-22</t>
  </si>
  <si>
    <t>PHM</t>
  </si>
  <si>
    <t>PulteGroup, Inc. Common Stock</t>
  </si>
  <si>
    <t>PulteGroup stock dips as Q3 earnings miss estimates amid pressure on homebuying demand (PHM:NYSE)</t>
  </si>
  <si>
    <t>普爾特集團因第三季財報未達預期，股價下跌，顯示市場對住宅需求的擔憂。</t>
  </si>
  <si>
    <r>
      <rPr>
        <sz val="10"/>
        <rFont val="Arial"/>
        <family val="2"/>
      </rPr>
      <t xml:space="preserve">PulteGroup </t>
    </r>
    <r>
      <rPr>
        <sz val="10"/>
        <rFont val="Noto Sans CJK SC"/>
        <family val="2"/>
      </rPr>
      <t>第三季財報不如預期，反映購屋需求疲弱。</t>
    </r>
  </si>
  <si>
    <t>a2ffa540ad4cc1c9e2785913</t>
  </si>
  <si>
    <t>ZTS</t>
  </si>
  <si>
    <t>Zoetis Inc. Class A Common Stock</t>
  </si>
  <si>
    <t>Zoetis Faces Wall Street Reckoning as Guidance Cut Triggers Wave of Downgrades</t>
  </si>
  <si>
    <t>碩騰面臨華爾街清算，指引下調引發評等下調浪潮</t>
  </si>
  <si>
    <t>AD HOC NEWS</t>
  </si>
  <si>
    <t>EARNINGS_WARNING</t>
  </si>
  <si>
    <t>財測下修</t>
  </si>
  <si>
    <r>
      <rPr>
        <sz val="10"/>
        <rFont val="Arial"/>
        <family val="2"/>
      </rPr>
      <t xml:space="preserve">Zoetis </t>
    </r>
    <r>
      <rPr>
        <sz val="10"/>
        <rFont val="Noto Sans CJK SC"/>
        <family val="2"/>
      </rPr>
      <t>下修財測引發多家券商降評。</t>
    </r>
  </si>
  <si>
    <t>177560a23db1b9df26b0583a</t>
  </si>
  <si>
    <t>The Trade Desk Stock (TTD) Opinions on Earnings Miss and Guidance Cut</t>
  </si>
  <si>
    <r>
      <rPr>
        <sz val="10"/>
        <rFont val="Arial"/>
        <family val="2"/>
      </rPr>
      <t xml:space="preserve">The Trade Desk Stock (TTD) </t>
    </r>
    <r>
      <rPr>
        <sz val="10"/>
        <rFont val="Noto Sans CJK SC"/>
        <family val="2"/>
      </rPr>
      <t>對獲利未達標和指引下調的看法</t>
    </r>
  </si>
  <si>
    <r>
      <rPr>
        <sz val="10"/>
        <rFont val="Noto Sans CJK SC"/>
        <family val="2"/>
      </rPr>
      <t>財測下修後的市場意見與反應（</t>
    </r>
    <r>
      <rPr>
        <sz val="10"/>
        <rFont val="Arial"/>
        <family val="2"/>
      </rPr>
      <t>Zoetis</t>
    </r>
    <r>
      <rPr>
        <sz val="10"/>
        <rFont val="Noto Sans CJK SC"/>
        <family val="2"/>
      </rPr>
      <t>、</t>
    </r>
    <r>
      <rPr>
        <sz val="10"/>
        <rFont val="Arial"/>
        <family val="2"/>
      </rPr>
      <t>Trade Desk</t>
    </r>
    <r>
      <rPr>
        <sz val="10"/>
        <rFont val="Noto Sans CJK SC"/>
        <family val="2"/>
      </rPr>
      <t>）。</t>
    </r>
  </si>
  <si>
    <t>c3d5d0ce78d30af02b6a26cd</t>
  </si>
  <si>
    <t>HONA</t>
  </si>
  <si>
    <t>Honeywell Aerospace Inc.</t>
  </si>
  <si>
    <t>Jim Cramer Dumps Honeywell Aerospace (HONA) After Shock Guidance Cut Triggers Sharp Selloff</t>
  </si>
  <si>
    <r>
      <rPr>
        <sz val="10"/>
        <rFont val="Noto Sans CJK SC"/>
        <family val="2"/>
      </rPr>
      <t>吉姆</t>
    </r>
    <r>
      <rPr>
        <sz val="10"/>
        <rFont val="Arial"/>
        <family val="2"/>
      </rPr>
      <t>·</t>
    </r>
    <r>
      <rPr>
        <sz val="10"/>
        <rFont val="Noto Sans CJK SC"/>
        <family val="2"/>
      </rPr>
      <t xml:space="preserve">克萊默 </t>
    </r>
    <r>
      <rPr>
        <sz val="10"/>
        <rFont val="Arial"/>
        <family val="2"/>
      </rPr>
      <t xml:space="preserve">(Jim Cramer) </t>
    </r>
    <r>
      <rPr>
        <sz val="10"/>
        <rFont val="Noto Sans CJK SC"/>
        <family val="2"/>
      </rPr>
      <t xml:space="preserve">在衝擊指導削減引發急劇拋售後拋售霍尼韋爾航空航天 </t>
    </r>
    <r>
      <rPr>
        <sz val="10"/>
        <rFont val="Arial"/>
        <family val="2"/>
      </rPr>
      <t>(HONA)</t>
    </r>
  </si>
  <si>
    <r>
      <rPr>
        <sz val="10"/>
        <rFont val="Arial"/>
        <family val="2"/>
      </rPr>
      <t xml:space="preserve">Honeywell Aerospace </t>
    </r>
    <r>
      <rPr>
        <sz val="10"/>
        <rFont val="Noto Sans CJK SC"/>
        <family val="2"/>
      </rPr>
      <t>意外下修財測，股價大幅下挫。</t>
    </r>
  </si>
  <si>
    <t>a001c67e640cd10789ab8bc5</t>
  </si>
  <si>
    <t>2026-08-23</t>
  </si>
  <si>
    <t>Zoetis Stock (ZTS) Opinions on Recent Earnings Guidance Cuts</t>
  </si>
  <si>
    <t>6dc8608abf13971dd3bbcbb8</t>
  </si>
  <si>
    <t>TSN</t>
  </si>
  <si>
    <t>Tyson Foods, Inc. Common Stock</t>
  </si>
  <si>
    <t>Tyson Foods at Barclays conference: guidance cut, brands in focus</t>
  </si>
  <si>
    <r>
      <rPr>
        <sz val="10"/>
        <rFont val="Arial"/>
        <family val="2"/>
      </rPr>
      <t xml:space="preserve">Tyson Foods </t>
    </r>
    <r>
      <rPr>
        <sz val="10"/>
        <rFont val="Noto Sans CJK SC"/>
        <family val="2"/>
      </rPr>
      <t xml:space="preserve">在 </t>
    </r>
    <r>
      <rPr>
        <sz val="10"/>
        <rFont val="Arial"/>
        <family val="2"/>
      </rPr>
      <t xml:space="preserve">Barclays </t>
    </r>
    <r>
      <rPr>
        <sz val="10"/>
        <rFont val="Noto Sans CJK SC"/>
        <family val="2"/>
      </rPr>
      <t>會議談下修財測。</t>
    </r>
  </si>
  <si>
    <t>b71f865e8b6c82f59ac215c5</t>
  </si>
  <si>
    <t>KR</t>
  </si>
  <si>
    <t>Kroger</t>
  </si>
  <si>
    <t>Kroger Q2 2026 earnings: stock falls as sales guidance cut</t>
  </si>
  <si>
    <r>
      <rPr>
        <sz val="10"/>
        <rFont val="Arial"/>
        <family val="2"/>
      </rPr>
      <t xml:space="preserve">Kroger </t>
    </r>
    <r>
      <rPr>
        <sz val="10"/>
        <rFont val="Noto Sans CJK SC"/>
        <family val="2"/>
      </rPr>
      <t>下修銷售財測，股價下跌。</t>
    </r>
  </si>
  <si>
    <t>fdb2432bfa60eef55321d374</t>
  </si>
  <si>
    <t>2026-09-18</t>
  </si>
  <si>
    <t>JBHT</t>
  </si>
  <si>
    <t>J.B. Hunt</t>
  </si>
  <si>
    <t>J.B. Hunt's Stock Plunges After Market Misprices Profit Warning</t>
  </si>
  <si>
    <r>
      <rPr>
        <sz val="10"/>
        <rFont val="Arial"/>
        <family val="2"/>
      </rPr>
      <t xml:space="preserve">J.B. Hunt </t>
    </r>
    <r>
      <rPr>
        <sz val="10"/>
        <rFont val="Noto Sans CJK SC"/>
        <family val="2"/>
      </rPr>
      <t>發布獲利警告後股價大跌。</t>
    </r>
  </si>
  <si>
    <t>f74ae452853c7fb50f57225e</t>
  </si>
  <si>
    <t>Zoetis (ZTS) Hit by Guidance Cuts, Met with Market Shrug</t>
  </si>
  <si>
    <r>
      <rPr>
        <sz val="10"/>
        <rFont val="Arial"/>
        <family val="2"/>
      </rPr>
      <t xml:space="preserve">Zoetis (ZTS) </t>
    </r>
    <r>
      <rPr>
        <sz val="10"/>
        <rFont val="Noto Sans CJK SC"/>
        <family val="2"/>
      </rPr>
      <t>受到指導性下調的打擊，市場對此不以為然</t>
    </r>
  </si>
  <si>
    <t>7512ff6d3ceb5edadd9ce246</t>
  </si>
  <si>
    <t>2026-10-24</t>
  </si>
  <si>
    <t>Meta Platforms</t>
  </si>
  <si>
    <t>Meta: The Q4 Guide Is The Real Profit Warning (NASDAQ:META)</t>
  </si>
  <si>
    <r>
      <rPr>
        <sz val="10"/>
        <rFont val="Arial"/>
        <family val="2"/>
      </rPr>
      <t xml:space="preserve">Meta Platforms </t>
    </r>
    <r>
      <rPr>
        <sz val="10"/>
        <rFont val="Noto Sans CJK SC"/>
        <family val="2"/>
      </rPr>
      <t>公布第四季指引，警示利潤可能下滑，屬於財務預警事件。</t>
    </r>
  </si>
  <si>
    <t>投資評論文章（作者認為第四季指引是獲利警訊），不是公司公告。</t>
  </si>
  <si>
    <t>e264a84d1b19decda3fc1aa1</t>
  </si>
  <si>
    <t>MPC</t>
  </si>
  <si>
    <t>Marathon Petroleum Corporation Common St</t>
  </si>
  <si>
    <t>Marathon Petroleum (MPC) Could Be 20% Overvalued Following Diesel Export Ban Review</t>
  </si>
  <si>
    <t>EXPORT_RESTRICTION</t>
  </si>
  <si>
    <t>出口管制</t>
  </si>
  <si>
    <r>
      <rPr>
        <sz val="10"/>
        <rFont val="Noto Sans CJK SC"/>
        <family val="2"/>
      </rPr>
      <t>川普支持柴油出口禁令，</t>
    </r>
    <r>
      <rPr>
        <sz val="10"/>
        <rFont val="Arial"/>
        <family val="2"/>
      </rPr>
      <t xml:space="preserve">Marathon Petroleum </t>
    </r>
    <r>
      <rPr>
        <sz val="10"/>
        <rFont val="Noto Sans CJK SC"/>
        <family val="2"/>
      </rPr>
      <t>面臨政策不確定性。</t>
    </r>
  </si>
  <si>
    <t>013747d7355deb6f85ac13a8</t>
  </si>
  <si>
    <t>Marathon Petroleum (MPC) Faces Fresh Uncertainty After Trump Backs Diesel Export Ban</t>
  </si>
  <si>
    <t>7af0ec7ca161a30427a2941f</t>
  </si>
  <si>
    <t>How a U.S. diesel export ban would play out, according to Goldman Sachs</t>
  </si>
  <si>
    <t>MarketWatch</t>
  </si>
  <si>
    <t>高盛對柴油出口禁令的分析，高盛不是受影響公司。</t>
  </si>
  <si>
    <t>d431b18069310d29cc900ab8</t>
  </si>
  <si>
    <t>2026-09-29</t>
  </si>
  <si>
    <t>XOM</t>
  </si>
  <si>
    <t>ExxonMobil</t>
  </si>
  <si>
    <t>ExxonMobil Got a $180 Target as Trump Weighed a Diesel Export Ban. Here’s What It Means for the Stock</t>
  </si>
  <si>
    <t>TIKR.com</t>
  </si>
  <si>
    <r>
      <rPr>
        <sz val="10"/>
        <rFont val="Arial"/>
        <family val="2"/>
      </rPr>
      <t xml:space="preserve">Exxon </t>
    </r>
    <r>
      <rPr>
        <sz val="10"/>
        <rFont val="Noto Sans CJK SC"/>
        <family val="2"/>
      </rPr>
      <t>目標價評論，柴油出口禁令只是背景。</t>
    </r>
  </si>
  <si>
    <t>7c39112bfd50c2aee6447560</t>
  </si>
  <si>
    <t>Marathon Petroleum (MPC) Stock May Be 26% Undervalued After Diesel Export Ban Risk</t>
  </si>
  <si>
    <t>Simply Wall Street</t>
  </si>
  <si>
    <t>9b4f93e7a6837315fc805449</t>
  </si>
  <si>
    <t>Microsoft Stock Facing Margin Pressures</t>
  </si>
  <si>
    <t>微軟股票面臨獲利壓力</t>
  </si>
  <si>
    <t>Forbes</t>
  </si>
  <si>
    <t>OPERATING_DETERIORATION</t>
  </si>
  <si>
    <t>營運惡化</t>
  </si>
  <si>
    <t>投資分析或一般財報解讀，提到毛利壓力但不是新的營運惡化事件。</t>
  </si>
  <si>
    <t>d5cdd82b8f37fa119d28d666</t>
  </si>
  <si>
    <t>FISV</t>
  </si>
  <si>
    <t>Fiserv, Inc.</t>
  </si>
  <si>
    <t>Fiserv Cuts 2026 Outlook as Margin Pressure Tests Its Recovery Story</t>
  </si>
  <si>
    <r>
      <rPr>
        <sz val="10"/>
        <rFont val="Arial"/>
        <family val="2"/>
      </rPr>
      <t xml:space="preserve">Fiserv </t>
    </r>
    <r>
      <rPr>
        <sz val="10"/>
        <rFont val="Noto Sans CJK SC"/>
        <family val="2"/>
      </rPr>
      <t xml:space="preserve">下調 </t>
    </r>
    <r>
      <rPr>
        <sz val="10"/>
        <rFont val="Arial"/>
        <family val="2"/>
      </rPr>
      <t xml:space="preserve">2026 </t>
    </r>
    <r>
      <rPr>
        <sz val="10"/>
        <rFont val="Noto Sans CJK SC"/>
        <family val="2"/>
      </rPr>
      <t>年展望，因利潤率壓力考驗其復甦故事</t>
    </r>
  </si>
  <si>
    <t>The Globe and Mail</t>
  </si>
  <si>
    <r>
      <rPr>
        <sz val="10"/>
        <rFont val="Arial"/>
        <family val="2"/>
      </rPr>
      <t xml:space="preserve">Fiserv </t>
    </r>
    <r>
      <rPr>
        <sz val="10"/>
        <rFont val="Noto Sans CJK SC"/>
        <family val="2"/>
      </rPr>
      <t xml:space="preserve">下修 </t>
    </r>
    <r>
      <rPr>
        <sz val="10"/>
        <rFont val="Arial"/>
        <family val="2"/>
      </rPr>
      <t xml:space="preserve">2026 </t>
    </r>
    <r>
      <rPr>
        <sz val="10"/>
        <rFont val="Noto Sans CJK SC"/>
        <family val="2"/>
      </rPr>
      <t>年展望，屬財測下修（毛利壓力為原因）。</t>
    </r>
  </si>
  <si>
    <t>4948464033b1b83979851eed</t>
  </si>
  <si>
    <t>Kroger raises dividend 11.4% and announces $2B buyback amid Q1 sales slowdown and margin pressure.</t>
  </si>
  <si>
    <r>
      <rPr>
        <sz val="10"/>
        <rFont val="Noto Sans CJK SC"/>
        <family val="2"/>
      </rPr>
      <t xml:space="preserve">由於第一季銷售放緩和利潤率壓力，克羅格將股息提高 </t>
    </r>
    <r>
      <rPr>
        <sz val="10"/>
        <rFont val="Arial"/>
        <family val="2"/>
      </rPr>
      <t xml:space="preserve">11.4% </t>
    </r>
    <r>
      <rPr>
        <sz val="10"/>
        <rFont val="Noto Sans CJK SC"/>
        <family val="2"/>
      </rPr>
      <t xml:space="preserve">並宣布 </t>
    </r>
    <r>
      <rPr>
        <sz val="10"/>
        <rFont val="Arial"/>
        <family val="2"/>
      </rPr>
      <t xml:space="preserve">20 </t>
    </r>
    <r>
      <rPr>
        <sz val="10"/>
        <rFont val="Noto Sans CJK SC"/>
        <family val="2"/>
      </rPr>
      <t>億美元回購。</t>
    </r>
  </si>
  <si>
    <t>8731eb2aa8972fd6e8faf4d7</t>
  </si>
  <si>
    <t>Bitcoin demand weakens as Coinbase premium inde...</t>
  </si>
  <si>
    <r>
      <rPr>
        <sz val="10"/>
        <rFont val="Noto Sans CJK SC"/>
        <family val="2"/>
      </rPr>
      <t xml:space="preserve">隨著 </t>
    </r>
    <r>
      <rPr>
        <sz val="10"/>
        <rFont val="Arial"/>
        <family val="2"/>
      </rPr>
      <t xml:space="preserve">Coinbase </t>
    </r>
    <r>
      <rPr>
        <sz val="10"/>
        <rFont val="Noto Sans CJK SC"/>
        <family val="2"/>
      </rPr>
      <t>溢價指數下降，比特幣需求減弱</t>
    </r>
  </si>
  <si>
    <r>
      <rPr>
        <sz val="10"/>
        <rFont val="Noto Sans CJK SC"/>
        <family val="2"/>
      </rPr>
      <t xml:space="preserve">比特幣需求與 </t>
    </r>
    <r>
      <rPr>
        <sz val="10"/>
        <rFont val="Arial"/>
        <family val="2"/>
      </rPr>
      <t xml:space="preserve">Coinbase </t>
    </r>
    <r>
      <rPr>
        <sz val="10"/>
        <rFont val="Noto Sans CJK SC"/>
        <family val="2"/>
      </rPr>
      <t xml:space="preserve">溢價指標，不是 </t>
    </r>
    <r>
      <rPr>
        <sz val="10"/>
        <rFont val="Arial"/>
        <family val="2"/>
      </rPr>
      <t xml:space="preserve">Coinbase </t>
    </r>
    <r>
      <rPr>
        <sz val="10"/>
        <rFont val="Noto Sans CJK SC"/>
        <family val="2"/>
      </rPr>
      <t>營運惡化。</t>
    </r>
  </si>
  <si>
    <t>8223eec336e2ca59113293fd</t>
  </si>
  <si>
    <t>Fiserv's 2026 Outlook Cut Puts Revenue and Margin Pressure in Focus</t>
  </si>
  <si>
    <t>b85fb47a39549e96690d81d4</t>
  </si>
  <si>
    <t>BG</t>
  </si>
  <si>
    <t>Bunge Global</t>
  </si>
  <si>
    <t>How Revenue Growth Amid Margin Pressure Will Impact Bunge Global (BG) Investors</t>
  </si>
  <si>
    <t>ee61869adc7dc1e65e326d0e</t>
  </si>
  <si>
    <t>CLX</t>
  </si>
  <si>
    <t>Clorox</t>
  </si>
  <si>
    <t>Is Clorox Stock Worth Buying as GOJO Growth Meets Margin Pressure?</t>
  </si>
  <si>
    <t>b3bfb07265a165d7e7332a07</t>
  </si>
  <si>
    <t>2026-08-26</t>
  </si>
  <si>
    <t>EME</t>
  </si>
  <si>
    <t>Emcor</t>
  </si>
  <si>
    <t>Can EMCOR's Mechanical Construction Growth Offset Margin Pressure?</t>
  </si>
  <si>
    <t>5d78fbb6f4e63672fc45fc0c</t>
  </si>
  <si>
    <t>2026-08-28</t>
  </si>
  <si>
    <t>HRL</t>
  </si>
  <si>
    <t>Hormel Foods Corporation Common Stock</t>
  </si>
  <si>
    <t>HRL Q2 Deep Dive: Volumes Decline, Margin Pressures Persist, Management Eyes Brand Investment</t>
  </si>
  <si>
    <r>
      <rPr>
        <sz val="10"/>
        <rFont val="Arial"/>
        <family val="2"/>
      </rPr>
      <t xml:space="preserve">Hormel </t>
    </r>
    <r>
      <rPr>
        <sz val="10"/>
        <rFont val="Noto Sans CJK SC"/>
        <family val="2"/>
      </rPr>
      <t>銷量下滑、毛利壓力持續。</t>
    </r>
  </si>
  <si>
    <t>d83699b13932c7eb7a3bb9a5</t>
  </si>
  <si>
    <t>HPQ</t>
  </si>
  <si>
    <t>HP Inc. Common Stock</t>
  </si>
  <si>
    <t>HPQ Q2 Deep Dive: AI PCs Drive Growth Amid Margin Pressures and Cautious Outlook</t>
  </si>
  <si>
    <t>a44ba651f906be9b1d3a4bc9</t>
  </si>
  <si>
    <t>2026-09-01</t>
  </si>
  <si>
    <t>Clorox Slides as Weak Demand, Margin Pressure, and Cautious FY27 Outlook Remain in Focus</t>
  </si>
  <si>
    <r>
      <rPr>
        <sz val="10"/>
        <rFont val="Arial"/>
        <family val="2"/>
      </rPr>
      <t xml:space="preserve">Clorox </t>
    </r>
    <r>
      <rPr>
        <sz val="10"/>
        <rFont val="Noto Sans CJK SC"/>
        <family val="2"/>
      </rPr>
      <t>需求疲弱、毛利壓力，</t>
    </r>
    <r>
      <rPr>
        <sz val="10"/>
        <rFont val="Arial"/>
        <family val="2"/>
      </rPr>
      <t xml:space="preserve">FY27 </t>
    </r>
    <r>
      <rPr>
        <sz val="10"/>
        <rFont val="Noto Sans CJK SC"/>
        <family val="2"/>
      </rPr>
      <t>展望保守，股價下滑。</t>
    </r>
  </si>
  <si>
    <t>9cebe0a71c84871dc5c89d97</t>
  </si>
  <si>
    <t>TSLA</t>
  </si>
  <si>
    <t xml:space="preserve">Tesla, Inc. </t>
  </si>
  <si>
    <t>China’s Battery EV Market Grows as Tesla (TSLA Stock) Posts Third Straight Monthly Sales Decline</t>
  </si>
  <si>
    <t>CarbonCredits.com</t>
  </si>
  <si>
    <r>
      <rPr>
        <sz val="10"/>
        <rFont val="Arial"/>
        <family val="2"/>
      </rPr>
      <t xml:space="preserve">Tesla </t>
    </r>
    <r>
      <rPr>
        <sz val="10"/>
        <rFont val="Noto Sans CJK SC"/>
        <family val="2"/>
      </rPr>
      <t>在中國連續第三個月銷量下滑。</t>
    </r>
  </si>
  <si>
    <t>e93659c09f89627db22cf26f</t>
  </si>
  <si>
    <t>Clorox Falls as Investors Weigh Margin Pressure and a Cautious FY27 Setup</t>
  </si>
  <si>
    <t>8b9128532f72eb788dcb809d</t>
  </si>
  <si>
    <t>2026-09-15</t>
  </si>
  <si>
    <t>How Copart’s (CPRT) Slower EPS and Margin Compression Has Changed Its Investment Story</t>
  </si>
  <si>
    <t>57964828f90fa7454fc5fa7b</t>
  </si>
  <si>
    <t>Lennar Fiscal Q3 Adjusted Earnings, Revenue Decline</t>
  </si>
  <si>
    <r>
      <rPr>
        <sz val="10"/>
        <rFont val="Arial"/>
        <family val="2"/>
      </rPr>
      <t xml:space="preserve">Lennar </t>
    </r>
    <r>
      <rPr>
        <sz val="10"/>
        <rFont val="Noto Sans CJK SC"/>
        <family val="2"/>
      </rPr>
      <t>第三財季調整後獲利與營收下滑。</t>
    </r>
  </si>
  <si>
    <t>ff424b0a675f590eef5dfdb7</t>
  </si>
  <si>
    <t>CAH</t>
  </si>
  <si>
    <t>Cardinal Health, Inc. Common Stock</t>
  </si>
  <si>
    <t>Can CAH Navigate IRA Pricing Changes Risk Without Margin Pressure?</t>
  </si>
  <si>
    <t>69fe4dfd13e8c130ffbb70cd</t>
  </si>
  <si>
    <t>QCOM</t>
  </si>
  <si>
    <t>QUALCOMM Incorporated</t>
  </si>
  <si>
    <t>Qualcomm Faces Margin Pressure From Rising Costs: Can it Recover?</t>
  </si>
  <si>
    <t>1c1c2926e0f6d97309c18735</t>
  </si>
  <si>
    <t>Lennar (LEN) Stock Climbs Even As Margin Pressure Clouds Premium Valuation</t>
  </si>
  <si>
    <t>51b3edb1d6ffbc032b5ff408</t>
  </si>
  <si>
    <t>DRI Q3 Deep Dive: Margin Pressures and Consumer Trends Shape Restaurant Performance</t>
  </si>
  <si>
    <t>a6b18f2660b88eee008a8a12</t>
  </si>
  <si>
    <t>HCA</t>
  </si>
  <si>
    <t>HCA Healthcare, Inc. Common Stock</t>
  </si>
  <si>
    <t>Can HCA Healthcare (HCA) Overcome Healthcare’s Margin Pressures?</t>
  </si>
  <si>
    <r>
      <rPr>
        <sz val="10"/>
        <rFont val="Noto Sans CJK SC"/>
        <family val="2"/>
      </rPr>
      <t>與公司風險無關：非該公司事件、體育賽事（</t>
    </r>
    <r>
      <rPr>
        <sz val="10"/>
        <rFont val="Arial"/>
        <family val="2"/>
      </rPr>
      <t xml:space="preserve">FedEx Cup </t>
    </r>
    <r>
      <rPr>
        <sz val="10"/>
        <rFont val="Noto Sans CJK SC"/>
        <family val="2"/>
      </rPr>
      <t>等）、同名誤配、或一般行銷／人事新聞。</t>
    </r>
  </si>
  <si>
    <t>e6bd5fc60dcaf770a8a58adc</t>
  </si>
  <si>
    <t>BLDR</t>
  </si>
  <si>
    <t>Builders FirstSource, Inc. Common Stock</t>
  </si>
  <si>
    <t>Truist cuts Builders FirstSource stock price target on margin pressure</t>
  </si>
  <si>
    <r>
      <rPr>
        <sz val="10"/>
        <rFont val="Arial"/>
        <family val="2"/>
      </rPr>
      <t xml:space="preserve">Truist </t>
    </r>
    <r>
      <rPr>
        <sz val="10"/>
        <rFont val="Noto Sans CJK SC"/>
        <family val="2"/>
      </rPr>
      <t xml:space="preserve">因毛利壓力調降 </t>
    </r>
    <r>
      <rPr>
        <sz val="10"/>
        <rFont val="Arial"/>
        <family val="2"/>
      </rPr>
      <t xml:space="preserve">Builders FirstSource </t>
    </r>
    <r>
      <rPr>
        <sz val="10"/>
        <rFont val="Noto Sans CJK SC"/>
        <family val="2"/>
      </rPr>
      <t>目標價。</t>
    </r>
  </si>
  <si>
    <t>54889863e846041115bc2a16</t>
  </si>
  <si>
    <t>PEP</t>
  </si>
  <si>
    <t>PepsiCo, Inc.</t>
  </si>
  <si>
    <t>PEP Q3 Deep Dive: International Growth Offsets North American Beverage Weakness, Margin Pressures Persist</t>
  </si>
  <si>
    <r>
      <rPr>
        <sz val="10"/>
        <rFont val="Arial"/>
        <family val="2"/>
      </rPr>
      <t xml:space="preserve">PepsiCo </t>
    </r>
    <r>
      <rPr>
        <sz val="10"/>
        <rFont val="Noto Sans CJK SC"/>
        <family val="2"/>
      </rPr>
      <t>第三季北美飲料疲弱、毛利壓力持續。</t>
    </r>
  </si>
  <si>
    <t>75fdb756567aabe6eaf2652d</t>
  </si>
  <si>
    <t>CME</t>
  </si>
  <si>
    <t>CME Group Inc.</t>
  </si>
  <si>
    <t>Lean hogs hit contract lows as pork demand weakens - CME</t>
  </si>
  <si>
    <r>
      <rPr>
        <sz val="10"/>
        <rFont val="Noto Sans CJK SC"/>
        <family val="2"/>
      </rPr>
      <t xml:space="preserve">由於豬肉需求疲軟，瘦肉型生豬觸及合約低點 </t>
    </r>
    <r>
      <rPr>
        <sz val="10"/>
        <rFont val="Arial"/>
        <family val="2"/>
      </rPr>
      <t>- CME</t>
    </r>
  </si>
  <si>
    <t>The Pig Site</t>
  </si>
  <si>
    <t>b3e791641341a45b979b1241</t>
  </si>
  <si>
    <t>KMB</t>
  </si>
  <si>
    <t>Kimberly-Clark Corporation</t>
  </si>
  <si>
    <t>Kimberly-Clark Forecasts Quarterly Sales Decline Following Social-Media Firestorm in China</t>
  </si>
  <si>
    <t>金佰利預測中國社群媒體風暴過後季度銷售額將下降</t>
  </si>
  <si>
    <t>WSJ</t>
  </si>
  <si>
    <r>
      <rPr>
        <sz val="10"/>
        <rFont val="Arial"/>
        <family val="2"/>
      </rPr>
      <t xml:space="preserve">Kimberly-Clark </t>
    </r>
    <r>
      <rPr>
        <sz val="10"/>
        <rFont val="Noto Sans CJK SC"/>
        <family val="2"/>
      </rPr>
      <t>因中國社群風波預告季度銷售下滑。</t>
    </r>
  </si>
  <si>
    <t>ae926c1daf6856d6841ad4bf</t>
  </si>
  <si>
    <t>J.B. Hunt falls 4% as margin pressures offset revenue beat</t>
  </si>
  <si>
    <r>
      <rPr>
        <sz val="10"/>
        <rFont val="Arial"/>
        <family val="2"/>
      </rPr>
      <t xml:space="preserve">J.B. Hunt </t>
    </r>
    <r>
      <rPr>
        <sz val="10"/>
        <rFont val="Noto Sans CJK SC"/>
        <family val="2"/>
      </rPr>
      <t xml:space="preserve">股價下跌 </t>
    </r>
    <r>
      <rPr>
        <sz val="10"/>
        <rFont val="Arial"/>
        <family val="2"/>
      </rPr>
      <t>4%</t>
    </r>
    <r>
      <rPr>
        <sz val="10"/>
        <rFont val="Noto Sans CJK SC"/>
        <family val="2"/>
      </rPr>
      <t>，因利潤率壓力抵銷了營收超出預期</t>
    </r>
  </si>
  <si>
    <r>
      <rPr>
        <sz val="10"/>
        <rFont val="Arial"/>
        <family val="2"/>
      </rPr>
      <t xml:space="preserve">J.B. Hunt </t>
    </r>
    <r>
      <rPr>
        <sz val="10"/>
        <rFont val="Noto Sans CJK SC"/>
        <family val="2"/>
      </rPr>
      <t xml:space="preserve">營收優於預期但毛利壓力使股價跌 </t>
    </r>
    <r>
      <rPr>
        <sz val="10"/>
        <rFont val="Arial"/>
        <family val="2"/>
      </rPr>
      <t>4%</t>
    </r>
    <r>
      <rPr>
        <sz val="10"/>
        <rFont val="Noto Sans CJK SC"/>
        <family val="2"/>
      </rPr>
      <t>。</t>
    </r>
  </si>
  <si>
    <t>0b28b0209faf0bb5ebf20b37</t>
  </si>
  <si>
    <t>FAST</t>
  </si>
  <si>
    <t>Fastenal</t>
  </si>
  <si>
    <t>Fastenal Flashes Bullish Signal as Uptrend Holds Despite Margin Pressure</t>
  </si>
  <si>
    <r>
      <rPr>
        <sz val="10"/>
        <rFont val="Noto Sans CJK SC"/>
        <family val="2"/>
      </rPr>
      <t>儘管利潤率面臨壓力，但仍保持上升趨勢，</t>
    </r>
    <r>
      <rPr>
        <sz val="10"/>
        <rFont val="Arial"/>
        <family val="2"/>
      </rPr>
      <t xml:space="preserve">Fastenal </t>
    </r>
    <r>
      <rPr>
        <sz val="10"/>
        <rFont val="Noto Sans CJK SC"/>
        <family val="2"/>
      </rPr>
      <t>閃爍看漲訊號</t>
    </r>
  </si>
  <si>
    <t>MarketBeat</t>
  </si>
  <si>
    <t>6decca22cb7377dd62f5f73e</t>
  </si>
  <si>
    <t>PFE</t>
  </si>
  <si>
    <t>Pfizer, Inc. Common Stock</t>
  </si>
  <si>
    <t>Pfizer, Moderna lose bids to escape Bayer US mRNA patent lawsuit</t>
  </si>
  <si>
    <t>PATENT_LITIGATION</t>
  </si>
  <si>
    <t>專利訴訟</t>
  </si>
  <si>
    <r>
      <rPr>
        <sz val="10"/>
        <rFont val="Noto Sans CJK SC"/>
        <family val="2"/>
      </rPr>
      <t>輝瑞、</t>
    </r>
    <r>
      <rPr>
        <sz val="10"/>
        <rFont val="Arial"/>
        <family val="2"/>
      </rPr>
      <t xml:space="preserve">Moderna </t>
    </r>
    <r>
      <rPr>
        <sz val="10"/>
        <rFont val="Noto Sans CJK SC"/>
        <family val="2"/>
      </rPr>
      <t xml:space="preserve">未能駁回拜耳 </t>
    </r>
    <r>
      <rPr>
        <sz val="10"/>
        <rFont val="Arial"/>
        <family val="2"/>
      </rPr>
      <t xml:space="preserve">mRNA </t>
    </r>
    <r>
      <rPr>
        <sz val="10"/>
        <rFont val="Noto Sans CJK SC"/>
        <family val="2"/>
      </rPr>
      <t>專利訴訟。</t>
    </r>
  </si>
  <si>
    <t>80449a1b7ea075a3a7440d89</t>
  </si>
  <si>
    <t>DXCM</t>
  </si>
  <si>
    <t>DexCom, Inc.</t>
  </si>
  <si>
    <t>Interview With Dexcom COO On Product Recall, Sensors Reliability And More Cubs Vs Braves (JjJBIf6TRB)</t>
  </si>
  <si>
    <r>
      <rPr>
        <sz val="10"/>
        <rFont val="Arial"/>
        <family val="2"/>
      </rPr>
      <t xml:space="preserve">Dexcom </t>
    </r>
    <r>
      <rPr>
        <sz val="10"/>
        <rFont val="Noto Sans CJK SC"/>
        <family val="2"/>
      </rPr>
      <t xml:space="preserve">營運長就產品召回、感測器可靠性以及更多小熊隊與勇敢隊的採訪 </t>
    </r>
    <r>
      <rPr>
        <sz val="10"/>
        <rFont val="Arial"/>
        <family val="2"/>
      </rPr>
      <t>(JjJBIf6TRB)</t>
    </r>
  </si>
  <si>
    <t>mshale.com</t>
  </si>
  <si>
    <t>PRODUCT_RECALL</t>
  </si>
  <si>
    <t>產品召回</t>
  </si>
  <si>
    <r>
      <rPr>
        <sz val="10"/>
        <rFont val="Arial"/>
        <family val="2"/>
      </rPr>
      <t xml:space="preserve">Dexcom </t>
    </r>
    <r>
      <rPr>
        <sz val="10"/>
        <rFont val="Noto Sans CJK SC"/>
        <family val="2"/>
      </rPr>
      <t>感測器召回與可靠性訪談（</t>
    </r>
    <r>
      <rPr>
        <sz val="10"/>
        <rFont val="Arial"/>
        <family val="2"/>
      </rPr>
      <t xml:space="preserve">COO </t>
    </r>
    <r>
      <rPr>
        <sz val="10"/>
        <rFont val="Noto Sans CJK SC"/>
        <family val="2"/>
      </rPr>
      <t>指該公司營運長）。</t>
    </r>
  </si>
  <si>
    <t>06b829604b78fb2cb544452b</t>
  </si>
  <si>
    <t>COO</t>
  </si>
  <si>
    <t>Cooper Companies (The)</t>
  </si>
  <si>
    <t>a9ad064debb83b9fb1cf49e0</t>
  </si>
  <si>
    <t>BSX</t>
  </si>
  <si>
    <t>Boston Scientific Corporation Common Sto</t>
  </si>
  <si>
    <t>Boston Scientific (BSX) Issues Multiple Worldwide Product Recalls</t>
  </si>
  <si>
    <r>
      <rPr>
        <sz val="10"/>
        <rFont val="Noto Sans CJK SC"/>
        <family val="2"/>
      </rPr>
      <t xml:space="preserve">波士頓科學公司 </t>
    </r>
    <r>
      <rPr>
        <sz val="10"/>
        <rFont val="Arial"/>
        <family val="2"/>
      </rPr>
      <t xml:space="preserve">(BSX) </t>
    </r>
    <r>
      <rPr>
        <sz val="10"/>
        <rFont val="Noto Sans CJK SC"/>
        <family val="2"/>
      </rPr>
      <t>在全球召回多項產品</t>
    </r>
  </si>
  <si>
    <t>波士頓科學多項全球產品召回。</t>
  </si>
  <si>
    <t>e85678c7fd1d879d8f5ce35d</t>
  </si>
  <si>
    <t>Clorox Inflation Pressures Exceed $200M in 2026 | Supply Chain Impact - News and Statistics</t>
  </si>
  <si>
    <r>
      <rPr>
        <sz val="10"/>
        <rFont val="Noto Sans CJK SC"/>
        <family val="2"/>
      </rPr>
      <t xml:space="preserve">高樂氏 </t>
    </r>
    <r>
      <rPr>
        <sz val="10"/>
        <rFont val="Arial"/>
        <family val="2"/>
      </rPr>
      <t xml:space="preserve">(Clorox) </t>
    </r>
    <r>
      <rPr>
        <sz val="10"/>
        <rFont val="Noto Sans CJK SC"/>
        <family val="2"/>
      </rPr>
      <t xml:space="preserve">通膨壓力在 </t>
    </r>
    <r>
      <rPr>
        <sz val="10"/>
        <rFont val="Arial"/>
        <family val="2"/>
      </rPr>
      <t xml:space="preserve">2026 </t>
    </r>
    <r>
      <rPr>
        <sz val="10"/>
        <rFont val="Noto Sans CJK SC"/>
        <family val="2"/>
      </rPr>
      <t xml:space="preserve">年將超過 </t>
    </r>
    <r>
      <rPr>
        <sz val="10"/>
        <rFont val="Arial"/>
        <family val="2"/>
      </rPr>
      <t xml:space="preserve">2 </t>
    </r>
    <r>
      <rPr>
        <sz val="10"/>
        <rFont val="Noto Sans CJK SC"/>
        <family val="2"/>
      </rPr>
      <t xml:space="preserve">億美元 </t>
    </r>
    <r>
      <rPr>
        <sz val="10"/>
        <rFont val="Arial"/>
        <family val="2"/>
      </rPr>
      <t>|</t>
    </r>
    <r>
      <rPr>
        <sz val="10"/>
        <rFont val="Noto Sans CJK SC"/>
        <family val="2"/>
      </rPr>
      <t xml:space="preserve">供應鏈影響 </t>
    </r>
    <r>
      <rPr>
        <sz val="10"/>
        <rFont val="Arial"/>
        <family val="2"/>
      </rPr>
      <t xml:space="preserve">- </t>
    </r>
    <r>
      <rPr>
        <sz val="10"/>
        <rFont val="Noto Sans CJK SC"/>
        <family val="2"/>
      </rPr>
      <t>新聞和統計數據</t>
    </r>
  </si>
  <si>
    <t>IndexBox</t>
  </si>
  <si>
    <t>SUPPLY_CHAIN_DISRUPTION</t>
  </si>
  <si>
    <t>供應鏈中斷</t>
  </si>
  <si>
    <r>
      <rPr>
        <sz val="10"/>
        <rFont val="Arial"/>
        <family val="2"/>
      </rPr>
      <t xml:space="preserve">Clorox </t>
    </r>
    <r>
      <rPr>
        <sz val="10"/>
        <rFont val="Noto Sans CJK SC"/>
        <family val="2"/>
      </rPr>
      <t xml:space="preserve">預期通膨與供應鏈成本衝擊逾 </t>
    </r>
    <r>
      <rPr>
        <sz val="10"/>
        <rFont val="Arial"/>
        <family val="2"/>
      </rPr>
      <t xml:space="preserve">2 </t>
    </r>
    <r>
      <rPr>
        <sz val="10"/>
        <rFont val="Noto Sans CJK SC"/>
        <family val="2"/>
      </rPr>
      <t>億美元。</t>
    </r>
  </si>
  <si>
    <t>8ff97c8c619aecc651823af8</t>
  </si>
  <si>
    <t>Clorox expects $200M inflation hit, supply chain costs a factor</t>
  </si>
  <si>
    <r>
      <rPr>
        <sz val="10"/>
        <rFont val="Noto Sans CJK SC"/>
        <family val="2"/>
      </rPr>
      <t xml:space="preserve">高樂氏 </t>
    </r>
    <r>
      <rPr>
        <sz val="10"/>
        <rFont val="Arial"/>
        <family val="2"/>
      </rPr>
      <t xml:space="preserve">(Clorox) </t>
    </r>
    <r>
      <rPr>
        <sz val="10"/>
        <rFont val="Noto Sans CJK SC"/>
        <family val="2"/>
      </rPr>
      <t xml:space="preserve">預計通膨將打擊 </t>
    </r>
    <r>
      <rPr>
        <sz val="10"/>
        <rFont val="Arial"/>
        <family val="2"/>
      </rPr>
      <t xml:space="preserve">2 </t>
    </r>
    <r>
      <rPr>
        <sz val="10"/>
        <rFont val="Noto Sans CJK SC"/>
        <family val="2"/>
      </rPr>
      <t>億美元，供應鏈成本是一個因素</t>
    </r>
  </si>
  <si>
    <t>Supply Chain Dive</t>
  </si>
  <si>
    <t>bf7dc809f82f94e7c28ad1c9</t>
  </si>
  <si>
    <t>AAPL</t>
  </si>
  <si>
    <t>Apple Inc.</t>
  </si>
  <si>
    <t>AAPL Looks 11.1% Overvalued on GF Value™ Amid Supply Chain Setba</t>
  </si>
  <si>
    <r>
      <rPr>
        <sz val="10"/>
        <rFont val="Arial"/>
        <family val="2"/>
      </rPr>
      <t xml:space="preserve">GF Value™ </t>
    </r>
    <r>
      <rPr>
        <sz val="10"/>
        <rFont val="Noto Sans CJK SC"/>
        <family val="2"/>
      </rPr>
      <t xml:space="preserve">在供應鏈 </t>
    </r>
    <r>
      <rPr>
        <sz val="10"/>
        <rFont val="Arial"/>
        <family val="2"/>
      </rPr>
      <t xml:space="preserve">Setba </t>
    </r>
    <r>
      <rPr>
        <sz val="10"/>
        <rFont val="Noto Sans CJK SC"/>
        <family val="2"/>
      </rPr>
      <t xml:space="preserve">中顯示 </t>
    </r>
    <r>
      <rPr>
        <sz val="10"/>
        <rFont val="Arial"/>
        <family val="2"/>
      </rPr>
      <t xml:space="preserve">AAPL </t>
    </r>
    <r>
      <rPr>
        <sz val="10"/>
        <rFont val="Noto Sans CJK SC"/>
        <family val="2"/>
      </rPr>
      <t xml:space="preserve">的估值被高估了 </t>
    </r>
    <r>
      <rPr>
        <sz val="10"/>
        <rFont val="Arial"/>
        <family val="2"/>
      </rPr>
      <t>11.1%</t>
    </r>
  </si>
  <si>
    <t>GuruFocus</t>
  </si>
  <si>
    <t>d502953a4505c95a0e05c0ad</t>
  </si>
  <si>
    <t>SPGI</t>
  </si>
  <si>
    <t>S&amp;P Global Inc. Common Stock</t>
  </si>
  <si>
    <t>S&amp;P Global Energy | US loans for long-lead nuclear components seen boosting US, South Korean supply chain</t>
  </si>
  <si>
    <t>whitecase.com</t>
  </si>
  <si>
    <t>59b3a15429e441c7cc7b980b</t>
  </si>
  <si>
    <t>TXN</t>
  </si>
  <si>
    <t>Texas Instruments Incorporated</t>
  </si>
  <si>
    <t>GE Appliances Expands Domestic Semiconductor Supply Chain With Texas Instruments</t>
  </si>
  <si>
    <r>
      <rPr>
        <sz val="10"/>
        <rFont val="Arial"/>
        <family val="2"/>
      </rPr>
      <t xml:space="preserve">GE Appliances </t>
    </r>
    <r>
      <rPr>
        <sz val="10"/>
        <rFont val="Noto Sans CJK SC"/>
        <family val="2"/>
      </rPr>
      <t xml:space="preserve">與德州儀器 </t>
    </r>
    <r>
      <rPr>
        <sz val="10"/>
        <rFont val="Arial"/>
        <family val="2"/>
      </rPr>
      <t xml:space="preserve">(TI) </t>
    </r>
    <r>
      <rPr>
        <sz val="10"/>
        <rFont val="Noto Sans CJK SC"/>
        <family val="2"/>
      </rPr>
      <t>合作拓展國內半導體供應鏈</t>
    </r>
  </si>
  <si>
    <t>Assembly Magazine</t>
  </si>
  <si>
    <t>0b1025b993537df24787a520</t>
  </si>
  <si>
    <t>Erik Huestis and Alexander Akhiezer Author WIPR Article on Quantum Computing Supply Chains and IP Strategy</t>
  </si>
  <si>
    <r>
      <rPr>
        <sz val="10"/>
        <rFont val="Arial"/>
        <family val="2"/>
      </rPr>
      <t xml:space="preserve">Erik Huestis </t>
    </r>
    <r>
      <rPr>
        <sz val="10"/>
        <rFont val="Noto Sans CJK SC"/>
        <family val="2"/>
      </rPr>
      <t xml:space="preserve">和 </t>
    </r>
    <r>
      <rPr>
        <sz val="10"/>
        <rFont val="Arial"/>
        <family val="2"/>
      </rPr>
      <t xml:space="preserve">Alexander Akhiezer </t>
    </r>
    <r>
      <rPr>
        <sz val="10"/>
        <rFont val="Noto Sans CJK SC"/>
        <family val="2"/>
      </rPr>
      <t xml:space="preserve">撰寫了有關量子運算供應鍊和智慧財產權策略的 </t>
    </r>
    <r>
      <rPr>
        <sz val="10"/>
        <rFont val="Arial"/>
        <family val="2"/>
      </rPr>
      <t xml:space="preserve">WIPR </t>
    </r>
    <r>
      <rPr>
        <sz val="10"/>
        <rFont val="Noto Sans CJK SC"/>
        <family val="2"/>
      </rPr>
      <t>文章</t>
    </r>
  </si>
  <si>
    <t>Foley Hoag</t>
  </si>
  <si>
    <t>2ae2574d885e90320dc1f71a</t>
  </si>
  <si>
    <t>LITE</t>
  </si>
  <si>
    <t>Lumentum</t>
  </si>
  <si>
    <t>Lumentum Earnings Top Estimates Amid Supply Chain Constraints</t>
  </si>
  <si>
    <r>
      <rPr>
        <sz val="10"/>
        <rFont val="Noto Sans CJK SC"/>
        <family val="2"/>
      </rPr>
      <t xml:space="preserve">在供應鏈限制下 </t>
    </r>
    <r>
      <rPr>
        <sz val="10"/>
        <rFont val="Arial"/>
        <family val="2"/>
      </rPr>
      <t xml:space="preserve">Lumentum </t>
    </r>
    <r>
      <rPr>
        <sz val="10"/>
        <rFont val="Noto Sans CJK SC"/>
        <family val="2"/>
      </rPr>
      <t>獲利高於預期</t>
    </r>
  </si>
  <si>
    <t>Investor's Business Daily</t>
  </si>
  <si>
    <t>ba2489141f501d0044f524e4</t>
  </si>
  <si>
    <t>Goldman Sachs Acquires Food Supply Chain Reusables Solutions Provider Tosca</t>
  </si>
  <si>
    <r>
      <rPr>
        <sz val="10"/>
        <rFont val="Noto Sans CJK SC"/>
        <family val="2"/>
      </rPr>
      <t xml:space="preserve">高盛收購食品供應鏈可重複使用解決方案供應商 </t>
    </r>
    <r>
      <rPr>
        <sz val="10"/>
        <rFont val="Arial"/>
        <family val="2"/>
      </rPr>
      <t>Tosca</t>
    </r>
  </si>
  <si>
    <t>ESG Today</t>
  </si>
  <si>
    <t>d41507d9f8405288bbf87150</t>
  </si>
  <si>
    <t>WTW</t>
  </si>
  <si>
    <t>Willis Towers Watson</t>
  </si>
  <si>
    <t>WTW research warns of global vulnerabilities from concentrated lithium supply chains as critical mineral demand grows</t>
  </si>
  <si>
    <r>
      <rPr>
        <sz val="10"/>
        <rFont val="Arial"/>
        <family val="2"/>
      </rPr>
      <t xml:space="preserve">WTW </t>
    </r>
    <r>
      <rPr>
        <sz val="10"/>
        <rFont val="Noto Sans CJK SC"/>
        <family val="2"/>
      </rPr>
      <t>研究警告稱，隨著關鍵礦產需求的增長，集中鋰供應鏈將導致全球脆弱性</t>
    </r>
  </si>
  <si>
    <t>fe1bcd9ebdaca440faf06f63</t>
  </si>
  <si>
    <t>HWM</t>
  </si>
  <si>
    <t>Howmet Aerospace Inc. Common Stock</t>
  </si>
  <si>
    <t>Howmet Aerospace (HWM): A Critical Aerospace Supply Chain Play</t>
  </si>
  <si>
    <r>
      <rPr>
        <sz val="10"/>
        <rFont val="Arial"/>
        <family val="2"/>
      </rPr>
      <t>Howmet Aerospace (HWM)</t>
    </r>
    <r>
      <rPr>
        <sz val="10"/>
        <rFont val="Noto Sans CJK SC"/>
        <family val="2"/>
      </rPr>
      <t>：關鍵的航太供應鏈</t>
    </r>
  </si>
  <si>
    <t>97933da1e82c3e759064ca75</t>
  </si>
  <si>
    <t>GM</t>
  </si>
  <si>
    <t>General Motors</t>
  </si>
  <si>
    <t>GM Reveals $4.5B Supply Chain Shield for Emergencies</t>
  </si>
  <si>
    <r>
      <rPr>
        <sz val="10"/>
        <rFont val="Noto Sans CJK SC"/>
        <family val="2"/>
      </rPr>
      <t xml:space="preserve">通用汽車推出 </t>
    </r>
    <r>
      <rPr>
        <sz val="10"/>
        <rFont val="Arial"/>
        <family val="2"/>
      </rPr>
      <t xml:space="preserve">4.5B </t>
    </r>
    <r>
      <rPr>
        <sz val="10"/>
        <rFont val="Noto Sans CJK SC"/>
        <family val="2"/>
      </rPr>
      <t>美元的供應鏈緊急保障計劃</t>
    </r>
  </si>
  <si>
    <t>Industrial Equipment News</t>
  </si>
  <si>
    <t>49b7923dc1d230db9e2bd0b8</t>
  </si>
  <si>
    <t>GM Finds Partner to Manage Parts Supply Chain</t>
  </si>
  <si>
    <t>通用汽車尋找合作夥伴來管理零件供應鏈</t>
  </si>
  <si>
    <t>American Machinist</t>
  </si>
  <si>
    <t>e379d7c47d99032cd60fdeba</t>
  </si>
  <si>
    <t>NXPI</t>
  </si>
  <si>
    <t>NXP Semiconductors</t>
  </si>
  <si>
    <t>How Could NXP Semiconductors (NXPI) Malaysia Expansion Reshape Its Supply Chain?</t>
  </si>
  <si>
    <r>
      <rPr>
        <sz val="10"/>
        <rFont val="Noto Sans CJK SC"/>
        <family val="2"/>
      </rPr>
      <t xml:space="preserve">恩智浦半導體 </t>
    </r>
    <r>
      <rPr>
        <sz val="10"/>
        <rFont val="Arial"/>
        <family val="2"/>
      </rPr>
      <t xml:space="preserve">(NXPI) </t>
    </r>
    <r>
      <rPr>
        <sz val="10"/>
        <rFont val="Noto Sans CJK SC"/>
        <family val="2"/>
      </rPr>
      <t>馬來西亞擴張如何重塑其供應鏈？</t>
    </r>
  </si>
  <si>
    <t>c2c1ee9a79bb5721a9fa5943</t>
  </si>
  <si>
    <t>AAPL Stock Heads For Worst Single-Day Fall In Over A Year — Wall Street Warns Apple’s AI Supply Chain Headwinds Are Far From Over</t>
  </si>
  <si>
    <t>蘋果股價將迎來一年多來最嚴重的單日跌幅——華爾街警告蘋果的人工智慧供應鏈逆風還遠未結束</t>
  </si>
  <si>
    <r>
      <rPr>
        <sz val="10"/>
        <rFont val="Arial"/>
        <family val="2"/>
      </rPr>
      <t xml:space="preserve">Apple </t>
    </r>
    <r>
      <rPr>
        <sz val="10"/>
        <rFont val="Noto Sans CJK SC"/>
        <family val="2"/>
      </rPr>
      <t xml:space="preserve">股價單日重挫，華爾街擔憂 </t>
    </r>
    <r>
      <rPr>
        <sz val="10"/>
        <rFont val="Arial"/>
        <family val="2"/>
      </rPr>
      <t xml:space="preserve">AI </t>
    </r>
    <r>
      <rPr>
        <sz val="10"/>
        <rFont val="Noto Sans CJK SC"/>
        <family val="2"/>
      </rPr>
      <t>供應鏈。</t>
    </r>
  </si>
  <si>
    <t>c28b9130df3e27acf925d78d</t>
  </si>
  <si>
    <t>CCL</t>
  </si>
  <si>
    <t>Carnival Corporation Ltd. Common Shares</t>
  </si>
  <si>
    <t>AI server tracker: Demand drives strong growth across Taiwan's CCL, design services, substrate, and testing supply chains</t>
  </si>
  <si>
    <r>
      <rPr>
        <sz val="10"/>
        <rFont val="Arial"/>
        <family val="2"/>
      </rPr>
      <t>AI</t>
    </r>
    <r>
      <rPr>
        <sz val="10"/>
        <rFont val="Noto Sans CJK SC"/>
        <family val="2"/>
      </rPr>
      <t>伺服器追蹤器：需求推動台灣覆銅板、設計服務、基板和測試供應鏈的強勁成長</t>
    </r>
  </si>
  <si>
    <t>digitimes</t>
  </si>
  <si>
    <t>d7774402c06fd368c8241502</t>
  </si>
  <si>
    <t>Goldman Sachs Alternatives To Acquire Tosca From Apax, Backing 63-Center Reusable Food Supply Chain Platform</t>
  </si>
  <si>
    <r>
      <rPr>
        <sz val="10"/>
        <rFont val="Noto Sans CJK SC"/>
        <family val="2"/>
      </rPr>
      <t>高盛</t>
    </r>
    <r>
      <rPr>
        <sz val="10"/>
        <rFont val="Arial"/>
        <family val="2"/>
      </rPr>
      <t>Alternatives</t>
    </r>
    <r>
      <rPr>
        <sz val="10"/>
        <rFont val="Noto Sans CJK SC"/>
        <family val="2"/>
      </rPr>
      <t>將從</t>
    </r>
    <r>
      <rPr>
        <sz val="10"/>
        <rFont val="Arial"/>
        <family val="2"/>
      </rPr>
      <t>Apax</t>
    </r>
    <r>
      <rPr>
        <sz val="10"/>
        <rFont val="Noto Sans CJK SC"/>
        <family val="2"/>
      </rPr>
      <t>手中收購</t>
    </r>
    <r>
      <rPr>
        <sz val="10"/>
        <rFont val="Arial"/>
        <family val="2"/>
      </rPr>
      <t>Tosca</t>
    </r>
    <r>
      <rPr>
        <sz val="10"/>
        <rFont val="Noto Sans CJK SC"/>
        <family val="2"/>
      </rPr>
      <t>，支援</t>
    </r>
    <r>
      <rPr>
        <sz val="10"/>
        <rFont val="Arial"/>
        <family val="2"/>
      </rPr>
      <t>63</t>
    </r>
    <r>
      <rPr>
        <sz val="10"/>
        <rFont val="Noto Sans CJK SC"/>
        <family val="2"/>
      </rPr>
      <t>中心可重複使用食品供應鏈平台</t>
    </r>
  </si>
  <si>
    <t>Pulse 2.0</t>
  </si>
  <si>
    <t>0053944c963219a3640f45d6</t>
  </si>
  <si>
    <t>BBY</t>
  </si>
  <si>
    <t>Best Buy</t>
  </si>
  <si>
    <t>Best Buy achieves zero waste goal at supply chain facilities</t>
  </si>
  <si>
    <t>esgdive.com</t>
  </si>
  <si>
    <t>9b91acd3984657a709b46053</t>
  </si>
  <si>
    <t>2026-08-27</t>
  </si>
  <si>
    <t>Nvidia blowout earnings spur mixed reaction in its Asian supply chain, here’s why:</t>
  </si>
  <si>
    <t>40915b7abd936cc448ca631c</t>
  </si>
  <si>
    <t>2026-08-30</t>
  </si>
  <si>
    <t>Nike Installs Former Foot Locker Supply Chain Chief as Converse COO</t>
  </si>
  <si>
    <t>WWD</t>
  </si>
  <si>
    <t>1f273c467c5ad0509a9b6b04</t>
  </si>
  <si>
    <t>IT</t>
  </si>
  <si>
    <t>Gartner, Inc. Common Stock</t>
  </si>
  <si>
    <t>Gartner Announces Gartner Supply Chain Planning Summit 2026 in London</t>
  </si>
  <si>
    <t>Gartner</t>
  </si>
  <si>
    <t>90920f588c0ab6478ce71648</t>
  </si>
  <si>
    <t>SBUX</t>
  </si>
  <si>
    <t>Starbucks Corporation</t>
  </si>
  <si>
    <t>Starbucks hires Nike veteran to lead supply chain operations</t>
  </si>
  <si>
    <t>08698acd2ca5425b0bc4b7ea</t>
  </si>
  <si>
    <t>NTRS</t>
  </si>
  <si>
    <t>Northern Trust Corporation</t>
  </si>
  <si>
    <t>Supply chain seems to be in 'decent' shape: Northern Trust Wealth Management CIO</t>
  </si>
  <si>
    <t>foxbusiness.com</t>
  </si>
  <si>
    <t>9e8a61012bfe76afc9a42edf</t>
  </si>
  <si>
    <t>URI</t>
  </si>
  <si>
    <t>United Rentals, Inc. Common Stock</t>
  </si>
  <si>
    <t>URI professor recognized by United Nations for classroom project on sustainability and supply chain</t>
  </si>
  <si>
    <t>The University of Rhode Island</t>
  </si>
  <si>
    <t>e9a0e7e61f9cf3e01865e885</t>
  </si>
  <si>
    <t>UPS</t>
  </si>
  <si>
    <t>United Parcel Service, Inc. Common Stock</t>
  </si>
  <si>
    <t>Wilfredo Ramos: New UPS Chief Supply Chain Solutions Officer</t>
  </si>
  <si>
    <t>Supply Chain Digital</t>
  </si>
  <si>
    <t>c36c2856216199a073a70a0c</t>
  </si>
  <si>
    <t>UPS invests more than $2bn to improve supply chain resilience</t>
  </si>
  <si>
    <r>
      <rPr>
        <sz val="10"/>
        <rFont val="Arial"/>
        <family val="2"/>
      </rPr>
      <t xml:space="preserve">UPS </t>
    </r>
    <r>
      <rPr>
        <sz val="10"/>
        <rFont val="Noto Sans CJK SC"/>
        <family val="2"/>
      </rPr>
      <t xml:space="preserve">投資超過 </t>
    </r>
    <r>
      <rPr>
        <sz val="10"/>
        <rFont val="Arial"/>
        <family val="2"/>
      </rPr>
      <t xml:space="preserve">20 </t>
    </r>
    <r>
      <rPr>
        <sz val="10"/>
        <rFont val="Noto Sans CJK SC"/>
        <family val="2"/>
      </rPr>
      <t>億美元以提高供應鏈彈性</t>
    </r>
  </si>
  <si>
    <t>Automotive Logistics</t>
  </si>
  <si>
    <t>598e346dd341b75537340cee</t>
  </si>
  <si>
    <t>EXPD</t>
  </si>
  <si>
    <t>Expeditors International</t>
  </si>
  <si>
    <t>EXPD: AI-driven CapEx boom reshapes supply chains, with power and minerals as key constraints</t>
  </si>
  <si>
    <r>
      <rPr>
        <sz val="10"/>
        <rFont val="Arial"/>
        <family val="2"/>
      </rPr>
      <t>EXPD</t>
    </r>
    <r>
      <rPr>
        <sz val="10"/>
        <rFont val="Noto Sans CJK SC"/>
        <family val="2"/>
      </rPr>
      <t>：人工智慧驅動的資本支出熱潮重塑供應鏈，電力和礦產是主要限制因素</t>
    </r>
  </si>
  <si>
    <t>fb922a28fcb27a2c24184af3</t>
  </si>
  <si>
    <t>HPE</t>
  </si>
  <si>
    <t>Hewlett Packard Enterprise</t>
  </si>
  <si>
    <t>AI demand is 'exceptional,' but the supply chain is not: HPE CEO</t>
  </si>
  <si>
    <t>慧與執行長：人工智慧需求“異常”，但供應鏈卻並非如此</t>
  </si>
  <si>
    <r>
      <rPr>
        <sz val="10"/>
        <rFont val="Arial"/>
        <family val="2"/>
      </rPr>
      <t xml:space="preserve">HPE </t>
    </r>
    <r>
      <rPr>
        <sz val="10"/>
        <rFont val="Noto Sans CJK SC"/>
        <family val="2"/>
      </rPr>
      <t xml:space="preserve">執行長稱 </t>
    </r>
    <r>
      <rPr>
        <sz val="10"/>
        <rFont val="Arial"/>
        <family val="2"/>
      </rPr>
      <t xml:space="preserve">AI </t>
    </r>
    <r>
      <rPr>
        <sz val="10"/>
        <rFont val="Noto Sans CJK SC"/>
        <family val="2"/>
      </rPr>
      <t>需求強勁但供應鏈吃緊。</t>
    </r>
  </si>
  <si>
    <t>6c3f7a8b41b31622b3df8dfe</t>
  </si>
  <si>
    <t>MOS</t>
  </si>
  <si>
    <t>Mosaic Company (The) Common Stock</t>
  </si>
  <si>
    <t>Partnerships Key to Strengthening Defence Supply Chain Resilience: MOS Desmond Choo at the 15th Seoul Defense Dialogue</t>
  </si>
  <si>
    <t>MINDEF Singapore</t>
  </si>
  <si>
    <t>32167af3504e704c5911f7dd</t>
  </si>
  <si>
    <t>NVIDIA and Palantir Bring Sovereign Intelligence to Critical Supply Chains</t>
  </si>
  <si>
    <t>NVIDIA Newsroom</t>
  </si>
  <si>
    <t>e7358190d1bebe3c142dc725</t>
  </si>
  <si>
    <t>JBL</t>
  </si>
  <si>
    <t>Jabil Inc. Common Stock</t>
  </si>
  <si>
    <t>Can Jabil's Supply Chain Strength Sustain Its Growth Momentum?</t>
  </si>
  <si>
    <t>cc535555c5ec1b65e311778e</t>
  </si>
  <si>
    <t>Nvidia and Palantir plant a flag for sovereign AI inside 'the world's most complex supply chain'</t>
  </si>
  <si>
    <t>Fast Company</t>
  </si>
  <si>
    <t>ffbed199495a1a7a607a4a83</t>
  </si>
  <si>
    <t>Jabil Procurement &amp; Supply Chain Services on Optionality</t>
  </si>
  <si>
    <t>Manufacturing Digital</t>
  </si>
  <si>
    <t>a026054f56042eb504412488</t>
  </si>
  <si>
    <t>ZBH</t>
  </si>
  <si>
    <t>Zimmer Biomet</t>
  </si>
  <si>
    <t>Medtronic taps Zimmer Biomet executive as its new supply chain VP</t>
  </si>
  <si>
    <t>Medical Design &amp; Outsourcing</t>
  </si>
  <si>
    <t>ab811a61cbf13525254328ae</t>
  </si>
  <si>
    <t>MDT</t>
  </si>
  <si>
    <t>Medtronic plc. Ordinary Shares</t>
  </si>
  <si>
    <t>bf5e9b02165db040da90734f</t>
  </si>
  <si>
    <t>Good Culture names COO to scale supply chain</t>
  </si>
  <si>
    <t>cea31d320d845d82bae05a7f</t>
  </si>
  <si>
    <t>Marathon Petroleum’s (MPC) Pivotal Role in the Evolving LNG Supply Chain</t>
  </si>
  <si>
    <t>ff8dd1a3d8bf2c6259e55f32</t>
  </si>
  <si>
    <t>2026-09-21</t>
  </si>
  <si>
    <t>KKR</t>
  </si>
  <si>
    <t>KKR &amp; Co. Inc. Common Stock</t>
  </si>
  <si>
    <t>KKR Bets on Korea AI Supply Chain After Record $3 Billion Deals</t>
  </si>
  <si>
    <t>Bloomberg.com</t>
  </si>
  <si>
    <t>3bf53bb95fa4e2937f6c9438</t>
  </si>
  <si>
    <t>2026-09-23</t>
  </si>
  <si>
    <t>Food Dive</t>
  </si>
  <si>
    <t>a37ded86237dbd93a8758368</t>
  </si>
  <si>
    <t>2026-09-27</t>
  </si>
  <si>
    <t>Accenture and osapiens Make DS Smith’s Global Supply Chain More Transparent and Ready for Evolving EU Regulation</t>
  </si>
  <si>
    <t>Business Wire</t>
  </si>
  <si>
    <t>46efaa2affde534f41a263d8</t>
  </si>
  <si>
    <t>BALL</t>
  </si>
  <si>
    <t>Ball Corporation Common Stock</t>
  </si>
  <si>
    <t>Ball State’s Logistics and Supply Chain Management Program Earns STEM Designation</t>
  </si>
  <si>
    <t>Ball State University</t>
  </si>
  <si>
    <t>d1132d531836887b9dc86f6c</t>
  </si>
  <si>
    <t>2026-10-01</t>
  </si>
  <si>
    <t>FDX</t>
  </si>
  <si>
    <t>FedEx Corporation Common Stock</t>
  </si>
  <si>
    <t>CMA CGM finalizes $1.4B acquisition of FedEx Supply Chain</t>
  </si>
  <si>
    <t>FreightWaves</t>
  </si>
  <si>
    <t>3948a67a212811849cc68072</t>
  </si>
  <si>
    <t>2026-10-02</t>
  </si>
  <si>
    <t>ADM</t>
  </si>
  <si>
    <t>Archer Daniels Midland</t>
  </si>
  <si>
    <t>CJ CheilJedang and ADM to Form New Joint Venture to Strengthen Amino Acid Production and Supply Chains</t>
  </si>
  <si>
    <t>ae567009a74f648eed90d5a3</t>
  </si>
  <si>
    <t>Nvidia, Broadcom shielded as AI power crunch hits chip supply chain, says Morgan Stanley</t>
  </si>
  <si>
    <t>3b6b324abaa675f8751e2233</t>
  </si>
  <si>
    <t>Uber strikes $2.3B deal for ezCater as freight unit adds supply chain exec</t>
  </si>
  <si>
    <t>fbdeb91112aa5f8f0c17528c</t>
  </si>
  <si>
    <t>AMD, NVDA, Other Chip Stocks Extend Rout Amid AI Debt Concerns — Saxo Says Financing Squeeze Could Hit Supply Chain</t>
  </si>
  <si>
    <r>
      <rPr>
        <sz val="10"/>
        <rFont val="Arial"/>
        <family val="2"/>
      </rPr>
      <t>AMD</t>
    </r>
    <r>
      <rPr>
        <sz val="10"/>
        <rFont val="Noto Sans CJK SC"/>
        <family val="2"/>
      </rPr>
      <t>、</t>
    </r>
    <r>
      <rPr>
        <sz val="10"/>
        <rFont val="Arial"/>
        <family val="2"/>
      </rPr>
      <t xml:space="preserve">NVDA </t>
    </r>
    <r>
      <rPr>
        <sz val="10"/>
        <rFont val="Noto Sans CJK SC"/>
        <family val="2"/>
      </rPr>
      <t>和其他晶片股因人工智慧債務擔憂而進一步下跌——盛寶表示融資緊縮可能會打擊供應鏈</t>
    </r>
  </si>
  <si>
    <t>0579711ce0fbd53c97fb17a9</t>
  </si>
  <si>
    <t>PTC</t>
  </si>
  <si>
    <t>PTC Inc.</t>
  </si>
  <si>
    <t>PTC Renews US Air Force Supply Chain Software Deal</t>
  </si>
  <si>
    <r>
      <rPr>
        <sz val="10"/>
        <rFont val="Arial"/>
        <family val="2"/>
      </rPr>
      <t xml:space="preserve">PTC </t>
    </r>
    <r>
      <rPr>
        <sz val="10"/>
        <rFont val="Noto Sans CJK SC"/>
        <family val="2"/>
      </rPr>
      <t>續簽美國空軍供應鏈軟體協議</t>
    </r>
  </si>
  <si>
    <t>www.marketscreener.com</t>
  </si>
  <si>
    <t>3a8f96432e195e8dad27329d</t>
  </si>
  <si>
    <t>PTC renews U.S. Air Force supply chain software contract</t>
  </si>
  <si>
    <r>
      <rPr>
        <sz val="10"/>
        <rFont val="Arial"/>
        <family val="2"/>
      </rPr>
      <t xml:space="preserve">PTC </t>
    </r>
    <r>
      <rPr>
        <sz val="10"/>
        <rFont val="Noto Sans CJK SC"/>
        <family val="2"/>
      </rPr>
      <t>續簽美國空軍供應鏈軟體合約</t>
    </r>
  </si>
  <si>
    <t>57b389f7506ac61d4abe8fd6</t>
  </si>
  <si>
    <t>PepsiCo: Fragmented Supply Chains &amp; Regenerative Farming</t>
  </si>
  <si>
    <t>百事可樂：分散的供應鏈與再生農業</t>
  </si>
  <si>
    <t>Supply Chain Digital Magazine</t>
  </si>
  <si>
    <t>0707d0e2f232b5181960389c</t>
  </si>
  <si>
    <t>YUM</t>
  </si>
  <si>
    <t>Yum! Brands, Inc.</t>
  </si>
  <si>
    <t>CMG, YUM, SG, CALM, KR Stocks In Focus: How Recalls, Outbreaks And Supply Chain Chaos Rattled Consumer Stocks In 2026</t>
  </si>
  <si>
    <r>
      <rPr>
        <sz val="10"/>
        <rFont val="Arial"/>
        <family val="2"/>
      </rPr>
      <t>CMG</t>
    </r>
    <r>
      <rPr>
        <sz val="10"/>
        <rFont val="Noto Sans CJK SC"/>
        <family val="2"/>
      </rPr>
      <t>、</t>
    </r>
    <r>
      <rPr>
        <sz val="10"/>
        <rFont val="Arial"/>
        <family val="2"/>
      </rPr>
      <t>YUM</t>
    </r>
    <r>
      <rPr>
        <sz val="10"/>
        <rFont val="Noto Sans CJK SC"/>
        <family val="2"/>
      </rPr>
      <t>、</t>
    </r>
    <r>
      <rPr>
        <sz val="10"/>
        <rFont val="Arial"/>
        <family val="2"/>
      </rPr>
      <t>SG</t>
    </r>
    <r>
      <rPr>
        <sz val="10"/>
        <rFont val="Noto Sans CJK SC"/>
        <family val="2"/>
      </rPr>
      <t>、</t>
    </r>
    <r>
      <rPr>
        <sz val="10"/>
        <rFont val="Arial"/>
        <family val="2"/>
      </rPr>
      <t>CALM</t>
    </r>
    <r>
      <rPr>
        <sz val="10"/>
        <rFont val="Noto Sans CJK SC"/>
        <family val="2"/>
      </rPr>
      <t>、</t>
    </r>
    <r>
      <rPr>
        <sz val="10"/>
        <rFont val="Arial"/>
        <family val="2"/>
      </rPr>
      <t xml:space="preserve">KR </t>
    </r>
    <r>
      <rPr>
        <sz val="10"/>
        <rFont val="Noto Sans CJK SC"/>
        <family val="2"/>
      </rPr>
      <t xml:space="preserve">股票成為焦點：召回、疫情和供應鏈混亂如何擾亂 </t>
    </r>
    <r>
      <rPr>
        <sz val="10"/>
        <rFont val="Arial"/>
        <family val="2"/>
      </rPr>
      <t xml:space="preserve">2026 </t>
    </r>
    <r>
      <rPr>
        <sz val="10"/>
        <rFont val="Noto Sans CJK SC"/>
        <family val="2"/>
      </rPr>
      <t>年消費股票</t>
    </r>
  </si>
  <si>
    <t>2b90f24117969a9df085cdd1</t>
  </si>
  <si>
    <t>A supply chain executive receives 3,500 AutoZone (AZO) options with a $2,939.85 exercise price.</t>
  </si>
  <si>
    <r>
      <rPr>
        <sz val="10"/>
        <rFont val="Noto Sans CJK SC"/>
        <family val="2"/>
      </rPr>
      <t xml:space="preserve">供應鏈高階主管收到 </t>
    </r>
    <r>
      <rPr>
        <sz val="10"/>
        <rFont val="Arial"/>
        <family val="2"/>
      </rPr>
      <t xml:space="preserve">3,500 </t>
    </r>
    <r>
      <rPr>
        <sz val="10"/>
        <rFont val="Noto Sans CJK SC"/>
        <family val="2"/>
      </rPr>
      <t xml:space="preserve">份 </t>
    </r>
    <r>
      <rPr>
        <sz val="10"/>
        <rFont val="Arial"/>
        <family val="2"/>
      </rPr>
      <t xml:space="preserve">AutoZone (AZO) </t>
    </r>
    <r>
      <rPr>
        <sz val="10"/>
        <rFont val="Noto Sans CJK SC"/>
        <family val="2"/>
      </rPr>
      <t xml:space="preserve">選擇權，行使價為 </t>
    </r>
    <r>
      <rPr>
        <sz val="10"/>
        <rFont val="Arial"/>
        <family val="2"/>
      </rPr>
      <t xml:space="preserve">2,939.85 </t>
    </r>
    <r>
      <rPr>
        <sz val="10"/>
        <rFont val="Noto Sans CJK SC"/>
        <family val="2"/>
      </rPr>
      <t>美元。</t>
    </r>
  </si>
  <si>
    <t>Stock Titan</t>
  </si>
  <si>
    <t>ae753d8c662c39286ae9a2b6</t>
  </si>
  <si>
    <t>Starbucks shutters another Seattle store as closures and layoffs mount</t>
  </si>
  <si>
    <t>隨著關閉和裁員的增加，星巴克關閉了西雅圖的另一家門市</t>
  </si>
  <si>
    <t>WORKFORCE_REDUCTION</t>
  </si>
  <si>
    <t>裁員或人力縮減</t>
  </si>
  <si>
    <t>星巴克持續關店並裁員。</t>
  </si>
  <si>
    <t>bf677ab23b53ed4b1b3cbb08</t>
  </si>
  <si>
    <t>Alex Fitzpatrick is ready to go deep in his first FedEx Cup playoffs run</t>
  </si>
  <si>
    <r>
      <rPr>
        <sz val="10"/>
        <rFont val="Noto Sans CJK SC"/>
        <family val="2"/>
      </rPr>
      <t>亞歷克斯</t>
    </r>
    <r>
      <rPr>
        <sz val="10"/>
        <rFont val="Arial"/>
        <family val="2"/>
      </rPr>
      <t>·</t>
    </r>
    <r>
      <rPr>
        <sz val="10"/>
        <rFont val="Noto Sans CJK SC"/>
        <family val="2"/>
      </rPr>
      <t>菲茨帕特里克（</t>
    </r>
    <r>
      <rPr>
        <sz val="10"/>
        <rFont val="Arial"/>
        <family val="2"/>
      </rPr>
      <t>Alex Fitzpatrick</t>
    </r>
    <r>
      <rPr>
        <sz val="10"/>
        <rFont val="Noto Sans CJK SC"/>
        <family val="2"/>
      </rPr>
      <t>）已準備好在他的第一次聯邦快遞杯季後賽中走得更遠</t>
    </r>
  </si>
  <si>
    <t>GOLF.com</t>
  </si>
  <si>
    <t>ed77bc1b0a1dcb3c2e4c6b4b</t>
  </si>
  <si>
    <t>I went from wedding DJ to Meta engineer, then was laid off after 13 years. My last years there brought constant change.</t>
  </si>
  <si>
    <r>
      <rPr>
        <sz val="10"/>
        <rFont val="Noto Sans CJK SC"/>
        <family val="2"/>
      </rPr>
      <t xml:space="preserve">我從婚禮 </t>
    </r>
    <r>
      <rPr>
        <sz val="10"/>
        <rFont val="Arial"/>
        <family val="2"/>
      </rPr>
      <t xml:space="preserve">DJ </t>
    </r>
    <r>
      <rPr>
        <sz val="10"/>
        <rFont val="Noto Sans CJK SC"/>
        <family val="2"/>
      </rPr>
      <t xml:space="preserve">到 </t>
    </r>
    <r>
      <rPr>
        <sz val="10"/>
        <rFont val="Arial"/>
        <family val="2"/>
      </rPr>
      <t xml:space="preserve">Meta </t>
    </r>
    <r>
      <rPr>
        <sz val="10"/>
        <rFont val="Noto Sans CJK SC"/>
        <family val="2"/>
      </rPr>
      <t>工程師，</t>
    </r>
    <r>
      <rPr>
        <sz val="10"/>
        <rFont val="Arial"/>
        <family val="2"/>
      </rPr>
      <t xml:space="preserve">13 </t>
    </r>
    <r>
      <rPr>
        <sz val="10"/>
        <rFont val="Noto Sans CJK SC"/>
        <family val="2"/>
      </rPr>
      <t>年後被解僱。我在那裡的最後幾年帶來了不斷的變化。</t>
    </r>
  </si>
  <si>
    <t>businessinsider.com</t>
  </si>
  <si>
    <t>8e03bc4197a55663030cac41</t>
  </si>
  <si>
    <t>Purchase of Electronic Arts by Saudi group generates warning of mass layoffs</t>
  </si>
  <si>
    <t>沙烏地阿拉伯集團收購美國藝電公司引發大規模裁員警告</t>
  </si>
  <si>
    <t>Mix Vale</t>
  </si>
  <si>
    <t>9802e53e707a47fde34f073b</t>
  </si>
  <si>
    <t>Purchase of Electronic Arts by Arabs generates huge debt and risk of layoffs</t>
  </si>
  <si>
    <t>阿拉伯人購買電子藝界產生巨額債務和裁員風險</t>
  </si>
  <si>
    <t>e34c38cf5b7e2c7d5bad963e</t>
  </si>
  <si>
    <t>Fate of laid-off CAMI workers part of upcoming GM-Unifor negotiations</t>
  </si>
  <si>
    <r>
      <rPr>
        <sz val="10"/>
        <rFont val="Noto Sans CJK SC"/>
        <family val="2"/>
      </rPr>
      <t xml:space="preserve">下崗 </t>
    </r>
    <r>
      <rPr>
        <sz val="10"/>
        <rFont val="Arial"/>
        <family val="2"/>
      </rPr>
      <t xml:space="preserve">CAMI </t>
    </r>
    <r>
      <rPr>
        <sz val="10"/>
        <rFont val="Noto Sans CJK SC"/>
        <family val="2"/>
      </rPr>
      <t xml:space="preserve">工人的命運是即將舉行的通用汽車與 </t>
    </r>
    <r>
      <rPr>
        <sz val="10"/>
        <rFont val="Arial"/>
        <family val="2"/>
      </rPr>
      <t xml:space="preserve">Unifor </t>
    </r>
    <r>
      <rPr>
        <sz val="10"/>
        <rFont val="Noto Sans CJK SC"/>
        <family val="2"/>
      </rPr>
      <t>談判的一部分</t>
    </r>
  </si>
  <si>
    <t>Detroit Free Press</t>
  </si>
  <si>
    <r>
      <rPr>
        <sz val="10"/>
        <rFont val="Arial"/>
        <family val="2"/>
      </rPr>
      <t xml:space="preserve">GM </t>
    </r>
    <r>
      <rPr>
        <sz val="10"/>
        <rFont val="Noto Sans CJK SC"/>
        <family val="2"/>
      </rPr>
      <t xml:space="preserve">加拿大 </t>
    </r>
    <r>
      <rPr>
        <sz val="10"/>
        <rFont val="Arial"/>
        <family val="2"/>
      </rPr>
      <t xml:space="preserve">CAMI </t>
    </r>
    <r>
      <rPr>
        <sz val="10"/>
        <rFont val="Noto Sans CJK SC"/>
        <family val="2"/>
      </rPr>
      <t xml:space="preserve">工廠被裁員工與 </t>
    </r>
    <r>
      <rPr>
        <sz val="10"/>
        <rFont val="Arial"/>
        <family val="2"/>
      </rPr>
      <t xml:space="preserve">Unifor </t>
    </r>
    <r>
      <rPr>
        <sz val="10"/>
        <rFont val="Noto Sans CJK SC"/>
        <family val="2"/>
      </rPr>
      <t>談判。</t>
    </r>
  </si>
  <si>
    <t>ed3a476a6b2cbf3ed232c23f</t>
  </si>
  <si>
    <t>TFC</t>
  </si>
  <si>
    <t>Truist Financial Corporation Common Stoc</t>
  </si>
  <si>
    <t>TFC Talk: Month of August could seal Reds' playoff fate</t>
  </si>
  <si>
    <r>
      <rPr>
        <sz val="10"/>
        <rFont val="Arial"/>
        <family val="2"/>
      </rPr>
      <t>TFC</t>
    </r>
    <r>
      <rPr>
        <sz val="10"/>
        <rFont val="Noto Sans CJK SC"/>
        <family val="2"/>
      </rPr>
      <t>談話：八月可能會決定紅軍季後賽的命運</t>
    </r>
  </si>
  <si>
    <t>TFC Republic</t>
  </si>
  <si>
    <t>20248202ff0a4b33c7280c9f</t>
  </si>
  <si>
    <t>The First Look: First leg of FedExCup Playoffs kicks off at FedEx St. Jude Championship</t>
  </si>
  <si>
    <t>第一眼：聯邦快遞杯季後賽第一回合在聯邦快遞聖裘德錦標賽上拉開序幕</t>
  </si>
  <si>
    <t>PGA Tour</t>
  </si>
  <si>
    <t>703ca218e748669cb97799bc</t>
  </si>
  <si>
    <t>WMT</t>
  </si>
  <si>
    <t>Walmart Inc.</t>
  </si>
  <si>
    <t>The video game site backed by Walmart has laid off its editorial team</t>
  </si>
  <si>
    <t>沃爾瑪支持的電玩網站解雇了編輯團隊</t>
  </si>
  <si>
    <t>Game Developer</t>
  </si>
  <si>
    <t>a35d041e9f5ef1e83dc651a1</t>
  </si>
  <si>
    <t>FedEx Cup playoffs begin with St. Jude Championship on TSN, TSN+</t>
  </si>
  <si>
    <r>
      <rPr>
        <sz val="10"/>
        <rFont val="Noto Sans CJK SC"/>
        <family val="2"/>
      </rPr>
      <t xml:space="preserve">聯邦快遞杯季後賽以 </t>
    </r>
    <r>
      <rPr>
        <sz val="10"/>
        <rFont val="Arial"/>
        <family val="2"/>
      </rPr>
      <t>TSN</t>
    </r>
    <r>
      <rPr>
        <sz val="10"/>
        <rFont val="Noto Sans CJK SC"/>
        <family val="2"/>
      </rPr>
      <t>、</t>
    </r>
    <r>
      <rPr>
        <sz val="10"/>
        <rFont val="Arial"/>
        <family val="2"/>
      </rPr>
      <t xml:space="preserve">TSN+ </t>
    </r>
    <r>
      <rPr>
        <sz val="10"/>
        <rFont val="Noto Sans CJK SC"/>
        <family val="2"/>
      </rPr>
      <t>上的聖裘德錦標賽開始</t>
    </r>
  </si>
  <si>
    <t>3ca4f13964d2a94144f5215f</t>
  </si>
  <si>
    <t>7 PGA Tour stars who missed the FedEx Cup playoffs</t>
  </si>
  <si>
    <r>
      <rPr>
        <sz val="10"/>
        <rFont val="Arial"/>
        <family val="2"/>
      </rPr>
      <t xml:space="preserve">7 </t>
    </r>
    <r>
      <rPr>
        <sz val="10"/>
        <rFont val="Noto Sans CJK SC"/>
        <family val="2"/>
      </rPr>
      <t>位錯過聯邦快遞杯季後賽的美巡賽球星</t>
    </r>
  </si>
  <si>
    <t>807f7e4b640c50e40e9344df</t>
  </si>
  <si>
    <t>2026 FedEx St. Jude Championship odds: Scottie Scheffler opens playoffs as favorite</t>
  </si>
  <si>
    <r>
      <rPr>
        <sz val="10"/>
        <rFont val="Arial"/>
        <family val="2"/>
      </rPr>
      <t xml:space="preserve">2026 </t>
    </r>
    <r>
      <rPr>
        <sz val="10"/>
        <rFont val="Noto Sans CJK SC"/>
        <family val="2"/>
      </rPr>
      <t>年聯邦快遞聖裘德錦標賽賠率：斯科蒂</t>
    </r>
    <r>
      <rPr>
        <sz val="10"/>
        <rFont val="Arial"/>
        <family val="2"/>
      </rPr>
      <t>·</t>
    </r>
    <r>
      <rPr>
        <sz val="10"/>
        <rFont val="Noto Sans CJK SC"/>
        <family val="2"/>
      </rPr>
      <t xml:space="preserve">舍夫勒 </t>
    </r>
    <r>
      <rPr>
        <sz val="10"/>
        <rFont val="Arial"/>
        <family val="2"/>
      </rPr>
      <t xml:space="preserve">(Scottie Scheffler) </t>
    </r>
    <r>
      <rPr>
        <sz val="10"/>
        <rFont val="Noto Sans CJK SC"/>
        <family val="2"/>
      </rPr>
      <t>成為季後賽開局熱門</t>
    </r>
  </si>
  <si>
    <t>bb2ef7590dad4963565b5a3f</t>
  </si>
  <si>
    <t>What to know about the 2026 FedEx Cup Playoffs: Events, locations, prize money</t>
  </si>
  <si>
    <r>
      <rPr>
        <sz val="10"/>
        <rFont val="Noto Sans CJK SC"/>
        <family val="2"/>
      </rPr>
      <t xml:space="preserve">關於 </t>
    </r>
    <r>
      <rPr>
        <sz val="10"/>
        <rFont val="Arial"/>
        <family val="2"/>
      </rPr>
      <t xml:space="preserve">2026 </t>
    </r>
    <r>
      <rPr>
        <sz val="10"/>
        <rFont val="Noto Sans CJK SC"/>
        <family val="2"/>
      </rPr>
      <t>年聯邦快遞杯季後賽的須知：賽事、地點、獎金</t>
    </r>
  </si>
  <si>
    <t>Golfweek</t>
  </si>
  <si>
    <t>55218384582a1d706ce1864a</t>
  </si>
  <si>
    <t>FedEx Cup playoff field takes shape as Michael Brennan punches ticket with win</t>
  </si>
  <si>
    <r>
      <rPr>
        <sz val="10"/>
        <rFont val="Noto Sans CJK SC"/>
        <family val="2"/>
      </rPr>
      <t xml:space="preserve">邁克爾布倫南 </t>
    </r>
    <r>
      <rPr>
        <sz val="10"/>
        <rFont val="Arial"/>
        <family val="2"/>
      </rPr>
      <t xml:space="preserve">(Michael Brennan) </t>
    </r>
    <r>
      <rPr>
        <sz val="10"/>
        <rFont val="Noto Sans CJK SC"/>
        <family val="2"/>
      </rPr>
      <t>贏得聯邦快遞杯季後賽席位</t>
    </r>
  </si>
  <si>
    <t>The Japan Times</t>
  </si>
  <si>
    <t>aeb304ef3309fece5211332f</t>
  </si>
  <si>
    <t>Michael Brennan captures Wyndham for second tour title, vaults himself into FedEx Cup Playoffs</t>
  </si>
  <si>
    <r>
      <rPr>
        <sz val="10"/>
        <rFont val="Noto Sans CJK SC"/>
        <family val="2"/>
      </rPr>
      <t xml:space="preserve">邁克爾布倫南 </t>
    </r>
    <r>
      <rPr>
        <sz val="10"/>
        <rFont val="Arial"/>
        <family val="2"/>
      </rPr>
      <t xml:space="preserve">(Michael Brennan) </t>
    </r>
    <r>
      <rPr>
        <sz val="10"/>
        <rFont val="Noto Sans CJK SC"/>
        <family val="2"/>
      </rPr>
      <t xml:space="preserve">奪得溫德姆 </t>
    </r>
    <r>
      <rPr>
        <sz val="10"/>
        <rFont val="Arial"/>
        <family val="2"/>
      </rPr>
      <t xml:space="preserve">(Wyndham) </t>
    </r>
    <r>
      <rPr>
        <sz val="10"/>
        <rFont val="Noto Sans CJK SC"/>
        <family val="2"/>
      </rPr>
      <t>的第二個巡迴賽冠軍，闖入聯邦快遞杯季後賽</t>
    </r>
  </si>
  <si>
    <t>golfdigest.com</t>
  </si>
  <si>
    <t>9c2b339dc2766ffed4fa99f9</t>
  </si>
  <si>
    <t>Jackson Koivun, 21, clinches final FedEx Cup playoff spot</t>
  </si>
  <si>
    <r>
      <rPr>
        <sz val="10"/>
        <rFont val="Arial"/>
        <family val="2"/>
      </rPr>
      <t xml:space="preserve">21 </t>
    </r>
    <r>
      <rPr>
        <sz val="10"/>
        <rFont val="Noto Sans CJK SC"/>
        <family val="2"/>
      </rPr>
      <t>歲的傑克遜</t>
    </r>
    <r>
      <rPr>
        <sz val="10"/>
        <rFont val="Arial"/>
        <family val="2"/>
      </rPr>
      <t>·</t>
    </r>
    <r>
      <rPr>
        <sz val="10"/>
        <rFont val="Noto Sans CJK SC"/>
        <family val="2"/>
      </rPr>
      <t xml:space="preserve">科伊文 </t>
    </r>
    <r>
      <rPr>
        <sz val="10"/>
        <rFont val="Arial"/>
        <family val="2"/>
      </rPr>
      <t xml:space="preserve">(Jackson Koivun) </t>
    </r>
    <r>
      <rPr>
        <sz val="10"/>
        <rFont val="Noto Sans CJK SC"/>
        <family val="2"/>
      </rPr>
      <t>鎖定聯邦快遞杯決賽席位</t>
    </r>
  </si>
  <si>
    <t>ESPN</t>
  </si>
  <si>
    <t>df7f3dae1253148e68dd323e</t>
  </si>
  <si>
    <t>Who made the 2026 FedEx Cup Playoffs and who just missed the cut</t>
  </si>
  <si>
    <r>
      <rPr>
        <sz val="10"/>
        <rFont val="Noto Sans CJK SC"/>
        <family val="2"/>
      </rPr>
      <t xml:space="preserve">誰進入了 </t>
    </r>
    <r>
      <rPr>
        <sz val="10"/>
        <rFont val="Arial"/>
        <family val="2"/>
      </rPr>
      <t xml:space="preserve">2026 </t>
    </r>
    <r>
      <rPr>
        <sz val="10"/>
        <rFont val="Noto Sans CJK SC"/>
        <family val="2"/>
      </rPr>
      <t>年聯邦快遞杯季後賽，誰剛剛晉級</t>
    </r>
  </si>
  <si>
    <t>USA Today</t>
  </si>
  <si>
    <t>1ab9612453ee2b8154b4af89</t>
  </si>
  <si>
    <t>See the 70 golfers who qualified for 2026 FedEx Cup Playoffs</t>
  </si>
  <si>
    <r>
      <rPr>
        <sz val="10"/>
        <rFont val="Noto Sans CJK SC"/>
        <family val="2"/>
      </rPr>
      <t xml:space="preserve">查看 </t>
    </r>
    <r>
      <rPr>
        <sz val="10"/>
        <rFont val="Arial"/>
        <family val="2"/>
      </rPr>
      <t xml:space="preserve">2026 </t>
    </r>
    <r>
      <rPr>
        <sz val="10"/>
        <rFont val="Noto Sans CJK SC"/>
        <family val="2"/>
      </rPr>
      <t xml:space="preserve">年聯邦快遞杯季後賽資格的 </t>
    </r>
    <r>
      <rPr>
        <sz val="10"/>
        <rFont val="Arial"/>
        <family val="2"/>
      </rPr>
      <t xml:space="preserve">70 </t>
    </r>
    <r>
      <rPr>
        <sz val="10"/>
        <rFont val="Noto Sans CJK SC"/>
        <family val="2"/>
      </rPr>
      <t>名高爾夫球手</t>
    </r>
  </si>
  <si>
    <t>2377e69e96e8852d2224af04</t>
  </si>
  <si>
    <t>Koepka, Finau, Day, other notables who missed 2026 FedEx Cup Playoffs</t>
  </si>
  <si>
    <r>
      <rPr>
        <sz val="10"/>
        <rFont val="Noto Sans CJK SC"/>
        <family val="2"/>
      </rPr>
      <t xml:space="preserve">科普卡、弗諾、戴以及其他錯過 </t>
    </r>
    <r>
      <rPr>
        <sz val="10"/>
        <rFont val="Arial"/>
        <family val="2"/>
      </rPr>
      <t xml:space="preserve">2026 </t>
    </r>
    <r>
      <rPr>
        <sz val="10"/>
        <rFont val="Noto Sans CJK SC"/>
        <family val="2"/>
      </rPr>
      <t>年聯邦快遞杯季後賽的名人</t>
    </r>
  </si>
  <si>
    <t>2386b4b203316c53c0170544</t>
  </si>
  <si>
    <t>Major layoffs of 2026: Amazon, Meta, Oracle, Microsoft and more</t>
  </si>
  <si>
    <r>
      <rPr>
        <sz val="10"/>
        <rFont val="Arial"/>
        <family val="2"/>
      </rPr>
      <t xml:space="preserve">2026 </t>
    </r>
    <r>
      <rPr>
        <sz val="10"/>
        <rFont val="Noto Sans CJK SC"/>
        <family val="2"/>
      </rPr>
      <t>年主要裁員：亞馬遜、</t>
    </r>
    <r>
      <rPr>
        <sz val="10"/>
        <rFont val="Arial"/>
        <family val="2"/>
      </rPr>
      <t>Meta</t>
    </r>
    <r>
      <rPr>
        <sz val="10"/>
        <rFont val="Noto Sans CJK SC"/>
        <family val="2"/>
      </rPr>
      <t>、甲骨文、微軟等</t>
    </r>
  </si>
  <si>
    <t>The American Bazaar</t>
  </si>
  <si>
    <r>
      <rPr>
        <sz val="10"/>
        <rFont val="Arial"/>
        <family val="2"/>
      </rPr>
      <t xml:space="preserve">2026 </t>
    </r>
    <r>
      <rPr>
        <sz val="10"/>
        <rFont val="Noto Sans CJK SC"/>
        <family val="2"/>
      </rPr>
      <t>大型科技裁員彙整（</t>
    </r>
    <r>
      <rPr>
        <sz val="10"/>
        <rFont val="Arial"/>
        <family val="2"/>
      </rPr>
      <t>Meta</t>
    </r>
    <r>
      <rPr>
        <sz val="10"/>
        <rFont val="Noto Sans CJK SC"/>
        <family val="2"/>
      </rPr>
      <t>、微軟、亞馬遜）。</t>
    </r>
  </si>
  <si>
    <t>e701bd96cc20bc5ed5e731de</t>
  </si>
  <si>
    <t>377f7c27feaae504b66d14bd</t>
  </si>
  <si>
    <t>AMZN</t>
  </si>
  <si>
    <t>Amazon</t>
  </si>
  <si>
    <t>04827801a36773cea7473e07</t>
  </si>
  <si>
    <t>Michael Brennan wins Wyndham Championship, qualifies for FedEx Cup playoffs</t>
  </si>
  <si>
    <r>
      <rPr>
        <sz val="10"/>
        <rFont val="Noto Sans CJK SC"/>
        <family val="2"/>
      </rPr>
      <t xml:space="preserve">邁克爾布倫南 </t>
    </r>
    <r>
      <rPr>
        <sz val="10"/>
        <rFont val="Arial"/>
        <family val="2"/>
      </rPr>
      <t xml:space="preserve">(Michael Brennan) </t>
    </r>
    <r>
      <rPr>
        <sz val="10"/>
        <rFont val="Noto Sans CJK SC"/>
        <family val="2"/>
      </rPr>
      <t>贏得溫德姆錦標賽，獲得聯邦快遞杯季後賽資格</t>
    </r>
  </si>
  <si>
    <t>The New York Times</t>
  </si>
  <si>
    <t>c2ee9a033dad0414c5df9a79</t>
  </si>
  <si>
    <t>Wyndham Championship: Michael Brennan secures FedEx Playoffs spot with victory</t>
  </si>
  <si>
    <r>
      <rPr>
        <sz val="10"/>
        <rFont val="Noto Sans CJK SC"/>
        <family val="2"/>
      </rPr>
      <t xml:space="preserve">溫德姆錦標賽：邁克爾布倫南 </t>
    </r>
    <r>
      <rPr>
        <sz val="10"/>
        <rFont val="Arial"/>
        <family val="2"/>
      </rPr>
      <t xml:space="preserve">(Michael Brennan) </t>
    </r>
    <r>
      <rPr>
        <sz val="10"/>
        <rFont val="Noto Sans CJK SC"/>
        <family val="2"/>
      </rPr>
      <t>憑藉勝利確保聯邦快遞季後賽席位</t>
    </r>
  </si>
  <si>
    <t>Sky Sports</t>
  </si>
  <si>
    <t>8a1920bd90c674fd6dd0e93d</t>
  </si>
  <si>
    <t>Michael Brennan wins Wyndham, qualifies for FedEx Cup playoffs</t>
  </si>
  <si>
    <r>
      <rPr>
        <sz val="10"/>
        <rFont val="Noto Sans CJK SC"/>
        <family val="2"/>
      </rPr>
      <t xml:space="preserve">邁克爾布倫南 </t>
    </r>
    <r>
      <rPr>
        <sz val="10"/>
        <rFont val="Arial"/>
        <family val="2"/>
      </rPr>
      <t xml:space="preserve">(Michael Brennan) </t>
    </r>
    <r>
      <rPr>
        <sz val="10"/>
        <rFont val="Noto Sans CJK SC"/>
        <family val="2"/>
      </rPr>
      <t xml:space="preserve">贏得溫德姆 </t>
    </r>
    <r>
      <rPr>
        <sz val="10"/>
        <rFont val="Arial"/>
        <family val="2"/>
      </rPr>
      <t>(Wyndham)</t>
    </r>
    <r>
      <rPr>
        <sz val="10"/>
        <rFont val="Noto Sans CJK SC"/>
        <family val="2"/>
      </rPr>
      <t>，獲得聯邦快遞杯季後賽資格</t>
    </r>
  </si>
  <si>
    <t>The Detroit News</t>
  </si>
  <si>
    <t>179d28794b1ec965356c6ce4</t>
  </si>
  <si>
    <t>Three Canadians qualify for PGA Tour's FedEx Cup playoffs</t>
  </si>
  <si>
    <t>三位加拿大人獲得美巡賽聯邦快遞杯季後賽資格</t>
  </si>
  <si>
    <t>Sportsnet.ca</t>
  </si>
  <si>
    <t>f579ea2fbc646141ed775800</t>
  </si>
  <si>
    <t>Beau Hossler just misses FedEx Cup playoffs after runner-up finish at Wyndham</t>
  </si>
  <si>
    <r>
      <rPr>
        <sz val="10"/>
        <rFont val="Noto Sans CJK SC"/>
        <family val="2"/>
      </rPr>
      <t>博</t>
    </r>
    <r>
      <rPr>
        <sz val="10"/>
        <rFont val="Arial"/>
        <family val="2"/>
      </rPr>
      <t>·</t>
    </r>
    <r>
      <rPr>
        <sz val="10"/>
        <rFont val="Noto Sans CJK SC"/>
        <family val="2"/>
      </rPr>
      <t>霍斯勒在溫德姆獲得亞軍後錯過了聯邦快遞杯季後賽</t>
    </r>
  </si>
  <si>
    <t>Yahoo Sports</t>
  </si>
  <si>
    <t>ccc7d05991b53d375108f3a1</t>
  </si>
  <si>
    <t>Michael Brennan wins Wyndham Championship, claims spot in FedEx Cup playoffs</t>
  </si>
  <si>
    <r>
      <rPr>
        <sz val="10"/>
        <rFont val="Noto Sans CJK SC"/>
        <family val="2"/>
      </rPr>
      <t xml:space="preserve">邁克爾布倫南 </t>
    </r>
    <r>
      <rPr>
        <sz val="10"/>
        <rFont val="Arial"/>
        <family val="2"/>
      </rPr>
      <t xml:space="preserve">(Michael Brennan) </t>
    </r>
    <r>
      <rPr>
        <sz val="10"/>
        <rFont val="Noto Sans CJK SC"/>
        <family val="2"/>
      </rPr>
      <t>贏得溫德姆錦標賽並獲得聯邦快遞杯季後賽席位</t>
    </r>
  </si>
  <si>
    <t>9324020a1d6b4d6cdf844bae</t>
  </si>
  <si>
    <t>FedEx St. Jude Championship field set, PGA Tour Memphis opens FedEx Cup playoffs</t>
  </si>
  <si>
    <t>聯邦快遞聖裘德錦標賽場地設置，美巡賽孟菲斯開啟聯邦快遞杯季後賽</t>
  </si>
  <si>
    <t>The Commercial Appeal</t>
  </si>
  <si>
    <t>f66ab27c686daefb8641ca65</t>
  </si>
  <si>
    <t>FedEx St. Jude Championship field set, PGA Tour Memphis event opens FedEx Cup Playoffs</t>
  </si>
  <si>
    <r>
      <rPr>
        <sz val="10"/>
        <rFont val="Noto Sans CJK SC"/>
        <family val="2"/>
      </rPr>
      <t>聯邦快遞聖裘德錦標賽場地設置，</t>
    </r>
    <r>
      <rPr>
        <sz val="10"/>
        <rFont val="Arial"/>
        <family val="2"/>
      </rPr>
      <t xml:space="preserve">PGA </t>
    </r>
    <r>
      <rPr>
        <sz val="10"/>
        <rFont val="Noto Sans CJK SC"/>
        <family val="2"/>
      </rPr>
      <t>巡迴賽孟菲斯賽事開啟聯邦快遞杯季後賽</t>
    </r>
  </si>
  <si>
    <t>2e2d3c2aa327147e997f6f9b</t>
  </si>
  <si>
    <t>Jackson Koivun qualifies for FedEx Cup playoffs with T-29 finish at Wyndham Championship</t>
  </si>
  <si>
    <r>
      <rPr>
        <sz val="10"/>
        <rFont val="Noto Sans CJK SC"/>
        <family val="2"/>
      </rPr>
      <t>傑克遜</t>
    </r>
    <r>
      <rPr>
        <sz val="10"/>
        <rFont val="Arial"/>
        <family val="2"/>
      </rPr>
      <t>·</t>
    </r>
    <r>
      <rPr>
        <sz val="10"/>
        <rFont val="Noto Sans CJK SC"/>
        <family val="2"/>
      </rPr>
      <t xml:space="preserve">科伊文 </t>
    </r>
    <r>
      <rPr>
        <sz val="10"/>
        <rFont val="Arial"/>
        <family val="2"/>
      </rPr>
      <t xml:space="preserve">(Jackson Koivun) </t>
    </r>
    <r>
      <rPr>
        <sz val="10"/>
        <rFont val="Noto Sans CJK SC"/>
        <family val="2"/>
      </rPr>
      <t xml:space="preserve">在溫德姆錦標賽中獲得並列第 </t>
    </r>
    <r>
      <rPr>
        <sz val="10"/>
        <rFont val="Arial"/>
        <family val="2"/>
      </rPr>
      <t xml:space="preserve">29 </t>
    </r>
    <r>
      <rPr>
        <sz val="10"/>
        <rFont val="Noto Sans CJK SC"/>
        <family val="2"/>
      </rPr>
      <t>名，獲得聯邦快遞杯季後賽資格</t>
    </r>
  </si>
  <si>
    <t>247sports.com</t>
  </si>
  <si>
    <t>ad2ba93811855da3b84fc54c</t>
  </si>
  <si>
    <t>The 70 PGA Tour players who got their 2027 cards, qualified for FedEx Cup playoffs</t>
  </si>
  <si>
    <r>
      <rPr>
        <sz val="10"/>
        <rFont val="Noto Sans CJK SC"/>
        <family val="2"/>
      </rPr>
      <t xml:space="preserve">獲得 </t>
    </r>
    <r>
      <rPr>
        <sz val="10"/>
        <rFont val="Arial"/>
        <family val="2"/>
      </rPr>
      <t xml:space="preserve">2027 </t>
    </r>
    <r>
      <rPr>
        <sz val="10"/>
        <rFont val="Noto Sans CJK SC"/>
        <family val="2"/>
      </rPr>
      <t xml:space="preserve">年卡的 </t>
    </r>
    <r>
      <rPr>
        <sz val="10"/>
        <rFont val="Arial"/>
        <family val="2"/>
      </rPr>
      <t xml:space="preserve">70 </t>
    </r>
    <r>
      <rPr>
        <sz val="10"/>
        <rFont val="Noto Sans CJK SC"/>
        <family val="2"/>
      </rPr>
      <t>名美巡賽球員獲得聯邦快遞杯季後賽資格</t>
    </r>
  </si>
  <si>
    <t>Golf News Net</t>
  </si>
  <si>
    <t>784917ed2d76f0b595cca2c6</t>
  </si>
  <si>
    <t>PGA Tour is making big changes to the FedEx Cup playoffs and bonus pool for 2026</t>
  </si>
  <si>
    <r>
      <rPr>
        <sz val="10"/>
        <rFont val="Noto Sans CJK SC"/>
        <family val="2"/>
      </rPr>
      <t xml:space="preserve">美巡賽將對 </t>
    </r>
    <r>
      <rPr>
        <sz val="10"/>
        <rFont val="Arial"/>
        <family val="2"/>
      </rPr>
      <t xml:space="preserve">2026 </t>
    </r>
    <r>
      <rPr>
        <sz val="10"/>
        <rFont val="Noto Sans CJK SC"/>
        <family val="2"/>
      </rPr>
      <t>年聯邦快遞杯季後賽和獎金池進行重大調整</t>
    </r>
  </si>
  <si>
    <t>7acc03aad6a956de11764973</t>
  </si>
  <si>
    <t>Scottie Scheffler Dealt Big Career News Ahead of FedEx Cup Playoffs</t>
  </si>
  <si>
    <r>
      <rPr>
        <sz val="10"/>
        <rFont val="Noto Sans CJK SC"/>
        <family val="2"/>
      </rPr>
      <t>斯科蒂</t>
    </r>
    <r>
      <rPr>
        <sz val="10"/>
        <rFont val="Arial"/>
        <family val="2"/>
      </rPr>
      <t>·</t>
    </r>
    <r>
      <rPr>
        <sz val="10"/>
        <rFont val="Noto Sans CJK SC"/>
        <family val="2"/>
      </rPr>
      <t>舍夫勒在聯邦快遞杯季後賽之前發布了重大職業新聞</t>
    </r>
  </si>
  <si>
    <t>heavy.com</t>
  </si>
  <si>
    <t>14b49b01ff6218d31071808e</t>
  </si>
  <si>
    <t>Koepka: 'Pathetic' to miss FedEx Cup playoffs</t>
  </si>
  <si>
    <t>科普卡：錯過聯邦快遞杯季後賽“可悲”</t>
  </si>
  <si>
    <t>theScore</t>
  </si>
  <si>
    <t>ef9347437cd57f62734c7757</t>
  </si>
  <si>
    <t>Brooks Koepka reacts to missing FedEx Cup playoffs - 'It's PATHETIC!'</t>
  </si>
  <si>
    <r>
      <rPr>
        <sz val="10"/>
        <rFont val="Noto Sans CJK SC"/>
        <family val="2"/>
      </rPr>
      <t>布魯克斯</t>
    </r>
    <r>
      <rPr>
        <sz val="10"/>
        <rFont val="Arial"/>
        <family val="2"/>
      </rPr>
      <t>·</t>
    </r>
    <r>
      <rPr>
        <sz val="10"/>
        <rFont val="Noto Sans CJK SC"/>
        <family val="2"/>
      </rPr>
      <t xml:space="preserve">科普卡對錯過聯邦快遞杯季後賽的反應 </t>
    </r>
    <r>
      <rPr>
        <sz val="10"/>
        <rFont val="Arial"/>
        <family val="2"/>
      </rPr>
      <t>- “</t>
    </r>
    <r>
      <rPr>
        <sz val="10"/>
        <rFont val="Noto Sans CJK SC"/>
        <family val="2"/>
      </rPr>
      <t>這太可悲了！”</t>
    </r>
  </si>
  <si>
    <t>dcbe4064ec5f996593c8a37f</t>
  </si>
  <si>
    <t>'It's Pretty Pathetic That I Can't Get Through' - Brooks Koepka Gives Brutal Assessment After Missing FedEx Cup Playoffs</t>
  </si>
  <si>
    <r>
      <rPr>
        <sz val="10"/>
        <rFont val="Noto Sans CJK SC"/>
        <family val="2"/>
      </rPr>
      <t>「我無法通過這真是太可悲了」——布魯克斯</t>
    </r>
    <r>
      <rPr>
        <sz val="10"/>
        <rFont val="Arial"/>
        <family val="2"/>
      </rPr>
      <t>·</t>
    </r>
    <r>
      <rPr>
        <sz val="10"/>
        <rFont val="Noto Sans CJK SC"/>
        <family val="2"/>
      </rPr>
      <t>科普卡在錯過聯邦快遞杯季後賽後給出了殘酷的評價</t>
    </r>
  </si>
  <si>
    <t>Golf Monthly</t>
  </si>
  <si>
    <t>b9bbf8bb84415d56cfbb82d0</t>
  </si>
  <si>
    <t>Koepka Misses FedEx Cup Playoffs After Wyndham Bogey Heartbreak</t>
  </si>
  <si>
    <t>溫德姆柏忌心碎後科普卡錯過聯邦快遞杯季後賽</t>
  </si>
  <si>
    <t>golfpost.com</t>
  </si>
  <si>
    <t>c6eae7983872018bac69f76d</t>
  </si>
  <si>
    <t>Brooks Koepka blasts ‘pathetic’ results after falling short of FedEx Cup Playoffs</t>
  </si>
  <si>
    <r>
      <rPr>
        <sz val="10"/>
        <rFont val="Noto Sans CJK SC"/>
        <family val="2"/>
      </rPr>
      <t>布魯克斯</t>
    </r>
    <r>
      <rPr>
        <sz val="10"/>
        <rFont val="Arial"/>
        <family val="2"/>
      </rPr>
      <t>·</t>
    </r>
    <r>
      <rPr>
        <sz val="10"/>
        <rFont val="Noto Sans CJK SC"/>
        <family val="2"/>
      </rPr>
      <t>科普卡在未能參加聯邦快遞杯季後賽後抨擊“可悲”的結果</t>
    </r>
  </si>
  <si>
    <t>8a4e4b6582c19aef7d288b7f</t>
  </si>
  <si>
    <t>'Tough year' for Keegan Bradley, whose FedEx Cup Playoffs streak ends at 15</t>
  </si>
  <si>
    <r>
      <rPr>
        <sz val="10"/>
        <rFont val="Noto Sans CJK SC"/>
        <family val="2"/>
      </rPr>
      <t>基岡</t>
    </r>
    <r>
      <rPr>
        <sz val="10"/>
        <rFont val="Arial"/>
        <family val="2"/>
      </rPr>
      <t>·</t>
    </r>
    <r>
      <rPr>
        <sz val="10"/>
        <rFont val="Noto Sans CJK SC"/>
        <family val="2"/>
      </rPr>
      <t xml:space="preserve">布拉德利 </t>
    </r>
    <r>
      <rPr>
        <sz val="10"/>
        <rFont val="Arial"/>
        <family val="2"/>
      </rPr>
      <t xml:space="preserve">(Keegan Bradley) </t>
    </r>
    <r>
      <rPr>
        <sz val="10"/>
        <rFont val="Noto Sans CJK SC"/>
        <family val="2"/>
      </rPr>
      <t xml:space="preserve">經歷了“艱難的一年”，聯邦快遞杯季後賽連續 </t>
    </r>
    <r>
      <rPr>
        <sz val="10"/>
        <rFont val="Arial"/>
        <family val="2"/>
      </rPr>
      <t xml:space="preserve">15 </t>
    </r>
    <r>
      <rPr>
        <sz val="10"/>
        <rFont val="Noto Sans CJK SC"/>
        <family val="2"/>
      </rPr>
      <t>場結束</t>
    </r>
  </si>
  <si>
    <t>Central Oregon Daily</t>
  </si>
  <si>
    <t>04918d93b83f7ae39bbffb71</t>
  </si>
  <si>
    <t>NRG</t>
  </si>
  <si>
    <t>NRG Energy, Inc. Common Stock</t>
  </si>
  <si>
    <t>NA hopes dashed as Liquid and NRG crash out of EWC qualifier playoffs</t>
  </si>
  <si>
    <r>
      <rPr>
        <sz val="10"/>
        <rFont val="Arial"/>
        <family val="2"/>
      </rPr>
      <t xml:space="preserve">Liquid </t>
    </r>
    <r>
      <rPr>
        <sz val="10"/>
        <rFont val="Noto Sans CJK SC"/>
        <family val="2"/>
      </rPr>
      <t xml:space="preserve">和 </t>
    </r>
    <r>
      <rPr>
        <sz val="10"/>
        <rFont val="Arial"/>
        <family val="2"/>
      </rPr>
      <t xml:space="preserve">NRG </t>
    </r>
    <r>
      <rPr>
        <sz val="10"/>
        <rFont val="Noto Sans CJK SC"/>
        <family val="2"/>
      </rPr>
      <t xml:space="preserve">退出 </t>
    </r>
    <r>
      <rPr>
        <sz val="10"/>
        <rFont val="Arial"/>
        <family val="2"/>
      </rPr>
      <t xml:space="preserve">EWC </t>
    </r>
    <r>
      <rPr>
        <sz val="10"/>
        <rFont val="Noto Sans CJK SC"/>
        <family val="2"/>
      </rPr>
      <t>預選賽季後賽，</t>
    </r>
    <r>
      <rPr>
        <sz val="10"/>
        <rFont val="Arial"/>
        <family val="2"/>
      </rPr>
      <t xml:space="preserve">NA </t>
    </r>
    <r>
      <rPr>
        <sz val="10"/>
        <rFont val="Noto Sans CJK SC"/>
        <family val="2"/>
      </rPr>
      <t>的希望破滅</t>
    </r>
  </si>
  <si>
    <t>dust2.us</t>
  </si>
  <si>
    <t>c07ea0875d38723fdbe134ed</t>
  </si>
  <si>
    <t>FedEx layoffs, closures expand under Network 2.0</t>
  </si>
  <si>
    <r>
      <rPr>
        <sz val="10"/>
        <rFont val="Noto Sans CJK SC"/>
        <family val="2"/>
      </rPr>
      <t xml:space="preserve">網路 </t>
    </r>
    <r>
      <rPr>
        <sz val="10"/>
        <rFont val="Arial"/>
        <family val="2"/>
      </rPr>
      <t xml:space="preserve">2.0 </t>
    </r>
    <r>
      <rPr>
        <sz val="10"/>
        <rFont val="Noto Sans CJK SC"/>
        <family val="2"/>
      </rPr>
      <t>下聯邦快遞裁員、關閉範圍擴大</t>
    </r>
  </si>
  <si>
    <r>
      <rPr>
        <sz val="10"/>
        <rFont val="Arial"/>
        <family val="2"/>
      </rPr>
      <t xml:space="preserve">FedEx Network 2.0 </t>
    </r>
    <r>
      <rPr>
        <sz val="10"/>
        <rFont val="Noto Sans CJK SC"/>
        <family val="2"/>
      </rPr>
      <t>裁員與關閉據點擴大。</t>
    </r>
  </si>
  <si>
    <t>d106c75cb2c77ae80c349be3</t>
  </si>
  <si>
    <t>FedEx Cup Playoffs storylines to watch: Rory McIlroy is back</t>
  </si>
  <si>
    <r>
      <rPr>
        <sz val="10"/>
        <rFont val="Noto Sans CJK SC"/>
        <family val="2"/>
      </rPr>
      <t>聯邦快遞杯季後賽故事情節值得關注：羅裡</t>
    </r>
    <r>
      <rPr>
        <sz val="10"/>
        <rFont val="Arial"/>
        <family val="2"/>
      </rPr>
      <t>·</t>
    </r>
    <r>
      <rPr>
        <sz val="10"/>
        <rFont val="Noto Sans CJK SC"/>
        <family val="2"/>
      </rPr>
      <t>麥克羅伊回來了</t>
    </r>
  </si>
  <si>
    <t>2efbdf12086444a52d6cce51</t>
  </si>
  <si>
    <t>AJSN WK33B- EA to cut $700M?! Mass Layoffs Incoming?, Halo Studio Layoffs?, The Division MOBILE SLOP</t>
  </si>
  <si>
    <r>
      <rPr>
        <sz val="10"/>
        <rFont val="Arial"/>
        <family val="2"/>
      </rPr>
      <t xml:space="preserve">AJSN WK33B- EA </t>
    </r>
    <r>
      <rPr>
        <sz val="10"/>
        <rFont val="Noto Sans CJK SC"/>
        <family val="2"/>
      </rPr>
      <t xml:space="preserve">削減 </t>
    </r>
    <r>
      <rPr>
        <sz val="10"/>
        <rFont val="Arial"/>
        <family val="2"/>
      </rPr>
      <t xml:space="preserve">7 </t>
    </r>
    <r>
      <rPr>
        <sz val="10"/>
        <rFont val="Noto Sans CJK SC"/>
        <family val="2"/>
      </rPr>
      <t>億美元？ ！大規模裁員即將到來？ 、光環工作室裁員？ 、</t>
    </r>
    <r>
      <rPr>
        <sz val="10"/>
        <rFont val="Arial"/>
        <family val="2"/>
      </rPr>
      <t>The Division MOBILE SLOP</t>
    </r>
  </si>
  <si>
    <t>t.co</t>
  </si>
  <si>
    <r>
      <rPr>
        <sz val="10"/>
        <rFont val="Noto Sans CJK SC"/>
        <family val="2"/>
      </rPr>
      <t xml:space="preserve">傳 </t>
    </r>
    <r>
      <rPr>
        <sz val="10"/>
        <rFont val="Arial"/>
        <family val="2"/>
      </rPr>
      <t xml:space="preserve">EA </t>
    </r>
    <r>
      <rPr>
        <sz val="10"/>
        <rFont val="Noto Sans CJK SC"/>
        <family val="2"/>
      </rPr>
      <t xml:space="preserve">將削減 </t>
    </r>
    <r>
      <rPr>
        <sz val="10"/>
        <rFont val="Arial"/>
        <family val="2"/>
      </rPr>
      <t xml:space="preserve">7 </t>
    </r>
    <r>
      <rPr>
        <sz val="10"/>
        <rFont val="Noto Sans CJK SC"/>
        <family val="2"/>
      </rPr>
      <t>億美元成本並大規模裁員（傳聞）。</t>
    </r>
  </si>
  <si>
    <t>9f3296e5054d9e688958f196</t>
  </si>
  <si>
    <t>2026 FedEx Cup Playoffs standings and schedule: Format, purse and prize money breakdown</t>
  </si>
  <si>
    <r>
      <rPr>
        <sz val="10"/>
        <rFont val="Arial"/>
        <family val="2"/>
      </rPr>
      <t xml:space="preserve">2026 </t>
    </r>
    <r>
      <rPr>
        <sz val="10"/>
        <rFont val="Noto Sans CJK SC"/>
        <family val="2"/>
      </rPr>
      <t>年聯邦快遞杯季後賽排名和賽程：賽制、獎金和獎金明細</t>
    </r>
  </si>
  <si>
    <t>CBS Sports</t>
  </si>
  <si>
    <t>f27797ff277d01c9367c9720</t>
  </si>
  <si>
    <t>One player is out of FedEx St. Jude Championship, start of FedEx Cup Playoffs, due to injury</t>
  </si>
  <si>
    <t>一名球員因傷缺席聯邦快遞杯季後賽開始的聯邦快遞聖裘德錦標賽</t>
  </si>
  <si>
    <t>1190679368bf841d8094aa9a</t>
  </si>
  <si>
    <t>Salesforce cut its support team from 9,000 to 5,000 and AI is now blamed for 50,000 job cuts this year</t>
  </si>
  <si>
    <r>
      <rPr>
        <sz val="10"/>
        <rFont val="Arial"/>
        <family val="2"/>
      </rPr>
      <t xml:space="preserve">Salesforce </t>
    </r>
    <r>
      <rPr>
        <sz val="10"/>
        <rFont val="Noto Sans CJK SC"/>
        <family val="2"/>
      </rPr>
      <t xml:space="preserve">將其支援團隊從 </t>
    </r>
    <r>
      <rPr>
        <sz val="10"/>
        <rFont val="Arial"/>
        <family val="2"/>
      </rPr>
      <t xml:space="preserve">9,000 </t>
    </r>
    <r>
      <rPr>
        <sz val="10"/>
        <rFont val="Noto Sans CJK SC"/>
        <family val="2"/>
      </rPr>
      <t xml:space="preserve">人削減至 </t>
    </r>
    <r>
      <rPr>
        <sz val="10"/>
        <rFont val="Arial"/>
        <family val="2"/>
      </rPr>
      <t xml:space="preserve">5,000 </t>
    </r>
    <r>
      <rPr>
        <sz val="10"/>
        <rFont val="Noto Sans CJK SC"/>
        <family val="2"/>
      </rPr>
      <t xml:space="preserve">人，而人工智慧現在被指責為今年裁員 </t>
    </r>
    <r>
      <rPr>
        <sz val="10"/>
        <rFont val="Arial"/>
        <family val="2"/>
      </rPr>
      <t xml:space="preserve">50,000 </t>
    </r>
    <r>
      <rPr>
        <sz val="10"/>
        <rFont val="Noto Sans CJK SC"/>
        <family val="2"/>
      </rPr>
      <t>人的原因</t>
    </r>
  </si>
  <si>
    <t>wionews.com</t>
  </si>
  <si>
    <r>
      <rPr>
        <sz val="10"/>
        <rFont val="Arial"/>
        <family val="2"/>
      </rPr>
      <t xml:space="preserve">Salesforce </t>
    </r>
    <r>
      <rPr>
        <sz val="10"/>
        <rFont val="Noto Sans CJK SC"/>
        <family val="2"/>
      </rPr>
      <t xml:space="preserve">客服團隊由 </t>
    </r>
    <r>
      <rPr>
        <sz val="10"/>
        <rFont val="Arial"/>
        <family val="2"/>
      </rPr>
      <t xml:space="preserve">9,000 </t>
    </r>
    <r>
      <rPr>
        <sz val="10"/>
        <rFont val="Noto Sans CJK SC"/>
        <family val="2"/>
      </rPr>
      <t xml:space="preserve">人縮至 </t>
    </r>
    <r>
      <rPr>
        <sz val="10"/>
        <rFont val="Arial"/>
        <family val="2"/>
      </rPr>
      <t xml:space="preserve">5,000 </t>
    </r>
    <r>
      <rPr>
        <sz val="10"/>
        <rFont val="Noto Sans CJK SC"/>
        <family val="2"/>
      </rPr>
      <t>人。</t>
    </r>
  </si>
  <si>
    <t>9d960c19cee529755b81f549</t>
  </si>
  <si>
    <t>Full list of 70 PGA players to make FedEx Cup playoffs</t>
  </si>
  <si>
    <r>
      <rPr>
        <sz val="10"/>
        <rFont val="Noto Sans CJK SC"/>
        <family val="2"/>
      </rPr>
      <t xml:space="preserve">進入聯邦快遞杯季後賽的 </t>
    </r>
    <r>
      <rPr>
        <sz val="10"/>
        <rFont val="Arial"/>
        <family val="2"/>
      </rPr>
      <t xml:space="preserve">70 </t>
    </r>
    <r>
      <rPr>
        <sz val="10"/>
        <rFont val="Noto Sans CJK SC"/>
        <family val="2"/>
      </rPr>
      <t xml:space="preserve">名 </t>
    </r>
    <r>
      <rPr>
        <sz val="10"/>
        <rFont val="Arial"/>
        <family val="2"/>
      </rPr>
      <t xml:space="preserve">PGA </t>
    </r>
    <r>
      <rPr>
        <sz val="10"/>
        <rFont val="Noto Sans CJK SC"/>
        <family val="2"/>
      </rPr>
      <t>球員完整名單</t>
    </r>
  </si>
  <si>
    <t>f1e7f2ece941e159f8653ae5</t>
  </si>
  <si>
    <t>FedExCup Playoffs scenarios: See finishes needed at FedEx St. Jude Championship to make BMW Championship, 2027 Signature Events</t>
  </si>
  <si>
    <r>
      <rPr>
        <sz val="10"/>
        <rFont val="Noto Sans CJK SC"/>
        <family val="2"/>
      </rPr>
      <t xml:space="preserve">聯邦快遞杯季後賽場景：查看聯邦快遞聖裘德錦標賽所需的成績才能成為 </t>
    </r>
    <r>
      <rPr>
        <sz val="10"/>
        <rFont val="Arial"/>
        <family val="2"/>
      </rPr>
      <t xml:space="preserve">2027 </t>
    </r>
    <r>
      <rPr>
        <sz val="10"/>
        <rFont val="Noto Sans CJK SC"/>
        <family val="2"/>
      </rPr>
      <t xml:space="preserve">年 </t>
    </r>
    <r>
      <rPr>
        <sz val="10"/>
        <rFont val="Arial"/>
        <family val="2"/>
      </rPr>
      <t xml:space="preserve">BMW </t>
    </r>
    <r>
      <rPr>
        <sz val="10"/>
        <rFont val="Noto Sans CJK SC"/>
        <family val="2"/>
      </rPr>
      <t>錦標賽的標誌性賽事</t>
    </r>
  </si>
  <si>
    <t>a60718fe731221e07bc20d7a</t>
  </si>
  <si>
    <t>EA Sports' College Football 27 predicts the 2026 season, with a Heisman winner, 12-team playoff and champion</t>
  </si>
  <si>
    <r>
      <rPr>
        <sz val="10"/>
        <rFont val="Arial"/>
        <family val="2"/>
      </rPr>
      <t xml:space="preserve">EA Sports </t>
    </r>
    <r>
      <rPr>
        <sz val="10"/>
        <rFont val="Noto Sans CJK SC"/>
        <family val="2"/>
      </rPr>
      <t xml:space="preserve">的大學橄欖球 </t>
    </r>
    <r>
      <rPr>
        <sz val="10"/>
        <rFont val="Arial"/>
        <family val="2"/>
      </rPr>
      <t xml:space="preserve">27 </t>
    </r>
    <r>
      <rPr>
        <sz val="10"/>
        <rFont val="Noto Sans CJK SC"/>
        <family val="2"/>
      </rPr>
      <t xml:space="preserve">預測 </t>
    </r>
    <r>
      <rPr>
        <sz val="10"/>
        <rFont val="Arial"/>
        <family val="2"/>
      </rPr>
      <t xml:space="preserve">2026 </t>
    </r>
    <r>
      <rPr>
        <sz val="10"/>
        <rFont val="Noto Sans CJK SC"/>
        <family val="2"/>
      </rPr>
      <t>賽季，海斯曼冠軍、</t>
    </r>
    <r>
      <rPr>
        <sz val="10"/>
        <rFont val="Arial"/>
        <family val="2"/>
      </rPr>
      <t xml:space="preserve">12 </t>
    </r>
    <r>
      <rPr>
        <sz val="10"/>
        <rFont val="Noto Sans CJK SC"/>
        <family val="2"/>
      </rPr>
      <t>隊季後賽和冠軍</t>
    </r>
  </si>
  <si>
    <t>819e5d846752b181b46415f1</t>
  </si>
  <si>
    <t>In Other News: Rapid7 Layoffs, Hacking a Boeing 737, Refrigeration System Vulnerabilities</t>
  </si>
  <si>
    <r>
      <rPr>
        <sz val="10"/>
        <rFont val="Noto Sans CJK SC"/>
        <family val="2"/>
      </rPr>
      <t>其他新聞：</t>
    </r>
    <r>
      <rPr>
        <sz val="10"/>
        <rFont val="Arial"/>
        <family val="2"/>
      </rPr>
      <t xml:space="preserve">Rapid7 </t>
    </r>
    <r>
      <rPr>
        <sz val="10"/>
        <rFont val="Noto Sans CJK SC"/>
        <family val="2"/>
      </rPr>
      <t xml:space="preserve">裁員、駭客入侵波音 </t>
    </r>
    <r>
      <rPr>
        <sz val="10"/>
        <rFont val="Arial"/>
        <family val="2"/>
      </rPr>
      <t>737</t>
    </r>
    <r>
      <rPr>
        <sz val="10"/>
        <rFont val="Noto Sans CJK SC"/>
        <family val="2"/>
      </rPr>
      <t>、冷凍系統漏洞</t>
    </r>
  </si>
  <si>
    <t>430c8efb85ff8de21c160810</t>
  </si>
  <si>
    <t>CDW</t>
  </si>
  <si>
    <t>CDW Corporation</t>
  </si>
  <si>
    <t>CDW Intelligence Center: Rose's iron play, putting led to playoff win</t>
  </si>
  <si>
    <r>
      <rPr>
        <sz val="10"/>
        <rFont val="Arial"/>
        <family val="2"/>
      </rPr>
      <t>CDW</t>
    </r>
    <r>
      <rPr>
        <sz val="10"/>
        <rFont val="Noto Sans CJK SC"/>
        <family val="2"/>
      </rPr>
      <t>情報中心：羅斯的鐵桿表現，推桿導致季後賽勝利</t>
    </r>
  </si>
  <si>
    <t>golfchannel.com</t>
  </si>
  <si>
    <t>9aeb2bf0b75689f8eaecb0d0</t>
  </si>
  <si>
    <t>GM layoffs hit Lansing plants for retooling</t>
  </si>
  <si>
    <t>通用汽車裁員對蘭辛工廠進行重組</t>
  </si>
  <si>
    <r>
      <rPr>
        <sz val="10"/>
        <rFont val="Arial"/>
        <family val="2"/>
      </rPr>
      <t xml:space="preserve">GM </t>
    </r>
    <r>
      <rPr>
        <sz val="10"/>
        <rFont val="Noto Sans CJK SC"/>
        <family val="2"/>
      </rPr>
      <t xml:space="preserve">蘭辛工廠因改裝線裁員約 </t>
    </r>
    <r>
      <rPr>
        <sz val="10"/>
        <rFont val="Arial"/>
        <family val="2"/>
      </rPr>
      <t xml:space="preserve">350 </t>
    </r>
    <r>
      <rPr>
        <sz val="10"/>
        <rFont val="Noto Sans CJK SC"/>
        <family val="2"/>
      </rPr>
      <t>人。</t>
    </r>
  </si>
  <si>
    <t>7f12ba22f0dbe24c8abf0069</t>
  </si>
  <si>
    <t>NKE</t>
  </si>
  <si>
    <t>Nike, Inc. Common Stock</t>
  </si>
  <si>
    <t>NKE Stock Ticks Higher After Hours on Second Round of Layoffs In 2026</t>
  </si>
  <si>
    <r>
      <rPr>
        <sz val="10"/>
        <rFont val="Arial"/>
        <family val="2"/>
      </rPr>
      <t xml:space="preserve">NKE </t>
    </r>
    <r>
      <rPr>
        <sz val="10"/>
        <rFont val="Noto Sans CJK SC"/>
        <family val="2"/>
      </rPr>
      <t xml:space="preserve">股價盤後走高，因 </t>
    </r>
    <r>
      <rPr>
        <sz val="10"/>
        <rFont val="Arial"/>
        <family val="2"/>
      </rPr>
      <t xml:space="preserve">2026 </t>
    </r>
    <r>
      <rPr>
        <sz val="10"/>
        <rFont val="Noto Sans CJK SC"/>
        <family val="2"/>
      </rPr>
      <t>年第二輪裁員</t>
    </r>
  </si>
  <si>
    <r>
      <rPr>
        <sz val="10"/>
        <rFont val="Arial"/>
        <family val="2"/>
      </rPr>
      <t xml:space="preserve">Nike 2026 </t>
    </r>
    <r>
      <rPr>
        <sz val="10"/>
        <rFont val="Noto Sans CJK SC"/>
        <family val="2"/>
      </rPr>
      <t>年第二輪裁員。</t>
    </r>
  </si>
  <si>
    <t>899d4b4bc63727bb759257f8</t>
  </si>
  <si>
    <t>Lyft and Uber's pandemic-related struggles mean huge layoffs</t>
  </si>
  <si>
    <r>
      <rPr>
        <sz val="10"/>
        <rFont val="Arial"/>
        <family val="2"/>
      </rPr>
      <t xml:space="preserve">Lyft </t>
    </r>
    <r>
      <rPr>
        <sz val="10"/>
        <rFont val="Noto Sans CJK SC"/>
        <family val="2"/>
      </rPr>
      <t xml:space="preserve">和 </t>
    </r>
    <r>
      <rPr>
        <sz val="10"/>
        <rFont val="Arial"/>
        <family val="2"/>
      </rPr>
      <t xml:space="preserve">Uber </t>
    </r>
    <r>
      <rPr>
        <sz val="10"/>
        <rFont val="Noto Sans CJK SC"/>
        <family val="2"/>
      </rPr>
      <t>因疫情而陷入困境意味著大規模裁員</t>
    </r>
  </si>
  <si>
    <t>7daf5c0e493c096824feb94a</t>
  </si>
  <si>
    <t>FedEx Cup Playoffs bubble: Who's up, who's down in top 50 after Round 2 at St. Jude</t>
  </si>
  <si>
    <r>
      <rPr>
        <sz val="10"/>
        <rFont val="Noto Sans CJK SC"/>
        <family val="2"/>
      </rPr>
      <t xml:space="preserve">聯邦快遞杯季後賽泡沫：聖裘德第二輪比賽後誰上升，誰下降進入前 </t>
    </r>
    <r>
      <rPr>
        <sz val="10"/>
        <rFont val="Arial"/>
        <family val="2"/>
      </rPr>
      <t xml:space="preserve">50 </t>
    </r>
    <r>
      <rPr>
        <sz val="10"/>
        <rFont val="Noto Sans CJK SC"/>
        <family val="2"/>
      </rPr>
      <t>名</t>
    </r>
  </si>
  <si>
    <t>4d58a7aa258d65780c9f60d4</t>
  </si>
  <si>
    <t>General Motors files notice for 361 layoffs at Lansing assembly sites</t>
  </si>
  <si>
    <r>
      <rPr>
        <sz val="10"/>
        <rFont val="Noto Sans CJK SC"/>
        <family val="2"/>
      </rPr>
      <t xml:space="preserve">通用汽車發布蘭辛組裝廠裁員 </t>
    </r>
    <r>
      <rPr>
        <sz val="10"/>
        <rFont val="Arial"/>
        <family val="2"/>
      </rPr>
      <t xml:space="preserve">361 </t>
    </r>
    <r>
      <rPr>
        <sz val="10"/>
        <rFont val="Noto Sans CJK SC"/>
        <family val="2"/>
      </rPr>
      <t>人的通知</t>
    </r>
  </si>
  <si>
    <t>MLive.com</t>
  </si>
  <si>
    <t>75f4b793594615b4b14a5867</t>
  </si>
  <si>
    <t>Scottie Scheffler’s 61 gives the FedEx Cup playoffs a much-needed jolt</t>
  </si>
  <si>
    <r>
      <rPr>
        <sz val="10"/>
        <rFont val="Noto Sans CJK SC"/>
        <family val="2"/>
      </rPr>
      <t>斯科蒂</t>
    </r>
    <r>
      <rPr>
        <sz val="10"/>
        <rFont val="Arial"/>
        <family val="2"/>
      </rPr>
      <t>·</t>
    </r>
    <r>
      <rPr>
        <sz val="10"/>
        <rFont val="Noto Sans CJK SC"/>
        <family val="2"/>
      </rPr>
      <t xml:space="preserve">舍夫勒 </t>
    </r>
    <r>
      <rPr>
        <sz val="10"/>
        <rFont val="Arial"/>
        <family val="2"/>
      </rPr>
      <t xml:space="preserve">(Scottie Scheffler) </t>
    </r>
    <r>
      <rPr>
        <sz val="10"/>
        <rFont val="Noto Sans CJK SC"/>
        <family val="2"/>
      </rPr>
      <t xml:space="preserve">的 </t>
    </r>
    <r>
      <rPr>
        <sz val="10"/>
        <rFont val="Arial"/>
        <family val="2"/>
      </rPr>
      <t xml:space="preserve">61 </t>
    </r>
    <r>
      <rPr>
        <sz val="10"/>
        <rFont val="Noto Sans CJK SC"/>
        <family val="2"/>
      </rPr>
      <t>桿為聯邦快遞杯季後賽帶來急需的震撼</t>
    </r>
  </si>
  <si>
    <t>d08d9325e2301e81b820e393</t>
  </si>
  <si>
    <t>GM plans 350 layoffs in January at 2 Lansing sites, automaker confirms</t>
  </si>
  <si>
    <r>
      <rPr>
        <sz val="10"/>
        <rFont val="Noto Sans CJK SC"/>
        <family val="2"/>
      </rPr>
      <t xml:space="preserve">汽車製造商證實，通用汽車計劃一月份在蘭辛的兩個工廠裁員 </t>
    </r>
    <r>
      <rPr>
        <sz val="10"/>
        <rFont val="Arial"/>
        <family val="2"/>
      </rPr>
      <t xml:space="preserve">350 </t>
    </r>
    <r>
      <rPr>
        <sz val="10"/>
        <rFont val="Noto Sans CJK SC"/>
        <family val="2"/>
      </rPr>
      <t>人</t>
    </r>
  </si>
  <si>
    <t>CBS News</t>
  </si>
  <si>
    <t>f0fdf05cdcafd109b09c51bd</t>
  </si>
  <si>
    <t>f5fcb7208bb5749889f76178</t>
  </si>
  <si>
    <t>GM announces layoffs for Lansing Grand River plant retooling</t>
  </si>
  <si>
    <t>通用汽車宣布因蘭辛大河工廠重組而裁員</t>
  </si>
  <si>
    <t>f053cf659ea3bff6a6c26063</t>
  </si>
  <si>
    <t>MCD</t>
  </si>
  <si>
    <t>McDonald's Corporation Common Stock</t>
  </si>
  <si>
    <t>Weston Vs Auburn HS Baseball Playoffs Live Mcdonald's Menu (DNpB6daVUy)</t>
  </si>
  <si>
    <r>
      <rPr>
        <sz val="10"/>
        <rFont val="Noto Sans CJK SC"/>
        <family val="2"/>
      </rPr>
      <t xml:space="preserve">韋斯頓 </t>
    </r>
    <r>
      <rPr>
        <sz val="10"/>
        <rFont val="Arial"/>
        <family val="2"/>
      </rPr>
      <t xml:space="preserve">vs </t>
    </r>
    <r>
      <rPr>
        <sz val="10"/>
        <rFont val="Noto Sans CJK SC"/>
        <family val="2"/>
      </rPr>
      <t xml:space="preserve">奧本高中棒球季後賽現場麥當勞菜單 </t>
    </r>
    <r>
      <rPr>
        <sz val="10"/>
        <rFont val="Arial"/>
        <family val="2"/>
      </rPr>
      <t>(DNpB6daVUy)</t>
    </r>
  </si>
  <si>
    <t>9e7bfc6bb20e98ffd15ab1ea</t>
  </si>
  <si>
    <t>GM John Lynch eyes big finish for 49ers in wide-open NFC playoff race</t>
  </si>
  <si>
    <r>
      <rPr>
        <sz val="10"/>
        <rFont val="Noto Sans CJK SC"/>
        <family val="2"/>
      </rPr>
      <t xml:space="preserve">總經理約翰林奇 </t>
    </r>
    <r>
      <rPr>
        <sz val="10"/>
        <rFont val="Arial"/>
        <family val="2"/>
      </rPr>
      <t xml:space="preserve">(John Lynch) </t>
    </r>
    <r>
      <rPr>
        <sz val="10"/>
        <rFont val="Noto Sans CJK SC"/>
        <family val="2"/>
      </rPr>
      <t xml:space="preserve">希望 </t>
    </r>
    <r>
      <rPr>
        <sz val="10"/>
        <rFont val="Arial"/>
        <family val="2"/>
      </rPr>
      <t xml:space="preserve">49 </t>
    </r>
    <r>
      <rPr>
        <sz val="10"/>
        <rFont val="Noto Sans CJK SC"/>
        <family val="2"/>
      </rPr>
      <t xml:space="preserve">人隊在 </t>
    </r>
    <r>
      <rPr>
        <sz val="10"/>
        <rFont val="Arial"/>
        <family val="2"/>
      </rPr>
      <t xml:space="preserve">NFC </t>
    </r>
    <r>
      <rPr>
        <sz val="10"/>
        <rFont val="Noto Sans CJK SC"/>
        <family val="2"/>
      </rPr>
      <t>季後賽中取得優異成績</t>
    </r>
  </si>
  <si>
    <t>99167d191e8f9dfaa8138dc3</t>
  </si>
  <si>
    <t>Stewart Cink beats Miguel Angel Jiménez in playoff to win Boeing Classic, earns fifth title of season</t>
  </si>
  <si>
    <t>史都華辛克在延長賽中擊敗米格爾安赫爾希門尼斯贏得波音精英賽冠軍，贏得本賽季第五個冠軍</t>
  </si>
  <si>
    <t>f2ba7dc9e87612963ae7af5e</t>
  </si>
  <si>
    <t>Boeing Classic: Stewart Cink defeats Miguel Angel Jimenez in playoff</t>
  </si>
  <si>
    <t>波音經典賽：史都華辛克在延長賽中擊敗米格爾安赫爾希門尼斯</t>
  </si>
  <si>
    <t>The Seattle Times</t>
  </si>
  <si>
    <t>與公司風險無關：體育賽事、同名誤配、個人經歷文章、一般評論，或非該公司事件。</t>
  </si>
  <si>
    <t>8e450555d3d7c8f235bd8908</t>
  </si>
  <si>
    <t>Scheffler wins FedEx Cup playoff opener in a runaway and Jack Whaley claims the U.S. Amateur</t>
  </si>
  <si>
    <t>舍夫勒在聯邦快遞杯季後賽首戰大獲全勝，傑克威利奪得美國業餘冠軍</t>
  </si>
  <si>
    <t>messenger-inquirer.com</t>
  </si>
  <si>
    <t>a1dee02bbec13c3edddf428b</t>
  </si>
  <si>
    <t>Jordan Spieth's season ends after being narrowly eliminated from FedEx Cup playoffs</t>
  </si>
  <si>
    <t>喬丹史匹斯在聯邦快遞杯季後賽以微弱優勢被淘汰後賽季結束</t>
  </si>
  <si>
    <t>9a1e74154f663c3cb950e046</t>
  </si>
  <si>
    <t>Jordan Spieth, Keith Mitchell among the 20 exiting FedEx Playoffs before BMW</t>
  </si>
  <si>
    <r>
      <rPr>
        <sz val="10"/>
        <rFont val="Noto Sans CJK SC"/>
        <family val="2"/>
      </rPr>
      <t xml:space="preserve">喬丹史匹斯 </t>
    </r>
    <r>
      <rPr>
        <sz val="10"/>
        <rFont val="Arial"/>
        <family val="2"/>
      </rPr>
      <t>(Jordan Spieth)</t>
    </r>
    <r>
      <rPr>
        <sz val="10"/>
        <rFont val="Noto Sans CJK SC"/>
        <family val="2"/>
      </rPr>
      <t xml:space="preserve">、基斯米切爾 </t>
    </r>
    <r>
      <rPr>
        <sz val="10"/>
        <rFont val="Arial"/>
        <family val="2"/>
      </rPr>
      <t xml:space="preserve">(Keith Mitchell) </t>
    </r>
    <r>
      <rPr>
        <sz val="10"/>
        <rFont val="Noto Sans CJK SC"/>
        <family val="2"/>
      </rPr>
      <t xml:space="preserve">躋身聯邦快遞季後賽前 </t>
    </r>
    <r>
      <rPr>
        <sz val="10"/>
        <rFont val="Arial"/>
        <family val="2"/>
      </rPr>
      <t xml:space="preserve">20 </t>
    </r>
    <r>
      <rPr>
        <sz val="10"/>
        <rFont val="Noto Sans CJK SC"/>
        <family val="2"/>
      </rPr>
      <t>名，排在寶馬之前</t>
    </r>
  </si>
  <si>
    <t>5d97fee18e25fc27e6fdcb39</t>
  </si>
  <si>
    <t>See the top 50 in FedEx Cup Playoffs standings heading to the BMW Championship</t>
  </si>
  <si>
    <r>
      <rPr>
        <sz val="10"/>
        <rFont val="Noto Sans CJK SC"/>
        <family val="2"/>
      </rPr>
      <t xml:space="preserve">查看聯邦快遞杯季後賽積分榜前 </t>
    </r>
    <r>
      <rPr>
        <sz val="10"/>
        <rFont val="Arial"/>
        <family val="2"/>
      </rPr>
      <t xml:space="preserve">50 </t>
    </r>
    <r>
      <rPr>
        <sz val="10"/>
        <rFont val="Noto Sans CJK SC"/>
        <family val="2"/>
      </rPr>
      <t xml:space="preserve">名，前往 </t>
    </r>
    <r>
      <rPr>
        <sz val="10"/>
        <rFont val="Arial"/>
        <family val="2"/>
      </rPr>
      <t xml:space="preserve">BMW </t>
    </r>
    <r>
      <rPr>
        <sz val="10"/>
        <rFont val="Noto Sans CJK SC"/>
        <family val="2"/>
      </rPr>
      <t>錦標賽</t>
    </r>
  </si>
  <si>
    <t>d581339b6abc4ff323ce873b</t>
  </si>
  <si>
    <t>FedEx Cup 2026 Points, Playoff Standings After St. Jude Championship</t>
  </si>
  <si>
    <r>
      <rPr>
        <sz val="10"/>
        <rFont val="Noto Sans CJK SC"/>
        <family val="2"/>
      </rPr>
      <t xml:space="preserve">聖裘德錦標賽後 </t>
    </r>
    <r>
      <rPr>
        <sz val="10"/>
        <rFont val="Arial"/>
        <family val="2"/>
      </rPr>
      <t xml:space="preserve">2026 </t>
    </r>
    <r>
      <rPr>
        <sz val="10"/>
        <rFont val="Noto Sans CJK SC"/>
        <family val="2"/>
      </rPr>
      <t>年聯邦快遞杯積分、季後賽積分榜</t>
    </r>
  </si>
  <si>
    <t>Bleacher Report</t>
  </si>
  <si>
    <t>0af70fca275457938edc6d49</t>
  </si>
  <si>
    <t>Collin Morikawa is Lone Ex-Cal Golfer Still Alive in FedEx Cup Playoffs</t>
  </si>
  <si>
    <t>科林森川是聯邦快遞杯季後賽中唯一仍然活著的前加州高爾夫球手</t>
  </si>
  <si>
    <t>si.com</t>
  </si>
  <si>
    <t>9fae2c338c33fe24ef7b0f35</t>
  </si>
  <si>
    <t>Rory McIlroy has rough week, posts worst finish of the season at FedEx St. Jude Championship to open playoffs</t>
  </si>
  <si>
    <r>
      <rPr>
        <sz val="10"/>
        <rFont val="Noto Sans CJK SC"/>
        <family val="2"/>
      </rPr>
      <t>羅裡</t>
    </r>
    <r>
      <rPr>
        <sz val="10"/>
        <rFont val="Arial"/>
        <family val="2"/>
      </rPr>
      <t>·</t>
    </r>
    <r>
      <rPr>
        <sz val="10"/>
        <rFont val="Noto Sans CJK SC"/>
        <family val="2"/>
      </rPr>
      <t>麥克羅伊度過了艱難的一周，在聯邦快遞聖裘德錦標賽季後賽中取得了本賽季最差的成績</t>
    </r>
  </si>
  <si>
    <t>b2954fdcc878dfdd1c1a56a6</t>
  </si>
  <si>
    <t>2026 St. Jude Championship TV schedule, coverage: Where to watch first leg of FedEx Cup Playoffs</t>
  </si>
  <si>
    <r>
      <rPr>
        <sz val="10"/>
        <rFont val="Arial"/>
        <family val="2"/>
      </rPr>
      <t xml:space="preserve">2026 </t>
    </r>
    <r>
      <rPr>
        <sz val="10"/>
        <rFont val="Noto Sans CJK SC"/>
        <family val="2"/>
      </rPr>
      <t>年聖裘德錦標賽電視節目表、報導：在哪裡觀看聯邦快遞杯季後賽第一回合</t>
    </r>
  </si>
  <si>
    <t>c71ad688d3fa04a21868e114</t>
  </si>
  <si>
    <t>EA devs feel "the threat of layoffs at all times," especially after Saudi Arabia acquisition: "It's hard to see how teams or games that underperform wouldn't be dissolved"</t>
  </si>
  <si>
    <t>f2d43c051b02f6d0e68cd5d6</t>
  </si>
  <si>
    <t>Starbucks files another layoff notice for Seattle HQ, 200+ jobs affected</t>
  </si>
  <si>
    <t>KOMO</t>
  </si>
  <si>
    <t>星巴克西雅圖總部及門市裁員通知。</t>
  </si>
  <si>
    <t>57fcfed4161a89c6cda80114</t>
  </si>
  <si>
    <t>Starbucks layoffs hit 224 Seattle headquarters employees</t>
  </si>
  <si>
    <t>FOX 13 Seattle</t>
  </si>
  <si>
    <t>14578c2488499cd965a7a8aa</t>
  </si>
  <si>
    <t>Over 100 PepsiCo employees in Columbia facing permanent layoffs, documents show</t>
  </si>
  <si>
    <t>WIS News 10</t>
  </si>
  <si>
    <r>
      <rPr>
        <sz val="10"/>
        <rFont val="Arial"/>
        <family val="2"/>
      </rPr>
      <t xml:space="preserve">PepsiCo </t>
    </r>
    <r>
      <rPr>
        <sz val="10"/>
        <rFont val="Noto Sans CJK SC"/>
        <family val="2"/>
      </rPr>
      <t>設施裁員（哥倫比亞／</t>
    </r>
    <r>
      <rPr>
        <sz val="10"/>
        <rFont val="Arial"/>
        <family val="2"/>
      </rPr>
      <t>Cheverly</t>
    </r>
    <r>
      <rPr>
        <sz val="10"/>
        <rFont val="Noto Sans CJK SC"/>
        <family val="2"/>
      </rPr>
      <t>）。</t>
    </r>
  </si>
  <si>
    <t>094940ea9bbef65029c0ac7d</t>
  </si>
  <si>
    <t>Tyson Foods WARN Act Investigation: Joslin Plant Layoffs and Legal Scrutiny - News and Statistics</t>
  </si>
  <si>
    <t>indexbox.io</t>
  </si>
  <si>
    <r>
      <rPr>
        <sz val="10"/>
        <rFont val="Arial"/>
        <family val="2"/>
      </rPr>
      <t xml:space="preserve">Tyson Joslin </t>
    </r>
    <r>
      <rPr>
        <sz val="10"/>
        <rFont val="Noto Sans CJK SC"/>
        <family val="2"/>
      </rPr>
      <t xml:space="preserve">工廠裁員的 </t>
    </r>
    <r>
      <rPr>
        <sz val="10"/>
        <rFont val="Arial"/>
        <family val="2"/>
      </rPr>
      <t xml:space="preserve">WARN </t>
    </r>
    <r>
      <rPr>
        <sz val="10"/>
        <rFont val="Noto Sans CJK SC"/>
        <family val="2"/>
      </rPr>
      <t>法案調查。</t>
    </r>
  </si>
  <si>
    <t>2b6bd383b14b865532023325</t>
  </si>
  <si>
    <t>2026 BMW Championship TV schedule, coverage: Where to watch, live stream FedEx Cup Playoffs on Sunday</t>
  </si>
  <si>
    <t>8b16ecf4ea986a8e00de22ae</t>
  </si>
  <si>
    <t>FedEx Cup playoffs: What to watch over the next three weeks, including Ryder Cup spots</t>
  </si>
  <si>
    <t>ce7b96e947cb336b8f02e89d</t>
  </si>
  <si>
    <t>Tech layoffs tracker 2026: All the job losses across TikTok, Apple, Meta, Microsoft, Oracle and others</t>
  </si>
  <si>
    <t>Yahoo Tech</t>
  </si>
  <si>
    <t>科技裁員追蹤彙整，含本公司。</t>
  </si>
  <si>
    <t>fc4db311719d37bb8005ad41</t>
  </si>
  <si>
    <t>Starbucks (SBUX)’s Corporate Layoffs Could Strengthen its Turnaround, But Risks Remain</t>
  </si>
  <si>
    <t>星巴克企業裁員分析，風險仍在。</t>
  </si>
  <si>
    <t>2e750ae64f16765acb85ca7c</t>
  </si>
  <si>
    <t>2026-08-29</t>
  </si>
  <si>
    <t>SNDK</t>
  </si>
  <si>
    <t>Sandisk Corporation</t>
  </si>
  <si>
    <t>Sandisk Reported Layoffs at Its Israel Locations. This Is an Efficiency Push, Not a Warning Sign for SNDK Stock.</t>
  </si>
  <si>
    <r>
      <rPr>
        <sz val="10"/>
        <rFont val="Arial"/>
        <family val="2"/>
      </rPr>
      <t xml:space="preserve">Sandisk </t>
    </r>
    <r>
      <rPr>
        <sz val="10"/>
        <rFont val="Noto Sans CJK SC"/>
        <family val="2"/>
      </rPr>
      <t>以色列據點裁員。</t>
    </r>
  </si>
  <si>
    <t>2ac909d4cb8c0058b09e74c1</t>
  </si>
  <si>
    <t>GL</t>
  </si>
  <si>
    <t>Globe Life Inc. Common Stock</t>
  </si>
  <si>
    <t>Globe Life Field may be Rangers' most valuable weapon in upcoming September playoff push</t>
  </si>
  <si>
    <t>Dallas News</t>
  </si>
  <si>
    <t>5f48aab3309fa36adbb53e45</t>
  </si>
  <si>
    <t>Mass layoffs at California-based Uber as thousands of jobs wiped out — and it’s bad news for Gen Z</t>
  </si>
  <si>
    <t>nypost.com</t>
  </si>
  <si>
    <r>
      <rPr>
        <sz val="10"/>
        <rFont val="Arial"/>
        <family val="2"/>
      </rPr>
      <t xml:space="preserve">Uber </t>
    </r>
    <r>
      <rPr>
        <sz val="10"/>
        <rFont val="Noto Sans CJK SC"/>
        <family val="2"/>
      </rPr>
      <t xml:space="preserve">重組裁員約 </t>
    </r>
    <r>
      <rPr>
        <sz val="10"/>
        <rFont val="Arial"/>
        <family val="2"/>
      </rPr>
      <t xml:space="preserve">3,300 </t>
    </r>
    <r>
      <rPr>
        <sz val="10"/>
        <rFont val="Noto Sans CJK SC"/>
        <family val="2"/>
      </rPr>
      <t xml:space="preserve">人（約 </t>
    </r>
    <r>
      <rPr>
        <sz val="10"/>
        <rFont val="Arial"/>
        <family val="2"/>
      </rPr>
      <t>10%</t>
    </r>
    <r>
      <rPr>
        <sz val="10"/>
        <rFont val="Noto Sans CJK SC"/>
        <family val="2"/>
      </rPr>
      <t>），為疫情以來最大。</t>
    </r>
  </si>
  <si>
    <t>24e407c421c043df7d939ff3</t>
  </si>
  <si>
    <t>Uber突然大裁員！3300人丟飯碗 完全遠距員工只留1%</t>
  </si>
  <si>
    <t>c9f927963cf0a51fb9a36cb4</t>
  </si>
  <si>
    <t>Seismic CEO on the Highspot merger: revenue, job cuts, Seattle, AI, and the Salesforce question</t>
  </si>
  <si>
    <t>GeekWire</t>
  </si>
  <si>
    <t>2cd189247aff7125b464ef20</t>
  </si>
  <si>
    <t>Uber Cuts 10% Of Staff In Company’s Largest Layoffs Since Pandemic</t>
  </si>
  <si>
    <t>85debfb8e315c7051345d963</t>
  </si>
  <si>
    <t>Tech layoffs 2026: Tracking the job losses across Uber, Apple, TikTok, Meta, Microsoft, Oracle and others</t>
  </si>
  <si>
    <t>eaacc5f759318bd06d0042a7</t>
  </si>
  <si>
    <t>ccdd0370886a8bdbd804cbee</t>
  </si>
  <si>
    <t>Uber將裁員3300人 重組業務以精簡管理層級</t>
  </si>
  <si>
    <t>bc7256fd58df1a7a00c6c12e</t>
  </si>
  <si>
    <t>Illinois lawmakers say they were blindsided by Tyson Foods layoffs</t>
  </si>
  <si>
    <t>Quad Cities Business Journal</t>
  </si>
  <si>
    <r>
      <rPr>
        <sz val="10"/>
        <rFont val="Arial"/>
        <family val="2"/>
      </rPr>
      <t xml:space="preserve">Tyson </t>
    </r>
    <r>
      <rPr>
        <sz val="10"/>
        <rFont val="Noto Sans CJK SC"/>
        <family val="2"/>
      </rPr>
      <t>裁員讓伊利諾州議員措手不及。</t>
    </r>
  </si>
  <si>
    <t>6a6b3e93caa56075ea0653d5</t>
  </si>
  <si>
    <t>PYPL</t>
  </si>
  <si>
    <t>PayPal</t>
  </si>
  <si>
    <t>Subject line: Slice’s valuation reset, PayPal layoffs and Hanuman Ansh’s sleeper success -- Editor’s Picks from Moneycontrol</t>
  </si>
  <si>
    <r>
      <rPr>
        <sz val="10"/>
        <rFont val="Noto Sans CJK SC"/>
        <family val="2"/>
      </rPr>
      <t>主旨：</t>
    </r>
    <r>
      <rPr>
        <sz val="10"/>
        <rFont val="Arial"/>
        <family val="2"/>
      </rPr>
      <t xml:space="preserve">Slice </t>
    </r>
    <r>
      <rPr>
        <sz val="10"/>
        <rFont val="Noto Sans CJK SC"/>
        <family val="2"/>
      </rPr>
      <t>的估值重置、</t>
    </r>
    <r>
      <rPr>
        <sz val="10"/>
        <rFont val="Arial"/>
        <family val="2"/>
      </rPr>
      <t xml:space="preserve">PayPal </t>
    </r>
    <r>
      <rPr>
        <sz val="10"/>
        <rFont val="Noto Sans CJK SC"/>
        <family val="2"/>
      </rPr>
      <t xml:space="preserve">裁員和 </t>
    </r>
    <r>
      <rPr>
        <sz val="10"/>
        <rFont val="Arial"/>
        <family val="2"/>
      </rPr>
      <t xml:space="preserve">Hanuman Ansh </t>
    </r>
    <r>
      <rPr>
        <sz val="10"/>
        <rFont val="Noto Sans CJK SC"/>
        <family val="2"/>
      </rPr>
      <t xml:space="preserve">的成功——來自 </t>
    </r>
    <r>
      <rPr>
        <sz val="10"/>
        <rFont val="Arial"/>
        <family val="2"/>
      </rPr>
      <t xml:space="preserve">Moneycontrol </t>
    </r>
    <r>
      <rPr>
        <sz val="10"/>
        <rFont val="Noto Sans CJK SC"/>
        <family val="2"/>
      </rPr>
      <t>的編輯精選</t>
    </r>
  </si>
  <si>
    <t>f8a3743025dc6facd1913e5f</t>
  </si>
  <si>
    <t>SNPS</t>
  </si>
  <si>
    <t>Synopsys, Inc.</t>
  </si>
  <si>
    <t>Amazon, Synopsys reveal plans for Bay Area job cuts</t>
  </si>
  <si>
    <t>亞馬遜和新思科技公佈灣區裁員計劃</t>
  </si>
  <si>
    <t>The Press Democrat</t>
  </si>
  <si>
    <r>
      <rPr>
        <sz val="10"/>
        <rFont val="Arial"/>
        <family val="2"/>
      </rPr>
      <t xml:space="preserve">Synopsys </t>
    </r>
    <r>
      <rPr>
        <sz val="10"/>
        <rFont val="Noto Sans CJK SC"/>
        <family val="2"/>
      </rPr>
      <t>灣區裁員。</t>
    </r>
  </si>
  <si>
    <t>ea16c13de04ff233e6e10b47</t>
  </si>
  <si>
    <t>Uber, Wonder issue layoffs</t>
  </si>
  <si>
    <r>
      <rPr>
        <sz val="10"/>
        <rFont val="Noto Sans CJK SC"/>
        <family val="2"/>
      </rPr>
      <t>優步、</t>
    </r>
    <r>
      <rPr>
        <sz val="10"/>
        <rFont val="Arial"/>
        <family val="2"/>
      </rPr>
      <t xml:space="preserve">Wonder </t>
    </r>
    <r>
      <rPr>
        <sz val="10"/>
        <rFont val="Noto Sans CJK SC"/>
        <family val="2"/>
      </rPr>
      <t>裁員</t>
    </r>
  </si>
  <si>
    <t>restaurantdive.com</t>
  </si>
  <si>
    <r>
      <rPr>
        <sz val="10"/>
        <rFont val="Arial"/>
        <family val="2"/>
      </rPr>
      <t xml:space="preserve">Uber </t>
    </r>
    <r>
      <rPr>
        <sz val="10"/>
        <rFont val="Noto Sans CJK SC"/>
        <family val="2"/>
      </rPr>
      <t xml:space="preserve">舊金山總部裁員逾 </t>
    </r>
    <r>
      <rPr>
        <sz val="10"/>
        <rFont val="Arial"/>
        <family val="2"/>
      </rPr>
      <t xml:space="preserve">250 </t>
    </r>
    <r>
      <rPr>
        <sz val="10"/>
        <rFont val="Noto Sans CJK SC"/>
        <family val="2"/>
      </rPr>
      <t>人。</t>
    </r>
  </si>
  <si>
    <t>9da6b925db9ee6ba62ff954b</t>
  </si>
  <si>
    <t>The PGA Tour finally got the FedEx Cup playoffs right, just in time to ruin them. It’s an impossible product to sell.</t>
  </si>
  <si>
    <t>美巡賽終於獲得了聯邦快遞杯季後賽的勝利，但恰巧毀了他們。這是一種不可能銷售的產品。</t>
  </si>
  <si>
    <t>Inquirer.com</t>
  </si>
  <si>
    <t>e6da1e2be094af91822061d0</t>
  </si>
  <si>
    <t>D-backs GM 'very confident' in playoff push</t>
  </si>
  <si>
    <t>Arizona Sports</t>
  </si>
  <si>
    <t>97edbefb2293d7355fd8f6e5</t>
  </si>
  <si>
    <t>PayPal hits senior managers, directors and engineers in new Bay Area layoffs</t>
  </si>
  <si>
    <r>
      <rPr>
        <sz val="10"/>
        <rFont val="Arial"/>
        <family val="2"/>
      </rPr>
      <t xml:space="preserve">PayPal </t>
    </r>
    <r>
      <rPr>
        <sz val="10"/>
        <rFont val="Noto Sans CJK SC"/>
        <family val="2"/>
      </rPr>
      <t>在灣區新一輪裁員中對高級管理人員、董事和工程師進行了裁員</t>
    </r>
  </si>
  <si>
    <t>SFGATE</t>
  </si>
  <si>
    <r>
      <rPr>
        <sz val="10"/>
        <rFont val="Arial"/>
        <family val="2"/>
      </rPr>
      <t xml:space="preserve">PayPal </t>
    </r>
    <r>
      <rPr>
        <sz val="10"/>
        <rFont val="Noto Sans CJK SC"/>
        <family val="2"/>
      </rPr>
      <t>多輪裁員（多年期重組）。</t>
    </r>
  </si>
  <si>
    <t>1b4622769015325f6e66c1be</t>
  </si>
  <si>
    <t>Alouettes host Lions with another chance to clinch playoff spot on TSN</t>
  </si>
  <si>
    <r>
      <rPr>
        <sz val="10"/>
        <rFont val="Arial"/>
        <family val="2"/>
      </rPr>
      <t xml:space="preserve">Alouettes </t>
    </r>
    <r>
      <rPr>
        <sz val="10"/>
        <rFont val="Noto Sans CJK SC"/>
        <family val="2"/>
      </rPr>
      <t xml:space="preserve">主場迎戰 </t>
    </r>
    <r>
      <rPr>
        <sz val="10"/>
        <rFont val="Arial"/>
        <family val="2"/>
      </rPr>
      <t>Lions</t>
    </r>
    <r>
      <rPr>
        <sz val="10"/>
        <rFont val="Noto Sans CJK SC"/>
        <family val="2"/>
      </rPr>
      <t xml:space="preserve">，再次有機會在 </t>
    </r>
    <r>
      <rPr>
        <sz val="10"/>
        <rFont val="Arial"/>
        <family val="2"/>
      </rPr>
      <t xml:space="preserve">TSN </t>
    </r>
    <r>
      <rPr>
        <sz val="10"/>
        <rFont val="Noto Sans CJK SC"/>
        <family val="2"/>
      </rPr>
      <t>上鎖定季後賽席位</t>
    </r>
  </si>
  <si>
    <t>f83c83a5d25f3d395cb68e4a</t>
  </si>
  <si>
    <t>I was laid off from Uber again. As a boomerang employee, my worst fear came true.</t>
  </si>
  <si>
    <r>
      <rPr>
        <sz val="10"/>
        <rFont val="Noto Sans CJK SC"/>
        <family val="2"/>
      </rPr>
      <t xml:space="preserve">我又被 </t>
    </r>
    <r>
      <rPr>
        <sz val="10"/>
        <rFont val="Arial"/>
        <family val="2"/>
      </rPr>
      <t xml:space="preserve">Uber </t>
    </r>
    <r>
      <rPr>
        <sz val="10"/>
        <rFont val="Noto Sans CJK SC"/>
        <family val="2"/>
      </rPr>
      <t>解雇了。身為迴力鏢員工，我最擔心的事情成真了。</t>
    </r>
  </si>
  <si>
    <t>Business Insider</t>
  </si>
  <si>
    <t>9a3859e34af691eaf36ef1aa</t>
  </si>
  <si>
    <t>2026-09-05</t>
  </si>
  <si>
    <t>PayPal layoffs expand: Employees in San Jose set to lose jobs</t>
  </si>
  <si>
    <t>274f2bf3b5eeb18ab08d9b4a</t>
  </si>
  <si>
    <t>PayPal adds another round of layoffs as part of multiyear restructuring plan</t>
  </si>
  <si>
    <t>Honolulu Star-Advertiser</t>
  </si>
  <si>
    <t>cf6ec32a774f1d01f483e06e</t>
  </si>
  <si>
    <t>2026-09-06</t>
  </si>
  <si>
    <t>Uber techie gets laid off after 7-year stint: Prioritised family in last 3-4 months</t>
  </si>
  <si>
    <t>Moneycontrol.com</t>
  </si>
  <si>
    <t>359bb9e11d3d73897274833d</t>
  </si>
  <si>
    <t>How to Play SNPS Stock as Layoffs Hit Synopsys</t>
  </si>
  <si>
    <t>Barchart.com</t>
  </si>
  <si>
    <t>a83172aed1d35efe6670dd86</t>
  </si>
  <si>
    <t>Uber Stock Drops 3.5%; Layoffs and London Robotaxis Put Spending in Focus</t>
  </si>
  <si>
    <r>
      <rPr>
        <sz val="10"/>
        <rFont val="Arial"/>
        <family val="2"/>
      </rPr>
      <t xml:space="preserve">Uber </t>
    </r>
    <r>
      <rPr>
        <sz val="10"/>
        <rFont val="Noto Sans CJK SC"/>
        <family val="2"/>
      </rPr>
      <t>裁員後的股價與執行長說明（同一事件後續）。</t>
    </r>
  </si>
  <si>
    <t>4161137925afc26be908157a</t>
  </si>
  <si>
    <t>Top Uber Executive Buys $5.3 Million in Stock After Job Cuts</t>
  </si>
  <si>
    <t>Barron's</t>
  </si>
  <si>
    <t>e5b42f025d14a0b387654dbc</t>
  </si>
  <si>
    <t>With PayPal Layoffs Brewing, How to Play PYPL Stock in September 2026</t>
  </si>
  <si>
    <r>
      <rPr>
        <sz val="10"/>
        <rFont val="Arial"/>
        <family val="2"/>
      </rPr>
      <t xml:space="preserve">PayPal </t>
    </r>
    <r>
      <rPr>
        <sz val="10"/>
        <rFont val="Noto Sans CJK SC"/>
        <family val="2"/>
      </rPr>
      <t>裁員醞釀中的投資分析。</t>
    </r>
  </si>
  <si>
    <t>d2ff43426fda5fe85b0b80dd</t>
  </si>
  <si>
    <t>IBM Executive: AI Creates Value, Not Job Cuts</t>
  </si>
  <si>
    <t>조선일보</t>
  </si>
  <si>
    <t>11da16c62ea71b43e5078a0f</t>
  </si>
  <si>
    <t>Zimmer Biomet Plans Mass Layoffs—Up to 580 Jobs at Risk</t>
  </si>
  <si>
    <t>blue News</t>
  </si>
  <si>
    <r>
      <rPr>
        <sz val="10"/>
        <rFont val="Arial"/>
        <family val="2"/>
      </rPr>
      <t xml:space="preserve">Zimmer Biomet </t>
    </r>
    <r>
      <rPr>
        <sz val="10"/>
        <rFont val="Noto Sans CJK SC"/>
        <family val="2"/>
      </rPr>
      <t xml:space="preserve">計畫裁員最多 </t>
    </r>
    <r>
      <rPr>
        <sz val="10"/>
        <rFont val="Arial"/>
        <family val="2"/>
      </rPr>
      <t xml:space="preserve">580 </t>
    </r>
    <r>
      <rPr>
        <sz val="10"/>
        <rFont val="Noto Sans CJK SC"/>
        <family val="2"/>
      </rPr>
      <t>人。</t>
    </r>
  </si>
  <si>
    <t>726f8d6aa5ca7039d42c1391</t>
  </si>
  <si>
    <t>I was laid off from Amazon. After struggling to relax as a working mom, I went all in on my wellness side hustle.</t>
  </si>
  <si>
    <t>2f12951d181a1fbc456b500c</t>
  </si>
  <si>
    <t>AMGN</t>
  </si>
  <si>
    <t>Amgen Inc.</t>
  </si>
  <si>
    <t>2026 Amgen Irish Open format, cut rules and DP World Tour playoff format</t>
  </si>
  <si>
    <t>d2bb5f6b7bd798d00df59015</t>
  </si>
  <si>
    <t>Uber's CEO says you could see lower ride prices as a result of its layoffs</t>
  </si>
  <si>
    <t>073205007eaa439a7925f40b</t>
  </si>
  <si>
    <t>Uber CEO makes shocking admission about layoffs</t>
  </si>
  <si>
    <t>TheStreet</t>
  </si>
  <si>
    <t>5fc0a9c7d4cae70cb9412bf9</t>
  </si>
  <si>
    <t>Caption: Uber CEO Dara Khosrowshahi said people could see lower ride prices as a result of its recent layoffs. 🚖 The company cut about 10% of its workforce, nearly 3,300 people. Uber says it plans to use the money it's saving to "reinvest it back in the busine</t>
  </si>
  <si>
    <t>53f0f817cce529314bc47c6b</t>
  </si>
  <si>
    <t>Uber Stock (UBER) Opinions on Layoffs and Robotaxi Push</t>
  </si>
  <si>
    <t>de437c570fac018a92d6d124</t>
  </si>
  <si>
    <t>Goldman Sachs might be warming up for some more job cuts soon</t>
  </si>
  <si>
    <t>eFinancialCareers</t>
  </si>
  <si>
    <t>傳高盛可能再度裁員。</t>
  </si>
  <si>
    <t>3271abc8dd42797c2ec52a2f</t>
  </si>
  <si>
    <t>Job cuts at PepsiCo facility in Cheverly</t>
  </si>
  <si>
    <t>wusa9.com</t>
  </si>
  <si>
    <t>3c55a9054e5f9458c85b7c79</t>
  </si>
  <si>
    <t>Boeing parts ways with food service provider Aramark, 69 layoffs planned</t>
  </si>
  <si>
    <t>FOX 2</t>
  </si>
  <si>
    <t>d4c61406433c67429708d4d2</t>
  </si>
  <si>
    <t>Loss of Boeing food service contract prompts 69 job cuts by vendor</t>
  </si>
  <si>
    <t>The Business Journals</t>
  </si>
  <si>
    <t>38e460118f3553d7885c6d2b</t>
  </si>
  <si>
    <t>Uber plans more than 250 layoffs at San Francisco headquarters</t>
  </si>
  <si>
    <t>277c4190a31d11318cdc560a</t>
  </si>
  <si>
    <t>Uber employees say AI usage ramped up before layoffs</t>
  </si>
  <si>
    <t>22c48b8ed431e75a467445ab</t>
  </si>
  <si>
    <t>Layoffs Affect All Employees At PepsiCo In Cheverly</t>
  </si>
  <si>
    <t>Patch</t>
  </si>
  <si>
    <t>597499bbf3820b4d41a8430a</t>
  </si>
  <si>
    <t>Cubs expect Alex Bregman back for playoffs after foul ball to face</t>
  </si>
  <si>
    <t>4345dc8aba2aa5cc10bd00f3</t>
  </si>
  <si>
    <t>Brewers COO Marti Wronski on playoff baseball</t>
  </si>
  <si>
    <t>WBAY</t>
  </si>
  <si>
    <t>8eb8de929f0d100c02257b4c</t>
  </si>
  <si>
    <t>Brewers COO previews playoffs, ticket sales, fan rally</t>
  </si>
  <si>
    <t>d953221ef41ef6b8d6a991df</t>
  </si>
  <si>
    <t>Cisco president Jeetu Patel says AI will create more jobs than it eliminates despite tech layoffs -- EXCLUSIVE</t>
  </si>
  <si>
    <t>ABC7 Bay Area</t>
  </si>
  <si>
    <t>4f29695288f851e4f759c483</t>
  </si>
  <si>
    <t>WBD</t>
  </si>
  <si>
    <t>Warner Bros. Discovery</t>
  </si>
  <si>
    <t>Paramount-WBD Deal Architect Gerry Cardinale Says Most Of $6B In Expected Cost Savings Will Not Be From Layoffs</t>
  </si>
  <si>
    <t>Deadline</t>
  </si>
  <si>
    <t>91e6abfabe8f86e53c6a1948</t>
  </si>
  <si>
    <t>Layoffs on the Way as Skydance Now Controls Paramount and WBD</t>
  </si>
  <si>
    <t>ADWEEK</t>
  </si>
  <si>
    <r>
      <rPr>
        <sz val="10"/>
        <rFont val="Arial"/>
        <family val="2"/>
      </rPr>
      <t xml:space="preserve">Skydance </t>
    </r>
    <r>
      <rPr>
        <sz val="10"/>
        <rFont val="Noto Sans CJK SC"/>
        <family val="2"/>
      </rPr>
      <t xml:space="preserve">控制 </t>
    </r>
    <r>
      <rPr>
        <sz val="10"/>
        <rFont val="Arial"/>
        <family val="2"/>
      </rPr>
      <t>Paramount</t>
    </r>
    <r>
      <rPr>
        <sz val="10"/>
        <rFont val="Noto Sans CJK SC"/>
        <family val="2"/>
      </rPr>
      <t>／</t>
    </r>
    <r>
      <rPr>
        <sz val="10"/>
        <rFont val="Arial"/>
        <family val="2"/>
      </rPr>
      <t xml:space="preserve">WBD </t>
    </r>
    <r>
      <rPr>
        <sz val="10"/>
        <rFont val="Noto Sans CJK SC"/>
        <family val="2"/>
      </rPr>
      <t>後預告裁員。</t>
    </r>
  </si>
  <si>
    <t>5d2d61e299f760b321a3a363</t>
  </si>
  <si>
    <t>Starbucks confirms closure of five Washington stores in layoffs notice</t>
  </si>
  <si>
    <t>d0f7a97e8d747dde34d19a93</t>
  </si>
  <si>
    <t>Amazon employees hit by fresh job cuts across several teams</t>
  </si>
  <si>
    <t>亞馬遜零售部門新一輪裁員。</t>
  </si>
  <si>
    <t>31e980a9be59ab0a9069346b</t>
  </si>
  <si>
    <t>FICO</t>
  </si>
  <si>
    <t>Fair Isaac Corporation Common Stock</t>
  </si>
  <si>
    <t>FICO announces layoffs, management restructuring</t>
  </si>
  <si>
    <t>HousingWire</t>
  </si>
  <si>
    <r>
      <rPr>
        <sz val="10"/>
        <rFont val="Arial"/>
        <family val="2"/>
      </rPr>
      <t xml:space="preserve">FICO </t>
    </r>
    <r>
      <rPr>
        <sz val="10"/>
        <rFont val="Noto Sans CJK SC"/>
        <family val="2"/>
      </rPr>
      <t>宣布裁員與管理重組。</t>
    </r>
  </si>
  <si>
    <t>c546c836038328f8c9bd2412</t>
  </si>
  <si>
    <t>Amazon confirms job cuts impacting hundreds of employees in retail unit</t>
  </si>
  <si>
    <t>0a44da94d725c599c3494cee</t>
  </si>
  <si>
    <t>Amazon makes fresh job cuts, mainly in retail division</t>
  </si>
  <si>
    <t>10c7c686523aa28cfbe010d3</t>
  </si>
  <si>
    <t>PGA TOUR Studios launches 'Tee Sheet presented by FedEx,' new weekly FedExCup Playoffs preview show</t>
  </si>
  <si>
    <t>6beb18eca6edec9226578611</t>
  </si>
  <si>
    <t>NFLX</t>
  </si>
  <si>
    <t>Netflix, Inc.</t>
  </si>
  <si>
    <t>Netflix Is Sharpening the Layoff Axe</t>
  </si>
  <si>
    <t>Puck</t>
  </si>
  <si>
    <r>
      <rPr>
        <sz val="10"/>
        <rFont val="Arial"/>
        <family val="2"/>
      </rPr>
      <t xml:space="preserve">Netflix </t>
    </r>
    <r>
      <rPr>
        <sz val="10"/>
        <rFont val="Noto Sans CJK SC"/>
        <family val="2"/>
      </rPr>
      <t xml:space="preserve">裁員約 </t>
    </r>
    <r>
      <rPr>
        <sz val="10"/>
        <rFont val="Arial"/>
        <family val="2"/>
      </rPr>
      <t>5–6%</t>
    </r>
    <r>
      <rPr>
        <sz val="10"/>
        <rFont val="Noto Sans CJK SC"/>
        <family val="2"/>
      </rPr>
      <t xml:space="preserve">（約 </t>
    </r>
    <r>
      <rPr>
        <sz val="10"/>
        <rFont val="Arial"/>
        <family val="2"/>
      </rPr>
      <t xml:space="preserve">1,000 </t>
    </r>
    <r>
      <rPr>
        <sz val="10"/>
        <rFont val="Noto Sans CJK SC"/>
        <family val="2"/>
      </rPr>
      <t>人），為四年來最大。</t>
    </r>
  </si>
  <si>
    <t>d1e2fb9f6d8799eaf17d49d8</t>
  </si>
  <si>
    <t>2026-10-11</t>
  </si>
  <si>
    <t>Netflix Plans 5% Workforce Reduction Starting Next Week</t>
  </si>
  <si>
    <t>1844c5c22e0cd74edf9a8083</t>
  </si>
  <si>
    <t>2026-10-13</t>
  </si>
  <si>
    <t>Kroger Plans Largest Layoffs in Its Nearly 150-Year History</t>
  </si>
  <si>
    <r>
      <rPr>
        <sz val="10"/>
        <rFont val="Noto Sans CJK SC"/>
        <family val="2"/>
      </rPr>
      <t xml:space="preserve">克羅格計劃進行近 </t>
    </r>
    <r>
      <rPr>
        <sz val="10"/>
        <rFont val="Arial"/>
        <family val="2"/>
      </rPr>
      <t xml:space="preserve">150 </t>
    </r>
    <r>
      <rPr>
        <sz val="10"/>
        <rFont val="Noto Sans CJK SC"/>
        <family val="2"/>
      </rPr>
      <t>年歷史上最大規模的裁員</t>
    </r>
  </si>
  <si>
    <t>Newsweek</t>
  </si>
  <si>
    <r>
      <rPr>
        <sz val="10"/>
        <rFont val="Arial"/>
        <family val="2"/>
      </rPr>
      <t xml:space="preserve">Kroger </t>
    </r>
    <r>
      <rPr>
        <sz val="10"/>
        <rFont val="Noto Sans CJK SC"/>
        <family val="2"/>
      </rPr>
      <t xml:space="preserve">史上最大裁員／美國運通裁減 </t>
    </r>
    <r>
      <rPr>
        <sz val="10"/>
        <rFont val="Arial"/>
        <family val="2"/>
      </rPr>
      <t xml:space="preserve">3,500 </t>
    </r>
    <r>
      <rPr>
        <sz val="10"/>
        <rFont val="Noto Sans CJK SC"/>
        <family val="2"/>
      </rPr>
      <t>人。</t>
    </r>
  </si>
  <si>
    <t>bb412b6ee73b7d2a079a61a8</t>
  </si>
  <si>
    <t>2026-10-14</t>
  </si>
  <si>
    <t>Netflix Layoffs 2026: Why the Streaming Giant is Cutting 1,000 Staffers</t>
  </si>
  <si>
    <r>
      <rPr>
        <sz val="10"/>
        <rFont val="Arial"/>
        <family val="2"/>
      </rPr>
      <t xml:space="preserve">Netflix 2026 </t>
    </r>
    <r>
      <rPr>
        <sz val="10"/>
        <rFont val="Noto Sans CJK SC"/>
        <family val="2"/>
      </rPr>
      <t xml:space="preserve">年裁員：這家串流媒體巨頭為何要裁員 </t>
    </r>
    <r>
      <rPr>
        <sz val="10"/>
        <rFont val="Arial"/>
        <family val="2"/>
      </rPr>
      <t xml:space="preserve">1,000 </t>
    </r>
    <r>
      <rPr>
        <sz val="10"/>
        <rFont val="Noto Sans CJK SC"/>
        <family val="2"/>
      </rPr>
      <t>名</t>
    </r>
  </si>
  <si>
    <t>70f71ab6930d51eff4026a1f</t>
  </si>
  <si>
    <t>Thousands of jobs will be laid off on the eve of the financial report! Netflix's growth slows, biggest layoffs since 2022</t>
  </si>
  <si>
    <r>
      <rPr>
        <sz val="10"/>
        <rFont val="Noto Sans CJK SC"/>
        <family val="2"/>
      </rPr>
      <t xml:space="preserve">財報前夕將裁員數千人！ </t>
    </r>
    <r>
      <rPr>
        <sz val="10"/>
        <rFont val="Arial"/>
        <family val="2"/>
      </rPr>
      <t>Netflix</t>
    </r>
    <r>
      <rPr>
        <sz val="10"/>
        <rFont val="Noto Sans CJK SC"/>
        <family val="2"/>
      </rPr>
      <t xml:space="preserve">成長放緩 </t>
    </r>
    <r>
      <rPr>
        <sz val="10"/>
        <rFont val="Arial"/>
        <family val="2"/>
      </rPr>
      <t>2022</t>
    </r>
    <r>
      <rPr>
        <sz val="10"/>
        <rFont val="Noto Sans CJK SC"/>
        <family val="2"/>
      </rPr>
      <t>年以來最大規模裁員</t>
    </r>
  </si>
  <si>
    <t>322605fb3bed833e1eddf6e0</t>
  </si>
  <si>
    <t>Netflix will cut 6% of its global workforce, the largest layoffs since 2022</t>
  </si>
  <si>
    <r>
      <rPr>
        <sz val="10"/>
        <rFont val="Arial"/>
        <family val="2"/>
      </rPr>
      <t xml:space="preserve">Netflix </t>
    </r>
    <r>
      <rPr>
        <sz val="10"/>
        <rFont val="Noto Sans CJK SC"/>
        <family val="2"/>
      </rPr>
      <t xml:space="preserve">將在全球裁員 </t>
    </r>
    <r>
      <rPr>
        <sz val="10"/>
        <rFont val="Arial"/>
        <family val="2"/>
      </rPr>
      <t>6%</t>
    </r>
    <r>
      <rPr>
        <sz val="10"/>
        <rFont val="Noto Sans CJK SC"/>
        <family val="2"/>
      </rPr>
      <t xml:space="preserve">，這是 </t>
    </r>
    <r>
      <rPr>
        <sz val="10"/>
        <rFont val="Arial"/>
        <family val="2"/>
      </rPr>
      <t xml:space="preserve">2022 </t>
    </r>
    <r>
      <rPr>
        <sz val="10"/>
        <rFont val="Noto Sans CJK SC"/>
        <family val="2"/>
      </rPr>
      <t>年以來最大規模的裁員</t>
    </r>
  </si>
  <si>
    <t>f5304abb467813975652a0bc</t>
  </si>
  <si>
    <t>Pardon the Disruption: Kroger’s really big layoff plan carries some really big risks</t>
  </si>
  <si>
    <t>原諒幹擾：克羅格的大規模裁員計畫帶來了一些非常大的風險</t>
  </si>
  <si>
    <t>Grocery Dive</t>
  </si>
  <si>
    <r>
      <rPr>
        <sz val="10"/>
        <rFont val="Arial"/>
        <family val="2"/>
      </rPr>
      <t xml:space="preserve">Kroger </t>
    </r>
    <r>
      <rPr>
        <sz val="10"/>
        <rFont val="Noto Sans CJK SC"/>
        <family val="2"/>
      </rPr>
      <t>大規模裁員的風險分析。</t>
    </r>
  </si>
  <si>
    <t>237f4188965073ab93533db8</t>
  </si>
  <si>
    <t>Changes in U.S. stocks | Netflix rose 3.3%, announcing 6% layoffs on the eve of the earnings report</t>
  </si>
  <si>
    <r>
      <rPr>
        <sz val="10"/>
        <rFont val="Noto Sans CJK SC"/>
        <family val="2"/>
      </rPr>
      <t>美股變動</t>
    </r>
    <r>
      <rPr>
        <sz val="10"/>
        <rFont val="Arial"/>
        <family val="2"/>
      </rPr>
      <t>| Netflix</t>
    </r>
    <r>
      <rPr>
        <sz val="10"/>
        <rFont val="Noto Sans CJK SC"/>
        <family val="2"/>
      </rPr>
      <t>漲</t>
    </r>
    <r>
      <rPr>
        <sz val="10"/>
        <rFont val="Arial"/>
        <family val="2"/>
      </rPr>
      <t>3.3%</t>
    </r>
    <r>
      <rPr>
        <sz val="10"/>
        <rFont val="Noto Sans CJK SC"/>
        <family val="2"/>
      </rPr>
      <t>，財報發布前夕宣布裁員</t>
    </r>
    <r>
      <rPr>
        <sz val="10"/>
        <rFont val="Arial"/>
        <family val="2"/>
      </rPr>
      <t>6%</t>
    </r>
  </si>
  <si>
    <t>e3d7b4bcc3b45015acb025b3</t>
  </si>
  <si>
    <t>Netflix film boss in firing line amid streaming giant's layoffs and alleged fall out with Ben Affleck</t>
  </si>
  <si>
    <r>
      <rPr>
        <sz val="10"/>
        <rFont val="Noto Sans CJK SC"/>
        <family val="2"/>
      </rPr>
      <t>串流媒體巨頭裁員並涉嫌與班艾佛列克發生爭執，</t>
    </r>
    <r>
      <rPr>
        <sz val="10"/>
        <rFont val="Arial"/>
        <family val="2"/>
      </rPr>
      <t>Netflix</t>
    </r>
    <r>
      <rPr>
        <sz val="10"/>
        <rFont val="Noto Sans CJK SC"/>
        <family val="2"/>
      </rPr>
      <t>電影老闆陷入困境</t>
    </r>
  </si>
  <si>
    <t>Page Six</t>
  </si>
  <si>
    <r>
      <rPr>
        <sz val="10"/>
        <rFont val="Arial"/>
        <family val="2"/>
      </rPr>
      <t xml:space="preserve">Netflix </t>
    </r>
    <r>
      <rPr>
        <sz val="10"/>
        <rFont val="Noto Sans CJK SC"/>
        <family val="2"/>
      </rPr>
      <t>裁員後高層異動／影視圈裁員彙整。</t>
    </r>
  </si>
  <si>
    <t>6dfd634bd8f5d7ebe0aa76cf</t>
  </si>
  <si>
    <t>Netflix layoffs hit TV executives including 4 directors</t>
  </si>
  <si>
    <r>
      <rPr>
        <sz val="10"/>
        <rFont val="Arial"/>
        <family val="2"/>
      </rPr>
      <t xml:space="preserve">Netflix </t>
    </r>
    <r>
      <rPr>
        <sz val="10"/>
        <rFont val="Noto Sans CJK SC"/>
        <family val="2"/>
      </rPr>
      <t xml:space="preserve">裁員 </t>
    </r>
    <r>
      <rPr>
        <sz val="10"/>
        <rFont val="Arial"/>
        <family val="2"/>
      </rPr>
      <t xml:space="preserve">4 </t>
    </r>
    <r>
      <rPr>
        <sz val="10"/>
        <rFont val="Noto Sans CJK SC"/>
        <family val="2"/>
      </rPr>
      <t>位導演等電視高層</t>
    </r>
  </si>
  <si>
    <t>f2f22e10302cd7526537208f</t>
  </si>
  <si>
    <t>IHSA football playoffs: Here’s where CCL teams stand entering Week 9 of the 2026 season</t>
  </si>
  <si>
    <r>
      <rPr>
        <sz val="10"/>
        <rFont val="Arial"/>
        <family val="2"/>
      </rPr>
      <t xml:space="preserve">IHSA </t>
    </r>
    <r>
      <rPr>
        <sz val="10"/>
        <rFont val="Noto Sans CJK SC"/>
        <family val="2"/>
      </rPr>
      <t xml:space="preserve">橄欖球季後賽：這是 </t>
    </r>
    <r>
      <rPr>
        <sz val="10"/>
        <rFont val="Arial"/>
        <family val="2"/>
      </rPr>
      <t xml:space="preserve">CCL </t>
    </r>
    <r>
      <rPr>
        <sz val="10"/>
        <rFont val="Noto Sans CJK SC"/>
        <family val="2"/>
      </rPr>
      <t xml:space="preserve">球隊進入 </t>
    </r>
    <r>
      <rPr>
        <sz val="10"/>
        <rFont val="Arial"/>
        <family val="2"/>
      </rPr>
      <t xml:space="preserve">2026 </t>
    </r>
    <r>
      <rPr>
        <sz val="10"/>
        <rFont val="Noto Sans CJK SC"/>
        <family val="2"/>
      </rPr>
      <t xml:space="preserve">賽季第 </t>
    </r>
    <r>
      <rPr>
        <sz val="10"/>
        <rFont val="Arial"/>
        <family val="2"/>
      </rPr>
      <t xml:space="preserve">9 </t>
    </r>
    <r>
      <rPr>
        <sz val="10"/>
        <rFont val="Noto Sans CJK SC"/>
        <family val="2"/>
      </rPr>
      <t>週的情況</t>
    </r>
  </si>
  <si>
    <t>Shaw Local</t>
  </si>
  <si>
    <t>afa9a9ef3abcd2f8a7fb528e</t>
  </si>
  <si>
    <t>What Netflix’s Layoffs Mean for Other Companies; Inflation Ripple Effects</t>
  </si>
  <si>
    <r>
      <rPr>
        <sz val="10"/>
        <rFont val="Arial"/>
        <family val="2"/>
      </rPr>
      <t xml:space="preserve">Netflix </t>
    </r>
    <r>
      <rPr>
        <sz val="10"/>
        <rFont val="Noto Sans CJK SC"/>
        <family val="2"/>
      </rPr>
      <t>的裁員對其他公司意味著什麼；通膨波動效應</t>
    </r>
  </si>
  <si>
    <t>563036c0d6a0a52e4e4bed02</t>
  </si>
  <si>
    <t>Netflix issues its biggest layoff in four years</t>
  </si>
  <si>
    <r>
      <rPr>
        <sz val="10"/>
        <rFont val="Arial"/>
        <family val="2"/>
      </rPr>
      <t xml:space="preserve">Netflix </t>
    </r>
    <r>
      <rPr>
        <sz val="10"/>
        <rFont val="Noto Sans CJK SC"/>
        <family val="2"/>
      </rPr>
      <t>宣布四年來最大規模裁員</t>
    </r>
  </si>
  <si>
    <t>Fortune</t>
  </si>
  <si>
    <t>5136628b7acdd5f4679560a3</t>
  </si>
  <si>
    <t>Kroger announces layoffs of corporate workers</t>
  </si>
  <si>
    <t>克羅格宣布裁員企業員工</t>
  </si>
  <si>
    <t>WAVY.com</t>
  </si>
  <si>
    <t>982eb2cffa63453764a1d61d</t>
  </si>
  <si>
    <t>Report: Netflix to lay off about 1,000 workers in largest job cuts to date</t>
  </si>
  <si>
    <r>
      <rPr>
        <sz val="10"/>
        <rFont val="Noto Sans CJK SC"/>
        <family val="2"/>
      </rPr>
      <t>報導：</t>
    </r>
    <r>
      <rPr>
        <sz val="10"/>
        <rFont val="Arial"/>
        <family val="2"/>
      </rPr>
      <t xml:space="preserve">Netflix </t>
    </r>
    <r>
      <rPr>
        <sz val="10"/>
        <rFont val="Noto Sans CJK SC"/>
        <family val="2"/>
      </rPr>
      <t xml:space="preserve">將裁員約 </t>
    </r>
    <r>
      <rPr>
        <sz val="10"/>
        <rFont val="Arial"/>
        <family val="2"/>
      </rPr>
      <t xml:space="preserve">1,000 </t>
    </r>
    <r>
      <rPr>
        <sz val="10"/>
        <rFont val="Noto Sans CJK SC"/>
        <family val="2"/>
      </rPr>
      <t>人，是迄今為止最大規模的裁員</t>
    </r>
  </si>
  <si>
    <t>NBC Los Angeles</t>
  </si>
  <si>
    <t>5ce94d0b7d02cc0164eae7bd</t>
  </si>
  <si>
    <t>Job cuts coming to Kroger over the next 3 years</t>
  </si>
  <si>
    <t>克羅格未來三年將裁員</t>
  </si>
  <si>
    <t>WBKO</t>
  </si>
  <si>
    <t>c9268e8ebaeb76efbfd8e641</t>
  </si>
  <si>
    <t>Netflix Chief Content Officer Bela Bajaria exits amid major layoffs</t>
  </si>
  <si>
    <r>
      <rPr>
        <sz val="10"/>
        <rFont val="Arial"/>
        <family val="2"/>
      </rPr>
      <t xml:space="preserve">Netflix </t>
    </r>
    <r>
      <rPr>
        <sz val="10"/>
        <rFont val="Noto Sans CJK SC"/>
        <family val="2"/>
      </rPr>
      <t>首席內容長貝拉巴賈裡亞因大規模裁員而離職</t>
    </r>
  </si>
  <si>
    <t>Los Angeles Times</t>
  </si>
  <si>
    <t>59388ac8fe0b3e677d98fef7</t>
  </si>
  <si>
    <t>Netflix Shocker: Bela Bajaria Leaving After 10 Years Amid Layoffs</t>
  </si>
  <si>
    <r>
      <rPr>
        <sz val="10"/>
        <rFont val="Arial"/>
        <family val="2"/>
      </rPr>
      <t xml:space="preserve">Netflix </t>
    </r>
    <r>
      <rPr>
        <sz val="10"/>
        <rFont val="Noto Sans CJK SC"/>
        <family val="2"/>
      </rPr>
      <t>震驚：貝拉巴賈裡亞在裁員十年後離開</t>
    </r>
  </si>
  <si>
    <t>Yahoo</t>
  </si>
  <si>
    <t>dab0e807016704dec7cda0ba</t>
  </si>
  <si>
    <t>Netflix Shocker: Bela Bajaria Leaving After 10 Years Amid Layoffs, Peter Rice to Replace as Chief Content Officer</t>
  </si>
  <si>
    <r>
      <rPr>
        <sz val="10"/>
        <rFont val="Arial"/>
        <family val="2"/>
      </rPr>
      <t xml:space="preserve">Netflix </t>
    </r>
    <r>
      <rPr>
        <sz val="10"/>
        <rFont val="Noto Sans CJK SC"/>
        <family val="2"/>
      </rPr>
      <t>震驚：貝拉</t>
    </r>
    <r>
      <rPr>
        <sz val="10"/>
        <rFont val="Arial"/>
        <family val="2"/>
      </rPr>
      <t>·</t>
    </r>
    <r>
      <rPr>
        <sz val="10"/>
        <rFont val="Noto Sans CJK SC"/>
        <family val="2"/>
      </rPr>
      <t xml:space="preserve">巴賈裡亞 </t>
    </r>
    <r>
      <rPr>
        <sz val="10"/>
        <rFont val="Arial"/>
        <family val="2"/>
      </rPr>
      <t xml:space="preserve">(Bela Bajaria) </t>
    </r>
    <r>
      <rPr>
        <sz val="10"/>
        <rFont val="Noto Sans CJK SC"/>
        <family val="2"/>
      </rPr>
      <t xml:space="preserve">在裁員 </t>
    </r>
    <r>
      <rPr>
        <sz val="10"/>
        <rFont val="Arial"/>
        <family val="2"/>
      </rPr>
      <t xml:space="preserve">10 </t>
    </r>
    <r>
      <rPr>
        <sz val="10"/>
        <rFont val="Noto Sans CJK SC"/>
        <family val="2"/>
      </rPr>
      <t>年後離開，彼得</t>
    </r>
    <r>
      <rPr>
        <sz val="10"/>
        <rFont val="Arial"/>
        <family val="2"/>
      </rPr>
      <t>·</t>
    </r>
    <r>
      <rPr>
        <sz val="10"/>
        <rFont val="Noto Sans CJK SC"/>
        <family val="2"/>
      </rPr>
      <t xml:space="preserve">賴斯 </t>
    </r>
    <r>
      <rPr>
        <sz val="10"/>
        <rFont val="Arial"/>
        <family val="2"/>
      </rPr>
      <t xml:space="preserve">(Peter Rice) </t>
    </r>
    <r>
      <rPr>
        <sz val="10"/>
        <rFont val="Noto Sans CJK SC"/>
        <family val="2"/>
      </rPr>
      <t>接替首席內容官</t>
    </r>
  </si>
  <si>
    <t>Variety</t>
  </si>
  <si>
    <t>18db0f7dc27fe0b462d6a5e5</t>
  </si>
  <si>
    <t>Hollywood Layoffs: Netflix, Skydance and UMG Cut Jobs</t>
  </si>
  <si>
    <r>
      <rPr>
        <sz val="10"/>
        <rFont val="Noto Sans CJK SC"/>
        <family val="2"/>
      </rPr>
      <t>好萊塢裁員：</t>
    </r>
    <r>
      <rPr>
        <sz val="10"/>
        <rFont val="Arial"/>
        <family val="2"/>
      </rPr>
      <t>Netflix</t>
    </r>
    <r>
      <rPr>
        <sz val="10"/>
        <rFont val="Noto Sans CJK SC"/>
        <family val="2"/>
      </rPr>
      <t>、</t>
    </r>
    <r>
      <rPr>
        <sz val="10"/>
        <rFont val="Arial"/>
        <family val="2"/>
      </rPr>
      <t xml:space="preserve">Skydance </t>
    </r>
    <r>
      <rPr>
        <sz val="10"/>
        <rFont val="Noto Sans CJK SC"/>
        <family val="2"/>
      </rPr>
      <t xml:space="preserve">和 </t>
    </r>
    <r>
      <rPr>
        <sz val="10"/>
        <rFont val="Arial"/>
        <family val="2"/>
      </rPr>
      <t xml:space="preserve">UMG </t>
    </r>
    <r>
      <rPr>
        <sz val="10"/>
        <rFont val="Noto Sans CJK SC"/>
        <family val="2"/>
      </rPr>
      <t>裁員</t>
    </r>
  </si>
  <si>
    <t>LAmag</t>
  </si>
  <si>
    <t>7dc9a3bf5eab717aa0eb47c1</t>
  </si>
  <si>
    <t>Netflix layoffs: TV executives Lisa Lang McMullen, James Oh among those cut</t>
  </si>
  <si>
    <r>
      <rPr>
        <sz val="10"/>
        <rFont val="Arial"/>
        <family val="2"/>
      </rPr>
      <t xml:space="preserve">Netflix </t>
    </r>
    <r>
      <rPr>
        <sz val="10"/>
        <rFont val="Noto Sans CJK SC"/>
        <family val="2"/>
      </rPr>
      <t xml:space="preserve">裁員：電視高層 </t>
    </r>
    <r>
      <rPr>
        <sz val="10"/>
        <rFont val="Arial"/>
        <family val="2"/>
      </rPr>
      <t>Lisa Lang McMullen</t>
    </r>
    <r>
      <rPr>
        <sz val="10"/>
        <rFont val="Noto Sans CJK SC"/>
        <family val="2"/>
      </rPr>
      <t>、</t>
    </r>
    <r>
      <rPr>
        <sz val="10"/>
        <rFont val="Arial"/>
        <family val="2"/>
      </rPr>
      <t xml:space="preserve">James Oh </t>
    </r>
    <r>
      <rPr>
        <sz val="10"/>
        <rFont val="Noto Sans CJK SC"/>
        <family val="2"/>
      </rPr>
      <t>等被裁</t>
    </r>
  </si>
  <si>
    <t>ec2e30886d6ecc0f3c656b08</t>
  </si>
  <si>
    <t>Netflix Layoffs: Unscripted Casting &amp; Development Execs Impacted</t>
  </si>
  <si>
    <r>
      <rPr>
        <sz val="10"/>
        <rFont val="Arial"/>
        <family val="2"/>
      </rPr>
      <t xml:space="preserve">Netflix </t>
    </r>
    <r>
      <rPr>
        <sz val="10"/>
        <rFont val="Noto Sans CJK SC"/>
        <family val="2"/>
      </rPr>
      <t>裁員：即興選角和開發高層受到影響</t>
    </r>
  </si>
  <si>
    <t>6bb04e409f724f1b349a51b9</t>
  </si>
  <si>
    <t>AXP</t>
  </si>
  <si>
    <t>American Express</t>
  </si>
  <si>
    <t>American Express to cut 3,500 jobs despite 28% profit surge</t>
  </si>
  <si>
    <r>
      <rPr>
        <sz val="10"/>
        <rFont val="Noto Sans CJK SC"/>
        <family val="2"/>
      </rPr>
      <t>美國運通將裁減</t>
    </r>
    <r>
      <rPr>
        <sz val="10"/>
        <rFont val="Arial"/>
        <family val="2"/>
      </rPr>
      <t>3,500</t>
    </r>
    <r>
      <rPr>
        <sz val="10"/>
        <rFont val="Noto Sans CJK SC"/>
        <family val="2"/>
      </rPr>
      <t>名員工，儘管利潤增長</t>
    </r>
    <r>
      <rPr>
        <sz val="10"/>
        <rFont val="Arial"/>
        <family val="2"/>
      </rPr>
      <t>28%</t>
    </r>
    <r>
      <rPr>
        <sz val="10"/>
        <rFont val="Noto Sans CJK SC"/>
        <family val="2"/>
      </rPr>
      <t>。</t>
    </r>
  </si>
  <si>
    <t>cbc1349c3075caec76b0a22e</t>
  </si>
  <si>
    <t>Netflix</t>
  </si>
  <si>
    <t>Netflix lays off 6% of workforce amidst slowing growth</t>
  </si>
  <si>
    <r>
      <rPr>
        <sz val="10"/>
        <rFont val="Arial"/>
        <family val="2"/>
      </rPr>
      <t xml:space="preserve">Netflix </t>
    </r>
    <r>
      <rPr>
        <sz val="10"/>
        <rFont val="Noto Sans CJK SC"/>
        <family val="2"/>
      </rPr>
      <t xml:space="preserve">於近期裁減約 </t>
    </r>
    <r>
      <rPr>
        <sz val="10"/>
        <rFont val="Arial"/>
        <family val="2"/>
      </rPr>
      <t xml:space="preserve">6% </t>
    </r>
    <r>
      <rPr>
        <sz val="10"/>
        <rFont val="Noto Sans CJK SC"/>
        <family val="2"/>
      </rPr>
      <t>的員工，以應對成長放緩的挑戰。</t>
    </r>
  </si>
  <si>
    <t>NPR</t>
  </si>
  <si>
    <t>2ee9fa2bb7a0ea9810677d71</t>
  </si>
  <si>
    <t>2026-10-26</t>
  </si>
  <si>
    <t>Starbucks</t>
  </si>
  <si>
    <t>2 Starbucks stores closing in Sea-Tac Airport; layoffs planned</t>
  </si>
  <si>
    <t>星巴克在西雅圖國際機場關閉兩家門店，並計畫裁員。</t>
  </si>
  <si>
    <t>The Daily Chronicle</t>
  </si>
  <si>
    <t>星巴克關閉海港機場兩家門市並計畫裁員。</t>
  </si>
  <si>
    <t>a930e367199d29865f4ad865</t>
  </si>
  <si>
    <t>Meta崩跌近7% 自由現金流轉負、CDS利差升至歷史新高</t>
  </si>
  <si>
    <r>
      <rPr>
        <sz val="10"/>
        <rFont val="Arial"/>
        <family val="2"/>
      </rPr>
      <t xml:space="preserve">Meta </t>
    </r>
    <r>
      <rPr>
        <sz val="10"/>
        <rFont val="Noto Sans CJK SC"/>
        <family val="2"/>
      </rPr>
      <t>股價下跌近</t>
    </r>
    <r>
      <rPr>
        <sz val="10"/>
        <rFont val="Arial"/>
        <family val="2"/>
      </rPr>
      <t>7%</t>
    </r>
    <r>
      <rPr>
        <sz val="10"/>
        <rFont val="Noto Sans CJK SC"/>
        <family val="2"/>
      </rPr>
      <t>，自由現金流為負，</t>
    </r>
    <r>
      <rPr>
        <sz val="10"/>
        <rFont val="Arial"/>
        <family val="2"/>
      </rPr>
      <t>CDS</t>
    </r>
    <r>
      <rPr>
        <sz val="10"/>
        <rFont val="Noto Sans CJK SC"/>
        <family val="2"/>
      </rPr>
      <t>利差升至歷史新高，顯示市場對其信用風險的擔憂。</t>
    </r>
  </si>
  <si>
    <t>待人工覆核</t>
  </si>
  <si>
    <r>
      <rPr>
        <sz val="10"/>
        <rFont val="Arial"/>
        <family val="2"/>
      </rPr>
      <t xml:space="preserve">Meta CDS </t>
    </r>
    <r>
      <rPr>
        <sz val="10"/>
        <rFont val="Noto Sans CJK SC"/>
        <family val="2"/>
      </rPr>
      <t>利差創歷史新高、自由現金流轉負。</t>
    </r>
  </si>
  <si>
    <t>91e14d63c05e778a81601215</t>
  </si>
  <si>
    <t>CoreWeave Debt Tumbles Anew as Korean Neocloud IPO Tanks</t>
  </si>
  <si>
    <r>
      <rPr>
        <sz val="10"/>
        <rFont val="Noto Sans CJK SC"/>
        <family val="2"/>
      </rPr>
      <t xml:space="preserve">核心雲端公司核心債務再次下跌，市場對其信用風險的擔憂升高，導致 </t>
    </r>
    <r>
      <rPr>
        <sz val="10"/>
        <rFont val="Arial"/>
        <family val="2"/>
      </rPr>
      <t xml:space="preserve">CDS </t>
    </r>
    <r>
      <rPr>
        <sz val="10"/>
        <rFont val="Noto Sans CJK SC"/>
        <family val="2"/>
      </rPr>
      <t>利差擴大。</t>
    </r>
  </si>
  <si>
    <t>Morningstar</t>
  </si>
  <si>
    <r>
      <rPr>
        <sz val="10"/>
        <rFont val="Arial"/>
        <family val="2"/>
      </rPr>
      <t xml:space="preserve">CoreWeave </t>
    </r>
    <r>
      <rPr>
        <sz val="10"/>
        <rFont val="Noto Sans CJK SC"/>
        <family val="2"/>
      </rPr>
      <t>債券再度下跌，</t>
    </r>
    <r>
      <rPr>
        <sz val="10"/>
        <rFont val="Arial"/>
        <family val="2"/>
      </rPr>
      <t xml:space="preserve">CDS </t>
    </r>
    <r>
      <rPr>
        <sz val="10"/>
        <rFont val="Noto Sans CJK SC"/>
        <family val="2"/>
      </rPr>
      <t>利差擴大。</t>
    </r>
  </si>
  <si>
    <t>56e3310a1d4c57180d0b0386</t>
  </si>
  <si>
    <t>CoreWeave債務警訊升高 法人：AI產業長線成長仍受看好</t>
  </si>
  <si>
    <r>
      <rPr>
        <sz val="10"/>
        <rFont val="Noto Sans CJK SC"/>
        <family val="2"/>
      </rPr>
      <t>核心雲端公司</t>
    </r>
    <r>
      <rPr>
        <sz val="10"/>
        <rFont val="Arial"/>
        <family val="2"/>
      </rPr>
      <t>CoreWeave</t>
    </r>
    <r>
      <rPr>
        <sz val="10"/>
        <rFont val="Noto Sans CJK SC"/>
        <family val="2"/>
      </rPr>
      <t>的債務警訊升高，市場對其信用風險有所擔憂，但並未確認實際違約或其他重大財務事件。</t>
    </r>
  </si>
  <si>
    <t>自由時報</t>
  </si>
  <si>
    <r>
      <rPr>
        <sz val="10"/>
        <rFont val="Arial"/>
        <family val="2"/>
      </rPr>
      <t xml:space="preserve">CoreWeave </t>
    </r>
    <r>
      <rPr>
        <sz val="10"/>
        <rFont val="Noto Sans CJK SC"/>
        <family val="2"/>
      </rPr>
      <t>債務警訊升高，未確認違約。</t>
    </r>
  </si>
  <si>
    <t>4ef88c520801da51c533bfef</t>
  </si>
  <si>
    <t>Nvidia</t>
  </si>
  <si>
    <t>【即時新聞】輝達(NVDA)示警資本稀缺！AI擴張依賴巨額發債，恐引發美股信用風險</t>
  </si>
  <si>
    <r>
      <rPr>
        <sz val="10"/>
        <rFont val="Noto Sans CJK SC"/>
        <family val="2"/>
      </rPr>
      <t>輝達警告資本稀缺，</t>
    </r>
    <r>
      <rPr>
        <sz val="10"/>
        <rFont val="Arial"/>
        <family val="2"/>
      </rPr>
      <t>AI</t>
    </r>
    <r>
      <rPr>
        <sz val="10"/>
        <rFont val="Noto Sans CJK SC"/>
        <family val="2"/>
      </rPr>
      <t>擴張將依賴巨額發債，可能提升市場對其信用風險的擔憂。</t>
    </r>
  </si>
  <si>
    <r>
      <rPr>
        <sz val="10"/>
        <rFont val="Arial"/>
        <family val="2"/>
      </rPr>
      <t>CMoney</t>
    </r>
    <r>
      <rPr>
        <sz val="10"/>
        <rFont val="Noto Sans CJK SC"/>
        <family val="2"/>
      </rPr>
      <t>投資網誌</t>
    </r>
  </si>
  <si>
    <t>8a3bdbb5d037713a9d310769</t>
  </si>
  <si>
    <t>AI愈砸錢債市愈不安！Meta信用風險指標創新高</t>
  </si>
  <si>
    <r>
      <rPr>
        <sz val="10"/>
        <rFont val="Arial"/>
        <family val="2"/>
      </rPr>
      <t xml:space="preserve">Meta </t>
    </r>
    <r>
      <rPr>
        <sz val="10"/>
        <rFont val="Noto Sans CJK SC"/>
        <family val="2"/>
      </rPr>
      <t xml:space="preserve">的信用風險指標顯示 </t>
    </r>
    <r>
      <rPr>
        <sz val="10"/>
        <rFont val="Arial"/>
        <family val="2"/>
      </rPr>
      <t xml:space="preserve">CDS </t>
    </r>
    <r>
      <rPr>
        <sz val="10"/>
        <rFont val="Noto Sans CJK SC"/>
        <family val="2"/>
      </rPr>
      <t>利差擴大，市場對其債務風險擔憂升高，但並未確認任何違約或其他財務事件。</t>
    </r>
  </si>
  <si>
    <t>6870934247fda3c516cd2cf2</t>
  </si>
  <si>
    <t>Consolidated Edison</t>
  </si>
  <si>
    <t>Ransomware Attacks on K-12 Trend Down, Higher Ed Trend Up in 2026</t>
  </si>
  <si>
    <r>
      <rPr>
        <sz val="10"/>
        <rFont val="Arial"/>
        <family val="2"/>
      </rPr>
      <t xml:space="preserve">2026 </t>
    </r>
    <r>
      <rPr>
        <sz val="10"/>
        <rFont val="Noto Sans CJK SC"/>
        <family val="2"/>
      </rPr>
      <t xml:space="preserve">年 </t>
    </r>
    <r>
      <rPr>
        <sz val="10"/>
        <rFont val="Arial"/>
        <family val="2"/>
      </rPr>
      <t xml:space="preserve">K-12 </t>
    </r>
    <r>
      <rPr>
        <sz val="10"/>
        <rFont val="Noto Sans CJK SC"/>
        <family val="2"/>
      </rPr>
      <t>勒索軟體攻擊趨勢下降，高等教育趨勢上升</t>
    </r>
  </si>
  <si>
    <t>GovTech</t>
  </si>
  <si>
    <t>e473e56ecc3c66a21dd4c589</t>
  </si>
  <si>
    <t>通用汽車設立45億美元融資安排以確保關鍵零部件供應</t>
  </si>
  <si>
    <r>
      <rPr>
        <sz val="10"/>
        <rFont val="Noto Sans CJK SC"/>
        <family val="2"/>
      </rPr>
      <t>通用汽車設立</t>
    </r>
    <r>
      <rPr>
        <sz val="10"/>
        <rFont val="Arial"/>
        <family val="2"/>
      </rPr>
      <t>45</t>
    </r>
    <r>
      <rPr>
        <sz val="10"/>
        <rFont val="Noto Sans CJK SC"/>
        <family val="2"/>
      </rPr>
      <t>億美元融資安排以確保關鍵零部件供應</t>
    </r>
  </si>
  <si>
    <t>c82f0da5c18fcafecbaeac0e</t>
  </si>
  <si>
    <t>GE Aerospace</t>
  </si>
  <si>
    <t>黑客組織聲稱從近50家公司竊取海量數據，涉及殼牌、飛利浦、通用電氣等</t>
  </si>
  <si>
    <r>
      <rPr>
        <sz val="10"/>
        <rFont val="Noto Sans CJK SC"/>
        <family val="2"/>
      </rPr>
      <t>黑客組織聲稱從近</t>
    </r>
    <r>
      <rPr>
        <sz val="10"/>
        <rFont val="Arial"/>
        <family val="2"/>
      </rPr>
      <t>50</t>
    </r>
    <r>
      <rPr>
        <sz val="10"/>
        <rFont val="Noto Sans CJK SC"/>
        <family val="2"/>
      </rPr>
      <t>家公司竊取海量數據，涉及殼牌、飛利浦、通用電氣等</t>
    </r>
  </si>
  <si>
    <r>
      <rPr>
        <sz val="10"/>
        <rFont val="Noto Sans CJK SC"/>
        <family val="2"/>
      </rPr>
      <t xml:space="preserve">駭客組織聲稱竊取近 </t>
    </r>
    <r>
      <rPr>
        <sz val="10"/>
        <rFont val="Arial"/>
        <family val="2"/>
      </rPr>
      <t xml:space="preserve">50 </t>
    </r>
    <r>
      <rPr>
        <sz val="10"/>
        <rFont val="Noto Sans CJK SC"/>
        <family val="2"/>
      </rPr>
      <t xml:space="preserve">家公司資料（含 </t>
    </r>
    <r>
      <rPr>
        <sz val="10"/>
        <rFont val="Arial"/>
        <family val="2"/>
      </rPr>
      <t>GE</t>
    </r>
    <r>
      <rPr>
        <sz val="10"/>
        <rFont val="Noto Sans CJK SC"/>
        <family val="2"/>
      </rPr>
      <t>），屬對方宣稱。</t>
    </r>
  </si>
  <si>
    <t>GE</t>
  </si>
  <si>
    <t>db5876ca2186a4eb195a9c48</t>
  </si>
  <si>
    <t>2026-10-04</t>
  </si>
  <si>
    <t>Take-Two Interactive</t>
  </si>
  <si>
    <t>據消息人士稱，涉嫌參與FBI數據竊取案的“ShinyHunters”黑客已在約旦被拘留，目前正配合FBI調查</t>
  </si>
  <si>
    <t>a43b20adbafb6ba282fa7ece</t>
  </si>
  <si>
    <t>Citigroup</t>
  </si>
  <si>
    <t>James C. Standring, DDS Data Breach Lawsuit Investigation</t>
  </si>
  <si>
    <r>
      <rPr>
        <sz val="10"/>
        <rFont val="Arial"/>
        <family val="2"/>
      </rPr>
      <t>James C. Standring</t>
    </r>
    <r>
      <rPr>
        <sz val="10"/>
        <rFont val="Noto Sans CJK SC"/>
        <family val="2"/>
      </rPr>
      <t>，</t>
    </r>
    <r>
      <rPr>
        <sz val="10"/>
        <rFont val="Arial"/>
        <family val="2"/>
      </rPr>
      <t xml:space="preserve">DDS </t>
    </r>
    <r>
      <rPr>
        <sz val="10"/>
        <rFont val="Noto Sans CJK SC"/>
        <family val="2"/>
      </rPr>
      <t>資料外洩訴訟調查</t>
    </r>
  </si>
  <si>
    <t>claimdepot.com</t>
  </si>
  <si>
    <t>f934a909bb521c83dba5abef</t>
  </si>
  <si>
    <t>Northern Light Health</t>
  </si>
  <si>
    <t>Northern Light Health lab manager suffers data breach</t>
  </si>
  <si>
    <t>北方光健康實驗室經理遭遇資料外洩事件，未涉及債務違約或其他財務風險。</t>
  </si>
  <si>
    <t>WABI</t>
  </si>
  <si>
    <r>
      <rPr>
        <sz val="10"/>
        <rFont val="Arial"/>
        <family val="2"/>
      </rPr>
      <t xml:space="preserve">Northern Light Health </t>
    </r>
    <r>
      <rPr>
        <sz val="10"/>
        <rFont val="Noto Sans CJK SC"/>
        <family val="2"/>
      </rPr>
      <t>實驗室經理資料外洩（小型事件）。</t>
    </r>
  </si>
  <si>
    <t>6ea189f4956cdee4338fa827</t>
  </si>
  <si>
    <t>IBM’s stock falls as investors struggle to shake off July earnings miss</t>
  </si>
  <si>
    <r>
      <rPr>
        <sz val="10"/>
        <rFont val="Arial"/>
        <family val="2"/>
      </rPr>
      <t xml:space="preserve">IBM </t>
    </r>
    <r>
      <rPr>
        <sz val="10"/>
        <rFont val="Noto Sans CJK SC"/>
        <family val="2"/>
      </rPr>
      <t>受七月營收不及預期影響，股價下跌，市場對其財務表現表現出擔憂。</t>
    </r>
  </si>
  <si>
    <r>
      <rPr>
        <sz val="10"/>
        <rFont val="Arial"/>
        <family val="2"/>
      </rPr>
      <t xml:space="preserve">IBM </t>
    </r>
    <r>
      <rPr>
        <sz val="10"/>
        <rFont val="Noto Sans CJK SC"/>
        <family val="2"/>
      </rPr>
      <t>股價因七月財報不如預期持續受壓。</t>
    </r>
  </si>
  <si>
    <t>15814b5497b98f167c845463</t>
  </si>
  <si>
    <t>KARO</t>
  </si>
  <si>
    <t>Karooooo Ltd.</t>
  </si>
  <si>
    <t>Karooooo stock: Karooooo reports record profit. Earnings miss hit Karooooo stock</t>
  </si>
  <si>
    <r>
      <rPr>
        <sz val="10"/>
        <rFont val="Arial"/>
        <family val="2"/>
      </rPr>
      <t xml:space="preserve">Karooooo </t>
    </r>
    <r>
      <rPr>
        <sz val="10"/>
        <rFont val="Noto Sans CJK SC"/>
        <family val="2"/>
      </rPr>
      <t>公布創紀錄利潤，但財報未達預期，股價受到影響。</t>
    </r>
  </si>
  <si>
    <t>487334bb7db75f63eb0d443e</t>
  </si>
  <si>
    <t>Sands Boosts Dividend 20%, But Stock Slumps Following Q3 Earnings Miss</t>
  </si>
  <si>
    <r>
      <rPr>
        <sz val="10"/>
        <rFont val="Arial"/>
        <family val="2"/>
      </rPr>
      <t xml:space="preserve">Sands </t>
    </r>
    <r>
      <rPr>
        <sz val="10"/>
        <rFont val="Noto Sans CJK SC"/>
        <family val="2"/>
      </rPr>
      <t>於第三季財報不及預期，股價大幅下跌，儘管公司提升股利</t>
    </r>
    <r>
      <rPr>
        <sz val="10"/>
        <rFont val="Arial"/>
        <family val="2"/>
      </rPr>
      <t>20%</t>
    </r>
    <r>
      <rPr>
        <sz val="10"/>
        <rFont val="Noto Sans CJK SC"/>
        <family val="2"/>
      </rPr>
      <t>。</t>
    </r>
  </si>
  <si>
    <t>Casino.org</t>
  </si>
  <si>
    <r>
      <rPr>
        <sz val="10"/>
        <rFont val="Noto Sans CJK SC"/>
        <family val="2"/>
      </rPr>
      <t>財報不如預期（</t>
    </r>
    <r>
      <rPr>
        <sz val="10"/>
        <rFont val="Arial"/>
        <family val="2"/>
      </rPr>
      <t>Sands</t>
    </r>
    <r>
      <rPr>
        <sz val="10"/>
        <rFont val="Noto Sans CJK SC"/>
        <family val="2"/>
      </rPr>
      <t>／</t>
    </r>
    <r>
      <rPr>
        <sz val="10"/>
        <rFont val="Arial"/>
        <family val="2"/>
      </rPr>
      <t>PulteGroup</t>
    </r>
    <r>
      <rPr>
        <sz val="10"/>
        <rFont val="Noto Sans CJK SC"/>
        <family val="2"/>
      </rPr>
      <t>）。</t>
    </r>
  </si>
  <si>
    <t>8eae7e4665ab2021aaaa3c50</t>
  </si>
  <si>
    <t>PulteGroup</t>
  </si>
  <si>
    <t>PulteGroup Q3 earnings fall as housing demand weakens</t>
  </si>
  <si>
    <t>普爾特集團第三季財報因住房需求疲軟而下滑，顯示營收未達市場預期。</t>
  </si>
  <si>
    <t>finchannel</t>
  </si>
  <si>
    <t>f01cc021857ab925dfd61905</t>
  </si>
  <si>
    <t>Kenyan Company</t>
  </si>
  <si>
    <t>Kenyan Company Issues Fifth Profit Warning In Five Years</t>
  </si>
  <si>
    <t>肯尼亞公司在五年內第五次發布利潤警告，顯示其財務表現不佳。</t>
  </si>
  <si>
    <t>The Kenya Times</t>
  </si>
  <si>
    <t>ae9ecbb34a3046b47d87afd5</t>
  </si>
  <si>
    <t>GPC</t>
  </si>
  <si>
    <t>Genuine Parts Company</t>
  </si>
  <si>
    <t>Genuine Parts (GPC) Cuts Guidance As Investors Ask If The Reset Is Priced In</t>
  </si>
  <si>
    <r>
      <rPr>
        <sz val="10"/>
        <rFont val="Arial"/>
        <family val="2"/>
      </rPr>
      <t>Genuine Parts Company</t>
    </r>
    <r>
      <rPr>
        <sz val="10"/>
        <rFont val="Noto Sans CJK SC"/>
        <family val="2"/>
      </rPr>
      <t>（</t>
    </r>
    <r>
      <rPr>
        <sz val="10"/>
        <rFont val="Arial"/>
        <family val="2"/>
      </rPr>
      <t>GPC</t>
    </r>
    <r>
      <rPr>
        <sz val="10"/>
        <rFont val="Noto Sans CJK SC"/>
        <family val="2"/>
      </rPr>
      <t>）宣布下調財務預測，表明未來營收與利潤預期低於市場預期。</t>
    </r>
  </si>
  <si>
    <r>
      <rPr>
        <sz val="10"/>
        <rFont val="Arial"/>
        <family val="2"/>
      </rPr>
      <t xml:space="preserve">Genuine Parts </t>
    </r>
    <r>
      <rPr>
        <sz val="10"/>
        <rFont val="Noto Sans CJK SC"/>
        <family val="2"/>
      </rPr>
      <t>下調財測。</t>
    </r>
  </si>
  <si>
    <t>ed1411cab2cdb57fcd59d781</t>
  </si>
  <si>
    <t>美股盤前要點｜馬斯克、黃仁勛獲頒國家科學獎，蘋果被曝砍單iPhone 18 Pro系列</t>
  </si>
  <si>
    <t>MAJOR_CUSTOMER_LOSS</t>
  </si>
  <si>
    <t>重大客戶流失</t>
  </si>
  <si>
    <t>3671c2ebe9ded299a83099f5</t>
  </si>
  <si>
    <t>阿波羅旗下的Brightspeed營收下滑，持續經營能力存疑——彭博社</t>
  </si>
  <si>
    <r>
      <rPr>
        <sz val="10"/>
        <rFont val="Arial"/>
        <family val="2"/>
      </rPr>
      <t xml:space="preserve">Apollo </t>
    </r>
    <r>
      <rPr>
        <sz val="10"/>
        <rFont val="Noto Sans CJK SC"/>
        <family val="2"/>
      </rPr>
      <t xml:space="preserve">旗下 </t>
    </r>
    <r>
      <rPr>
        <sz val="10"/>
        <rFont val="Arial"/>
        <family val="2"/>
      </rPr>
      <t xml:space="preserve">Brightspeed </t>
    </r>
    <r>
      <rPr>
        <sz val="10"/>
        <rFont val="Noto Sans CJK SC"/>
        <family val="2"/>
      </rPr>
      <t>營收下滑，持續經營能力存疑。</t>
    </r>
  </si>
  <si>
    <t>1132d3c62017c03ff982a7c7</t>
  </si>
  <si>
    <t>Constellation Brands</t>
  </si>
  <si>
    <t>Modelo owner Constellation is getting creative to bring back beer drinkers as overall demand weakens</t>
  </si>
  <si>
    <t>CNBC</t>
  </si>
  <si>
    <r>
      <rPr>
        <sz val="10"/>
        <rFont val="Arial"/>
        <family val="2"/>
      </rPr>
      <t xml:space="preserve">Constellation Brands </t>
    </r>
    <r>
      <rPr>
        <sz val="10"/>
        <rFont val="Noto Sans CJK SC"/>
        <family val="2"/>
      </rPr>
      <t>啤酒需求疲弱。</t>
    </r>
  </si>
  <si>
    <t>STZ</t>
  </si>
  <si>
    <t>1f8743088a62046a79eb1e82</t>
  </si>
  <si>
    <t>Bristol Myers Squibb</t>
  </si>
  <si>
    <t>泰合抗血栓新藥遭 BMS 提專利訴訟 美國上市前關鍵挑戰</t>
  </si>
  <si>
    <r>
      <rPr>
        <sz val="10"/>
        <rFont val="Noto Sans CJK SC"/>
        <family val="2"/>
      </rPr>
      <t xml:space="preserve">泰合抗血栓新藥遭 </t>
    </r>
    <r>
      <rPr>
        <sz val="10"/>
        <rFont val="Arial"/>
        <family val="2"/>
      </rPr>
      <t xml:space="preserve">BMS </t>
    </r>
    <r>
      <rPr>
        <sz val="10"/>
        <rFont val="Noto Sans CJK SC"/>
        <family val="2"/>
      </rPr>
      <t>提專利訴訟 美國上市前關鍵挑戰</t>
    </r>
  </si>
  <si>
    <t>經濟日報</t>
  </si>
  <si>
    <r>
      <rPr>
        <sz val="10"/>
        <rFont val="Arial"/>
        <family val="2"/>
      </rPr>
      <t xml:space="preserve">BMS </t>
    </r>
    <r>
      <rPr>
        <sz val="10"/>
        <rFont val="Noto Sans CJK SC"/>
        <family val="2"/>
      </rPr>
      <t>對泰合抗血栓新藥提起專利訴訟。</t>
    </r>
  </si>
  <si>
    <t>BMY</t>
  </si>
  <si>
    <t>005ccb3a7787e9b3a4b161bf</t>
  </si>
  <si>
    <t>Bio-Techne</t>
  </si>
  <si>
    <t>Georgia Tech Engineer Rethinks Supply Chains for Community Resilience</t>
  </si>
  <si>
    <t>佐治亞理工學院工程師重新思考供應鏈以提高社區復原力</t>
  </si>
  <si>
    <t>Georgia Tech News Center</t>
  </si>
  <si>
    <t>75404d0cf8f391fd16af6f39</t>
  </si>
  <si>
    <t>Alphabet Inc. (Class C)</t>
  </si>
  <si>
    <t>Supply chain investigation: Google TPU v9 progress slightly delayed</t>
  </si>
  <si>
    <r>
      <rPr>
        <sz val="10"/>
        <rFont val="Noto Sans CJK SC"/>
        <family val="2"/>
      </rPr>
      <t>供應鏈調查：</t>
    </r>
    <r>
      <rPr>
        <sz val="10"/>
        <rFont val="Arial"/>
        <family val="2"/>
      </rPr>
      <t>GoogleTPU v9</t>
    </r>
    <r>
      <rPr>
        <sz val="10"/>
        <rFont val="Noto Sans CJK SC"/>
        <family val="2"/>
      </rPr>
      <t>進度略有延遲</t>
    </r>
  </si>
  <si>
    <t>PRODUCTION_DELAY</t>
  </si>
  <si>
    <r>
      <rPr>
        <sz val="10"/>
        <rFont val="Arial"/>
        <family val="2"/>
      </rPr>
      <t xml:space="preserve">Google TPU v9 </t>
    </r>
    <r>
      <rPr>
        <sz val="10"/>
        <rFont val="Noto Sans CJK SC"/>
        <family val="2"/>
      </rPr>
      <t>進度小幅延遲。</t>
    </r>
  </si>
  <si>
    <t>GOOG</t>
  </si>
  <si>
    <t>7add0e02523958ef084b4862</t>
  </si>
  <si>
    <t>Alphabet Inc. (Class A)</t>
  </si>
  <si>
    <t>GOOGL</t>
  </si>
  <si>
    <t>d197551ffc6a3c0bc458fccf</t>
  </si>
  <si>
    <t>EchoStar</t>
  </si>
  <si>
    <t>Deal wins playoff over Bair for Echo Hills Club Championship title</t>
  </si>
  <si>
    <t>迪爾在延長賽中擊敗貝爾，奪得迴聲山俱樂部錦標賽冠軍</t>
  </si>
  <si>
    <t>Miami Valley Today</t>
  </si>
  <si>
    <t>c2bdafc09c6b8f06461d7001</t>
  </si>
  <si>
    <t>Kimco Realty</t>
  </si>
  <si>
    <t>'Regrettable,' Kim Joo-hyung finishes tied for 5th at PGA Wyndham Championship... Secures spot in FedExCup Playoffs</t>
  </si>
  <si>
    <r>
      <rPr>
        <sz val="10"/>
        <rFont val="Noto Sans CJK SC"/>
        <family val="2"/>
      </rPr>
      <t>金柱亨在</t>
    </r>
    <r>
      <rPr>
        <sz val="10"/>
        <rFont val="Arial"/>
        <family val="2"/>
      </rPr>
      <t>PGA</t>
    </r>
    <r>
      <rPr>
        <sz val="10"/>
        <rFont val="Noto Sans CJK SC"/>
        <family val="2"/>
      </rPr>
      <t>溫德姆錦標賽上獲得並列第五名，「遺憾」…確保聯邦快遞杯季後賽席位</t>
    </r>
  </si>
  <si>
    <t>starnewskorea.com</t>
  </si>
  <si>
    <t>4db8099584f6aa58d9148a75</t>
  </si>
  <si>
    <t>ConocoPhillips CFO to Ascend to Top Role; Fast-Food Burger Battle; Plus, New Layoff Data</t>
  </si>
  <si>
    <t>康菲石油公司財務長將晉升至最高職位；速食漢堡大戰；另外，新的裁員數據</t>
  </si>
  <si>
    <t>29a47ebec9ea0053467ebf8a</t>
  </si>
  <si>
    <t>Kim Joo-hyung Ties for 5th at Wyndham, Boosts Playoff Finale Hopes</t>
  </si>
  <si>
    <t>金柱亨在溫德姆並列第五，增加了季後賽決賽的希望</t>
  </si>
  <si>
    <t>Seoul Economic Daily</t>
  </si>
  <si>
    <t>fa0d081771047f0409707ab6</t>
  </si>
  <si>
    <t>FedEx</t>
  </si>
  <si>
    <t>FedExCup Playoffs bubble watch: Scottie Scheffler leads field while Jordan Spieth, Max Homa need big week in Memphis</t>
  </si>
  <si>
    <r>
      <rPr>
        <sz val="10"/>
        <rFont val="Noto Sans CJK SC"/>
        <family val="2"/>
      </rPr>
      <t>聯邦快遞杯季後賽泡沫觀察：斯科蒂</t>
    </r>
    <r>
      <rPr>
        <sz val="10"/>
        <rFont val="Arial"/>
        <family val="2"/>
      </rPr>
      <t>·</t>
    </r>
    <r>
      <rPr>
        <sz val="10"/>
        <rFont val="Noto Sans CJK SC"/>
        <family val="2"/>
      </rPr>
      <t>舍夫勒領先，而喬丹</t>
    </r>
    <r>
      <rPr>
        <sz val="10"/>
        <rFont val="Arial"/>
        <family val="2"/>
      </rPr>
      <t>·</t>
    </r>
    <r>
      <rPr>
        <sz val="10"/>
        <rFont val="Noto Sans CJK SC"/>
        <family val="2"/>
      </rPr>
      <t>斯皮思、馬克斯</t>
    </r>
    <r>
      <rPr>
        <sz val="10"/>
        <rFont val="Arial"/>
        <family val="2"/>
      </rPr>
      <t>·</t>
    </r>
    <r>
      <rPr>
        <sz val="10"/>
        <rFont val="Noto Sans CJK SC"/>
        <family val="2"/>
      </rPr>
      <t>霍馬需要在孟菲斯度過重要的一周</t>
    </r>
  </si>
  <si>
    <t>df7ed14662406d8542b33c08</t>
  </si>
  <si>
    <t>Tech layoffs hit Seattle housing market as pending sales post sharpest drop in the nation</t>
  </si>
  <si>
    <t>科技公司裁員打擊西雅圖房地產市場，待售房屋銷售創全國最大跌幅</t>
  </si>
  <si>
    <t>c1d3caa3f2896ead70f880fc</t>
  </si>
  <si>
    <t>裁員三分之一！谷歌投降了？</t>
  </si>
  <si>
    <t>「谷歌裁員三分之一」僅標題，需看原文。</t>
  </si>
  <si>
    <t>67e7c6d8bd86372fa75792c9</t>
  </si>
  <si>
    <t>0192cc59b048f058a2a017a0</t>
  </si>
  <si>
    <t>Brown &amp; Brown</t>
  </si>
  <si>
    <t>SANTOS FC Vs CSD MACARA LIVE Watchalong | Copa Sudamericana 2026 | UH Bro Sorteggio Playoff Serie C (hzm5f9zfLk)</t>
  </si>
  <si>
    <r>
      <rPr>
        <sz val="10"/>
        <rFont val="Arial"/>
        <family val="2"/>
      </rPr>
      <t xml:space="preserve">SANTOS FC </t>
    </r>
    <r>
      <rPr>
        <sz val="10"/>
        <rFont val="Noto Sans CJK SC"/>
        <family val="2"/>
      </rPr>
      <t xml:space="preserve">對 </t>
    </r>
    <r>
      <rPr>
        <sz val="10"/>
        <rFont val="Arial"/>
        <family val="2"/>
      </rPr>
      <t xml:space="preserve">CSD MACARA </t>
    </r>
    <r>
      <rPr>
        <sz val="10"/>
        <rFont val="Noto Sans CJK SC"/>
        <family val="2"/>
      </rPr>
      <t xml:space="preserve">直播觀看 </t>
    </r>
    <r>
      <rPr>
        <sz val="10"/>
        <rFont val="Arial"/>
        <family val="2"/>
      </rPr>
      <t xml:space="preserve">| 2026 </t>
    </r>
    <r>
      <rPr>
        <sz val="10"/>
        <rFont val="Noto Sans CJK SC"/>
        <family val="2"/>
      </rPr>
      <t xml:space="preserve">年南美杯 </t>
    </r>
    <r>
      <rPr>
        <sz val="10"/>
        <rFont val="Arial"/>
        <family val="2"/>
      </rPr>
      <t>|</t>
    </r>
    <r>
      <rPr>
        <sz val="10"/>
        <rFont val="Noto Sans CJK SC"/>
        <family val="2"/>
      </rPr>
      <t xml:space="preserve">呃 </t>
    </r>
    <r>
      <rPr>
        <sz val="10"/>
        <rFont val="Arial"/>
        <family val="2"/>
      </rPr>
      <t xml:space="preserve">Bro Sorteggio </t>
    </r>
    <r>
      <rPr>
        <sz val="10"/>
        <rFont val="Noto Sans CJK SC"/>
        <family val="2"/>
      </rPr>
      <t xml:space="preserve">季後賽意丙 </t>
    </r>
    <r>
      <rPr>
        <sz val="10"/>
        <rFont val="Arial"/>
        <family val="2"/>
      </rPr>
      <t>(hzm5f9zfLk)</t>
    </r>
  </si>
  <si>
    <t>6ee96ffb0e538de9b81fb7b7</t>
  </si>
  <si>
    <t>Kim Si-woo Runner-Up as All Three Koreans Advance in PGA Playoffs</t>
  </si>
  <si>
    <r>
      <rPr>
        <sz val="10"/>
        <rFont val="Noto Sans CJK SC"/>
        <family val="2"/>
      </rPr>
      <t xml:space="preserve">金時宇獲得亞軍，三位韓國選手全數晉級 </t>
    </r>
    <r>
      <rPr>
        <sz val="10"/>
        <rFont val="Arial"/>
        <family val="2"/>
      </rPr>
      <t xml:space="preserve">PGA </t>
    </r>
    <r>
      <rPr>
        <sz val="10"/>
        <rFont val="Noto Sans CJK SC"/>
        <family val="2"/>
      </rPr>
      <t>季後賽</t>
    </r>
  </si>
  <si>
    <t>en.sedaily.com</t>
  </si>
  <si>
    <t>91faf75282d9e34a79ce15d3</t>
  </si>
  <si>
    <t>Who was eliminated from golf's FedExCup Playoffs? Jordan Spieth leads list</t>
  </si>
  <si>
    <r>
      <rPr>
        <sz val="10"/>
        <rFont val="Noto Sans CJK SC"/>
        <family val="2"/>
      </rPr>
      <t>誰在高爾夫聯邦快遞杯季後賽中被淘汰？喬丹</t>
    </r>
    <r>
      <rPr>
        <sz val="10"/>
        <rFont val="Arial"/>
        <family val="2"/>
      </rPr>
      <t>·</t>
    </r>
    <r>
      <rPr>
        <sz val="10"/>
        <rFont val="Noto Sans CJK SC"/>
        <family val="2"/>
      </rPr>
      <t>斯皮思領先榜單</t>
    </r>
  </si>
  <si>
    <t>b2b67d11a2ddcf1beead632c</t>
  </si>
  <si>
    <t>Kim Si-woo Finishes Runner-Up at PGA Tour Playoff Opener, Advances to Round 2 with Im Sung-jae and Kim Joo-hyung</t>
  </si>
  <si>
    <r>
      <rPr>
        <sz val="10"/>
        <rFont val="Noto Sans CJK SC"/>
        <family val="2"/>
      </rPr>
      <t>金時宇在</t>
    </r>
    <r>
      <rPr>
        <sz val="10"/>
        <rFont val="Arial"/>
        <family val="2"/>
      </rPr>
      <t>PGA</t>
    </r>
    <r>
      <rPr>
        <sz val="10"/>
        <rFont val="Noto Sans CJK SC"/>
        <family val="2"/>
      </rPr>
      <t>巡迴賽季後賽揭幕戰中獲得亞軍，與林成宰和金珠亨一起晉級第二輪</t>
    </r>
  </si>
  <si>
    <t>news.sbs.co.kr</t>
  </si>
  <si>
    <t>efe0d9daf7534dc69a7f7420</t>
  </si>
  <si>
    <t>Hasbro</t>
  </si>
  <si>
    <t>75eaf61ab39d23c3d44aaab2</t>
  </si>
  <si>
    <t>Aces Vs Liberty Gm 2 | 2024 WNBA Playoffs | WNBA Best Bets &amp; Predictions | ChrisBeCappinn Show Golshifteh Farahani (nfYEvsTvq9)</t>
  </si>
  <si>
    <r>
      <rPr>
        <sz val="10"/>
        <rFont val="Noto Sans CJK SC"/>
        <family val="2"/>
      </rPr>
      <t xml:space="preserve">王牌 </t>
    </r>
    <r>
      <rPr>
        <sz val="10"/>
        <rFont val="Arial"/>
        <family val="2"/>
      </rPr>
      <t xml:space="preserve">vs </t>
    </r>
    <r>
      <rPr>
        <sz val="10"/>
        <rFont val="Noto Sans CJK SC"/>
        <family val="2"/>
      </rPr>
      <t xml:space="preserve">自由 </t>
    </r>
    <r>
      <rPr>
        <sz val="10"/>
        <rFont val="Arial"/>
        <family val="2"/>
      </rPr>
      <t xml:space="preserve">Gm 2 | 2024 </t>
    </r>
    <r>
      <rPr>
        <sz val="10"/>
        <rFont val="Noto Sans CJK SC"/>
        <family val="2"/>
      </rPr>
      <t xml:space="preserve">年 </t>
    </r>
    <r>
      <rPr>
        <sz val="10"/>
        <rFont val="Arial"/>
        <family val="2"/>
      </rPr>
      <t xml:space="preserve">WNBA </t>
    </r>
    <r>
      <rPr>
        <sz val="10"/>
        <rFont val="Noto Sans CJK SC"/>
        <family val="2"/>
      </rPr>
      <t xml:space="preserve">季後賽 </t>
    </r>
    <r>
      <rPr>
        <sz val="10"/>
        <rFont val="Arial"/>
        <family val="2"/>
      </rPr>
      <t xml:space="preserve">| WNBA </t>
    </r>
    <r>
      <rPr>
        <sz val="10"/>
        <rFont val="Noto Sans CJK SC"/>
        <family val="2"/>
      </rPr>
      <t xml:space="preserve">最佳投注和預測 </t>
    </r>
    <r>
      <rPr>
        <sz val="10"/>
        <rFont val="Arial"/>
        <family val="2"/>
      </rPr>
      <t xml:space="preserve">| ChrisBeCappinn </t>
    </r>
    <r>
      <rPr>
        <sz val="10"/>
        <rFont val="Noto Sans CJK SC"/>
        <family val="2"/>
      </rPr>
      <t xml:space="preserve">秀 </t>
    </r>
    <r>
      <rPr>
        <sz val="10"/>
        <rFont val="Arial"/>
        <family val="2"/>
      </rPr>
      <t>Golshifteh Farahani (nfYEvsTvq9)</t>
    </r>
  </si>
  <si>
    <t>f9f51d4e201987502efdbeb4</t>
  </si>
  <si>
    <t>KeyCorp</t>
  </si>
  <si>
    <t>SB Nation Reacts Poll Results: Is Run Differential a Playoff Success Key</t>
  </si>
  <si>
    <t>crawfishboxes.com</t>
  </si>
  <si>
    <t>e15452dd3993cf8b4f47594b</t>
  </si>
  <si>
    <t>T-Mobile US</t>
  </si>
  <si>
    <t>T-Mobile計劃在華盛頓州裁員並關閉多個網點</t>
  </si>
  <si>
    <r>
      <rPr>
        <sz val="10"/>
        <rFont val="Arial"/>
        <family val="2"/>
      </rPr>
      <t xml:space="preserve">T-Mobile </t>
    </r>
    <r>
      <rPr>
        <sz val="10"/>
        <rFont val="Noto Sans CJK SC"/>
        <family val="2"/>
      </rPr>
      <t>華盛頓州裁員並關閉門市。</t>
    </r>
  </si>
  <si>
    <t>TMUS</t>
  </si>
  <si>
    <t>69306eed6362ccd5aad985fc</t>
  </si>
  <si>
    <t>c7befc4b76d82cab5fecaad6</t>
  </si>
  <si>
    <t>Uber</t>
  </si>
  <si>
    <t>據《彭博新聞》報導，優步將在重組過程中裁員3,300人</t>
  </si>
  <si>
    <t>964f69a74bd950a753efacff</t>
  </si>
  <si>
    <t>Laid-off tech workers from Google, Microsoft confront a difficult job market</t>
  </si>
  <si>
    <t>7e79b0a1674fdc1dde34819f</t>
  </si>
  <si>
    <t>Realty Income</t>
  </si>
  <si>
    <t>Chargers must overcome another early blow to O-line in pursuit of 1st playoff win under Jim Harbaugh</t>
  </si>
  <si>
    <t>Toronto Star</t>
  </si>
  <si>
    <t>61dfb31961af1548069d4a0d</t>
  </si>
  <si>
    <t>奈飛據報計劃裁員約5%</t>
  </si>
  <si>
    <t>a8be937b4df9356931725bf5</t>
  </si>
  <si>
    <t>據《Puck News》報導，奈飛計劃裁員5%</t>
  </si>
  <si>
    <t>b78c11d1ec8e3b594182e31d</t>
  </si>
  <si>
    <t>'AI Labor Disruption': Goldman Sachs Forecasts Layoffs Will Displace Nine Percent of Staff Globally</t>
  </si>
  <si>
    <t>高盛預測全球員工將裁減約九成，屬於人力資源調整事件。</t>
  </si>
  <si>
    <t>International Business Times UK</t>
  </si>
  <si>
    <t>e6ed99dfce7b5f02fa46aca1</t>
  </si>
  <si>
    <t>AppLovin</t>
  </si>
  <si>
    <t>Piper Sandler downgrades Samsara to neutral on weakening app downloads</t>
  </si>
  <si>
    <r>
      <rPr>
        <sz val="10"/>
        <rFont val="Noto Sans CJK SC"/>
        <family val="2"/>
      </rPr>
      <t>由於應用程式下載量疲軟，</t>
    </r>
    <r>
      <rPr>
        <sz val="10"/>
        <rFont val="Arial"/>
        <family val="2"/>
      </rPr>
      <t xml:space="preserve">Piper Sandler </t>
    </r>
    <r>
      <rPr>
        <sz val="10"/>
        <rFont val="Noto Sans CJK SC"/>
        <family val="2"/>
      </rPr>
      <t xml:space="preserve">將 </t>
    </r>
    <r>
      <rPr>
        <sz val="10"/>
        <rFont val="Arial"/>
        <family val="2"/>
      </rPr>
      <t xml:space="preserve">Samsara </t>
    </r>
    <r>
      <rPr>
        <sz val="10"/>
        <rFont val="Noto Sans CJK SC"/>
        <family val="2"/>
      </rPr>
      <t>評級下調至中性</t>
    </r>
  </si>
  <si>
    <t>ANALYST_DOWNGRADE</t>
  </si>
  <si>
    <t>分析師降評</t>
  </si>
  <si>
    <t>7234e4347352e769ba24eef5</t>
  </si>
  <si>
    <t>ServiceNow</t>
  </si>
  <si>
    <t>Level 3 (Go Now!) evacuations downgraded for Wells RD Wildfire burning near Malden</t>
  </si>
  <si>
    <r>
      <rPr>
        <sz val="10"/>
        <rFont val="Noto Sans CJK SC"/>
        <family val="2"/>
      </rPr>
      <t xml:space="preserve">馬爾登附近發生威爾斯路野火，疏散等級降為 </t>
    </r>
    <r>
      <rPr>
        <sz val="10"/>
        <rFont val="Arial"/>
        <family val="2"/>
      </rPr>
      <t xml:space="preserve">3 </t>
    </r>
    <r>
      <rPr>
        <sz val="10"/>
        <rFont val="Noto Sans CJK SC"/>
        <family val="2"/>
      </rPr>
      <t>級（立即出發！）</t>
    </r>
  </si>
  <si>
    <t>krem.com</t>
  </si>
  <si>
    <t>6bc34e5a297c61b1345f3605</t>
  </si>
  <si>
    <t>'Fast Money' traders react to Jefferies' downgrade of Apple</t>
  </si>
  <si>
    <t>「快錢」交易員對傑富瑞下調蘋果評級的反應</t>
  </si>
  <si>
    <t>a9f2c50c6fd8786d65afdb51</t>
  </si>
  <si>
    <t>AT&amp;T</t>
  </si>
  <si>
    <t>Don't let a Wall Street analyst's downgrade of Apple scare you out of the stock</t>
  </si>
  <si>
    <t>不要讓華爾街分析師對蘋果的評級下調嚇得你出局</t>
  </si>
  <si>
    <t>79fb12cae0be4d66b0f82cf5</t>
  </si>
  <si>
    <t>Applied Materials</t>
  </si>
  <si>
    <t>B. RILEY：將應用材料目標價下調至700美元</t>
  </si>
  <si>
    <r>
      <rPr>
        <sz val="10"/>
        <rFont val="Arial"/>
        <family val="2"/>
      </rPr>
      <t>B. RILEY</t>
    </r>
    <r>
      <rPr>
        <sz val="10"/>
        <rFont val="Noto Sans CJK SC"/>
        <family val="2"/>
      </rPr>
      <t>：將應用材料目標價下調至</t>
    </r>
    <r>
      <rPr>
        <sz val="10"/>
        <rFont val="Arial"/>
        <family val="2"/>
      </rPr>
      <t>700</t>
    </r>
    <r>
      <rPr>
        <sz val="10"/>
        <rFont val="Noto Sans CJK SC"/>
        <family val="2"/>
      </rPr>
      <t>美元</t>
    </r>
  </si>
  <si>
    <t>券商調降目標價（非評等調降）。</t>
  </si>
  <si>
    <t>AMAT</t>
  </si>
  <si>
    <t>a6b5782aeeac7a32d7d97657</t>
  </si>
  <si>
    <t>2026-08-24</t>
  </si>
  <si>
    <t>HP Inc.</t>
  </si>
  <si>
    <t>大摩：將惠普目標價下調至17美元</t>
  </si>
  <si>
    <t>4939876561ef4749d14b6eb4</t>
  </si>
  <si>
    <t>Stifel：將恩智浦半導體目標價下調至265美元</t>
  </si>
  <si>
    <t>89b3889fdbe9a159682df101</t>
  </si>
  <si>
    <t>BNY Mellon</t>
  </si>
  <si>
    <t>花旗：將紐約梅隆銀行目標價下調至160美元</t>
  </si>
  <si>
    <t>BNY</t>
  </si>
  <si>
    <t>7334a94113ef285cf816fb61</t>
  </si>
  <si>
    <t>United Airlines Holdings</t>
  </si>
  <si>
    <t>美銀：美國聯合航空目標價下調至145美元</t>
  </si>
  <si>
    <t>UAL</t>
  </si>
  <si>
    <t>287b58f533fcde2d12e2a7bf</t>
  </si>
  <si>
    <t>傑富瑞：將美國運通目標價下調至330美元</t>
  </si>
  <si>
    <t>739f0c87f00118cb554c0ae7</t>
  </si>
  <si>
    <t>Dell Technologies</t>
  </si>
  <si>
    <t>Barclays downgrades Dell to 'hold'</t>
  </si>
  <si>
    <t>巴克萊將戴爾評級下調至“持有”</t>
  </si>
  <si>
    <r>
      <rPr>
        <sz val="10"/>
        <rFont val="Arial"/>
        <family val="2"/>
      </rPr>
      <t xml:space="preserve">Barclays </t>
    </r>
    <r>
      <rPr>
        <sz val="10"/>
        <rFont val="Noto Sans CJK SC"/>
        <family val="2"/>
      </rPr>
      <t xml:space="preserve">將 </t>
    </r>
    <r>
      <rPr>
        <sz val="10"/>
        <rFont val="Arial"/>
        <family val="2"/>
      </rPr>
      <t xml:space="preserve">Dell </t>
    </r>
    <r>
      <rPr>
        <sz val="10"/>
        <rFont val="Noto Sans CJK SC"/>
        <family val="2"/>
      </rPr>
      <t>評等降為持有。</t>
    </r>
  </si>
  <si>
    <t>DELL</t>
  </si>
  <si>
    <t>f40d69f87a9c42826567985a</t>
  </si>
  <si>
    <t>Earnings Preview: United Airlines Stock Vulnerable to Downgrades</t>
  </si>
  <si>
    <t>收益預覽：聯合航空股票可能降級</t>
  </si>
  <si>
    <t>Schaeffer's Investment Research</t>
  </si>
  <si>
    <t>50881488da11b55253590b21</t>
  </si>
  <si>
    <t>Boeing 777 Freighter Production Halted by a Wing-Part Dispute</t>
  </si>
  <si>
    <r>
      <rPr>
        <sz val="10"/>
        <rFont val="Noto Sans CJK SC"/>
        <family val="2"/>
      </rPr>
      <t xml:space="preserve">波音公司因翼部爭議暫停 </t>
    </r>
    <r>
      <rPr>
        <sz val="10"/>
        <rFont val="Arial"/>
        <family val="2"/>
      </rPr>
      <t xml:space="preserve">777 </t>
    </r>
    <r>
      <rPr>
        <sz val="10"/>
        <rFont val="Noto Sans CJK SC"/>
        <family val="2"/>
      </rPr>
      <t>貨運機的生產，屬於生產延遲事件。</t>
    </r>
  </si>
  <si>
    <t>MiGFlug</t>
  </si>
  <si>
    <t>生產延遲</t>
  </si>
  <si>
    <r>
      <rPr>
        <sz val="10"/>
        <rFont val="Noto Sans CJK SC"/>
        <family val="2"/>
      </rPr>
      <t xml:space="preserve">波音 </t>
    </r>
    <r>
      <rPr>
        <sz val="10"/>
        <rFont val="Arial"/>
        <family val="2"/>
      </rPr>
      <t xml:space="preserve">777 </t>
    </r>
    <r>
      <rPr>
        <sz val="10"/>
        <rFont val="Noto Sans CJK SC"/>
        <family val="2"/>
      </rPr>
      <t>貨機因翼部零件爭議停產。</t>
    </r>
  </si>
  <si>
    <t>def294c6ad3b5c7f335096af</t>
  </si>
  <si>
    <t>Target Corporation</t>
  </si>
  <si>
    <t>美國7月集裝箱進口量創歷年同期第四高位，因關稅前景不明--Descartes</t>
  </si>
  <si>
    <r>
      <rPr>
        <sz val="10"/>
        <rFont val="Noto Sans CJK SC"/>
        <family val="2"/>
      </rPr>
      <t>美國</t>
    </r>
    <r>
      <rPr>
        <sz val="10"/>
        <rFont val="Arial"/>
        <family val="2"/>
      </rPr>
      <t>7</t>
    </r>
    <r>
      <rPr>
        <sz val="10"/>
        <rFont val="Noto Sans CJK SC"/>
        <family val="2"/>
      </rPr>
      <t>月集裝箱進口量創歷年同期第四高位，因關稅前景不明</t>
    </r>
    <r>
      <rPr>
        <sz val="10"/>
        <rFont val="Arial"/>
        <family val="2"/>
      </rPr>
      <t>--Descartes</t>
    </r>
  </si>
  <si>
    <t>TARIFF</t>
  </si>
  <si>
    <t>關稅</t>
  </si>
  <si>
    <t>37f9850db7ec70f23a539d58</t>
  </si>
  <si>
    <t>Walmart</t>
  </si>
  <si>
    <t>8bdedff3775e4cdfb831653e</t>
  </si>
  <si>
    <t>Costco</t>
  </si>
  <si>
    <t>Study: Tariffs cost average Indiana family $2,600 last year</t>
  </si>
  <si>
    <r>
      <rPr>
        <sz val="10"/>
        <rFont val="Noto Sans CJK SC"/>
        <family val="2"/>
      </rPr>
      <t xml:space="preserve">研究：去年印第安納州家庭平均花費 </t>
    </r>
    <r>
      <rPr>
        <sz val="10"/>
        <rFont val="Arial"/>
        <family val="2"/>
      </rPr>
      <t xml:space="preserve">2,600 </t>
    </r>
    <r>
      <rPr>
        <sz val="10"/>
        <rFont val="Noto Sans CJK SC"/>
        <family val="2"/>
      </rPr>
      <t>美元的關稅</t>
    </r>
  </si>
  <si>
    <t>The Journal Gazette</t>
  </si>
  <si>
    <t>b810e4fbaf5c7e3c9c7f1073</t>
  </si>
  <si>
    <t>Deere &amp; Company</t>
  </si>
  <si>
    <t>Court backs Trump on rescinding de minimis tariff exemption</t>
  </si>
  <si>
    <t>法院支持川普取消最低關稅豁免</t>
  </si>
  <si>
    <t>The Hill</t>
  </si>
  <si>
    <t>934e2375ea23471c7ee6d903</t>
  </si>
  <si>
    <t>White House says transshipped goods cost up to $26 billion in lost tariffs</t>
  </si>
  <si>
    <r>
      <rPr>
        <sz val="10"/>
        <rFont val="Noto Sans CJK SC"/>
        <family val="2"/>
      </rPr>
      <t xml:space="preserve">白宮稱轉運貨物關稅損失高達 </t>
    </r>
    <r>
      <rPr>
        <sz val="10"/>
        <rFont val="Arial"/>
        <family val="2"/>
      </rPr>
      <t xml:space="preserve">260 </t>
    </r>
    <r>
      <rPr>
        <sz val="10"/>
        <rFont val="Noto Sans CJK SC"/>
        <family val="2"/>
      </rPr>
      <t>億美元</t>
    </r>
  </si>
  <si>
    <t>2ee3cc51aee427633a3a7d8e</t>
  </si>
  <si>
    <t>US court backs Trump's power to close 'de minimis' tariff exemption</t>
  </si>
  <si>
    <t>美國法院支持川普關閉「最低限度」關稅豁免的權力</t>
  </si>
  <si>
    <t>cb013020308b9f4a13aa114e</t>
  </si>
  <si>
    <t>Caterpillar Inc.</t>
  </si>
  <si>
    <t>Unusual Machines Soars 22%, Red Cat Climbs 8%, Ondas Gains 4% on Trump’s 100% Drone Tariff</t>
  </si>
  <si>
    <r>
      <rPr>
        <sz val="10"/>
        <rFont val="Noto Sans CJK SC"/>
        <family val="2"/>
      </rPr>
      <t xml:space="preserve">受川普 </t>
    </r>
    <r>
      <rPr>
        <sz val="10"/>
        <rFont val="Arial"/>
        <family val="2"/>
      </rPr>
      <t xml:space="preserve">100% </t>
    </r>
    <r>
      <rPr>
        <sz val="10"/>
        <rFont val="Noto Sans CJK SC"/>
        <family val="2"/>
      </rPr>
      <t>無人機關稅影響，</t>
    </r>
    <r>
      <rPr>
        <sz val="10"/>
        <rFont val="Arial"/>
        <family val="2"/>
      </rPr>
      <t xml:space="preserve">Unusual Machines </t>
    </r>
    <r>
      <rPr>
        <sz val="10"/>
        <rFont val="Noto Sans CJK SC"/>
        <family val="2"/>
      </rPr>
      <t xml:space="preserve">飆升 </t>
    </r>
    <r>
      <rPr>
        <sz val="10"/>
        <rFont val="Arial"/>
        <family val="2"/>
      </rPr>
      <t>22%</t>
    </r>
    <r>
      <rPr>
        <sz val="10"/>
        <rFont val="Noto Sans CJK SC"/>
        <family val="2"/>
      </rPr>
      <t>，</t>
    </r>
    <r>
      <rPr>
        <sz val="10"/>
        <rFont val="Arial"/>
        <family val="2"/>
      </rPr>
      <t xml:space="preserve">Red Cat </t>
    </r>
    <r>
      <rPr>
        <sz val="10"/>
        <rFont val="Noto Sans CJK SC"/>
        <family val="2"/>
      </rPr>
      <t xml:space="preserve">上漲 </t>
    </r>
    <r>
      <rPr>
        <sz val="10"/>
        <rFont val="Arial"/>
        <family val="2"/>
      </rPr>
      <t>8%</t>
    </r>
    <r>
      <rPr>
        <sz val="10"/>
        <rFont val="Noto Sans CJK SC"/>
        <family val="2"/>
      </rPr>
      <t>，</t>
    </r>
    <r>
      <rPr>
        <sz val="10"/>
        <rFont val="Arial"/>
        <family val="2"/>
      </rPr>
      <t xml:space="preserve">Ondas </t>
    </r>
    <r>
      <rPr>
        <sz val="10"/>
        <rFont val="Noto Sans CJK SC"/>
        <family val="2"/>
      </rPr>
      <t xml:space="preserve">上漲 </t>
    </r>
    <r>
      <rPr>
        <sz val="10"/>
        <rFont val="Arial"/>
        <family val="2"/>
      </rPr>
      <t>4%</t>
    </r>
  </si>
  <si>
    <t>7f0d18178b9d4a0302c0ab66</t>
  </si>
  <si>
    <t>Lowe's</t>
  </si>
  <si>
    <t>US trade court rules Trump may eliminate tariff exemption for low-cost imports</t>
  </si>
  <si>
    <t>美國貿易法庭裁定川普可能取消低成本進口商品的關稅豁免</t>
  </si>
  <si>
    <t>Jurist.org</t>
  </si>
  <si>
    <t>254238fa27fa23e243dca4e8</t>
  </si>
  <si>
    <t>bd7ba05d43bd78aab951ded2</t>
  </si>
  <si>
    <t>Abelardo de la Espriella asks Donald Trump to suspend tariffs to help Colombia earthquake recovery</t>
  </si>
  <si>
    <r>
      <rPr>
        <sz val="10"/>
        <rFont val="Noto Sans CJK SC"/>
        <family val="2"/>
      </rPr>
      <t>阿韋拉多</t>
    </r>
    <r>
      <rPr>
        <sz val="10"/>
        <rFont val="Arial"/>
        <family val="2"/>
      </rPr>
      <t>·</t>
    </r>
    <r>
      <rPr>
        <sz val="10"/>
        <rFont val="Noto Sans CJK SC"/>
        <family val="2"/>
      </rPr>
      <t>德拉埃斯普里埃拉要求唐納德</t>
    </r>
    <r>
      <rPr>
        <sz val="10"/>
        <rFont val="Arial"/>
        <family val="2"/>
      </rPr>
      <t>·</t>
    </r>
    <r>
      <rPr>
        <sz val="10"/>
        <rFont val="Noto Sans CJK SC"/>
        <family val="2"/>
      </rPr>
      <t>特朗普暫停關稅以幫助哥倫比亞地震恢復</t>
    </r>
  </si>
  <si>
    <t>ABC7 Chicago</t>
  </si>
  <si>
    <t>267246deed9567d1b709317e</t>
  </si>
  <si>
    <t>Why Stocks Aren’t Sweating the US-Canada Tariff Turnaround</t>
  </si>
  <si>
    <t>Fisher Investments</t>
  </si>
  <si>
    <t>與公司風險無關：天災／氣候新聞與公司名稱誤配、一般總經評論，或非該公司事件。</t>
  </si>
  <si>
    <t>9c0aedb926e9ba5eb0d3c2b1</t>
  </si>
  <si>
    <t>惠普預計，得益於提價和美國關稅退稅，第四季度利潤將表現強勁</t>
  </si>
  <si>
    <t>b44e753a259cedc98127ae6d</t>
  </si>
  <si>
    <t>Oglethorpe business dean: The real challenge isn’t tariffs. It’s uncertainty.</t>
  </si>
  <si>
    <t>Oglethorpe University</t>
  </si>
  <si>
    <t>424ec9fe8cf8b9b4b05a5c65</t>
  </si>
  <si>
    <t>2026-08-31</t>
  </si>
  <si>
    <t>Comfort Systems USA</t>
  </si>
  <si>
    <t>Trump’s tariff fix leaves US trade policy in permanent flux</t>
  </si>
  <si>
    <t>Financial Times</t>
  </si>
  <si>
    <t>7304c933a6f214f09712841a</t>
  </si>
  <si>
    <t>Micron Technology</t>
  </si>
  <si>
    <t>U.S. stock market changes｜Storage concept stocks fell across the board, SK Hynix fell more than 4%, and South Korea responded to the U.S. semiconductor tariff plan</t>
  </si>
  <si>
    <r>
      <rPr>
        <sz val="10"/>
        <rFont val="Noto Sans CJK SC"/>
        <family val="2"/>
      </rPr>
      <t>美股風雲變幻｜儲存概念股全線下跌，</t>
    </r>
    <r>
      <rPr>
        <sz val="10"/>
        <rFont val="Arial"/>
        <family val="2"/>
      </rPr>
      <t>SK</t>
    </r>
    <r>
      <rPr>
        <sz val="10"/>
        <rFont val="Noto Sans CJK SC"/>
        <family val="2"/>
      </rPr>
      <t>海力士跌超</t>
    </r>
    <r>
      <rPr>
        <sz val="10"/>
        <rFont val="Arial"/>
        <family val="2"/>
      </rPr>
      <t>4%</t>
    </r>
    <r>
      <rPr>
        <sz val="10"/>
        <rFont val="Noto Sans CJK SC"/>
        <family val="2"/>
      </rPr>
      <t>，韓國回應美國半導體關稅計劃</t>
    </r>
  </si>
  <si>
    <t>PRICE_MOVEMENT</t>
  </si>
  <si>
    <t>儲存概念股全面下跌，非關稅事件，改記股價異動。</t>
  </si>
  <si>
    <t>MU</t>
  </si>
  <si>
    <t>c2407236f20794b99d4fc7bf</t>
  </si>
  <si>
    <t>Sandisk</t>
  </si>
  <si>
    <t>cac037f797b0719a0f33c762</t>
  </si>
  <si>
    <t>Western Digital</t>
  </si>
  <si>
    <t>WDC</t>
  </si>
  <si>
    <t>a0a3c78ddc857c912ab290e7</t>
  </si>
  <si>
    <t>U.S. toy prices surge ahead of holiday shopping season as fallout from tariffs and Iran situation intensifies</t>
  </si>
  <si>
    <t>由於關稅和伊朗局勢加劇，美國玩具價格在假日購物季前飆升</t>
  </si>
  <si>
    <r>
      <rPr>
        <sz val="10"/>
        <rFont val="Noto Sans CJK SC"/>
        <family val="2"/>
      </rPr>
      <t>玩具價格因關稅上漲，</t>
    </r>
    <r>
      <rPr>
        <sz val="10"/>
        <rFont val="Arial"/>
        <family val="2"/>
      </rPr>
      <t xml:space="preserve">Hasbro </t>
    </r>
    <r>
      <rPr>
        <sz val="10"/>
        <rFont val="Noto Sans CJK SC"/>
        <family val="2"/>
      </rPr>
      <t>受影響。</t>
    </r>
  </si>
  <si>
    <t>HAS</t>
  </si>
  <si>
    <t>efd27e0400ab7ca82c9c1053</t>
  </si>
  <si>
    <t>Ulta Beauty</t>
  </si>
  <si>
    <t>I Can't Stop Spring Shopping (a Vlog): Old Navy Finds, Ulta, Costco For Two, Cooking, April Nuuly San Jose Earthquakes (zFaru3F51W)</t>
  </si>
  <si>
    <r>
      <rPr>
        <sz val="10"/>
        <rFont val="Noto Sans CJK SC"/>
        <family val="2"/>
      </rPr>
      <t>我無法停止春季購物（視頻博客）：</t>
    </r>
    <r>
      <rPr>
        <sz val="10"/>
        <rFont val="Arial"/>
        <family val="2"/>
      </rPr>
      <t>Old Navy Finds</t>
    </r>
    <r>
      <rPr>
        <sz val="10"/>
        <rFont val="Noto Sans CJK SC"/>
        <family val="2"/>
      </rPr>
      <t>、</t>
    </r>
    <r>
      <rPr>
        <sz val="10"/>
        <rFont val="Arial"/>
        <family val="2"/>
      </rPr>
      <t>Ulta</t>
    </r>
    <r>
      <rPr>
        <sz val="10"/>
        <rFont val="Noto Sans CJK SC"/>
        <family val="2"/>
      </rPr>
      <t>、</t>
    </r>
    <r>
      <rPr>
        <sz val="10"/>
        <rFont val="Arial"/>
        <family val="2"/>
      </rPr>
      <t>Costco For Two</t>
    </r>
    <r>
      <rPr>
        <sz val="10"/>
        <rFont val="Noto Sans CJK SC"/>
        <family val="2"/>
      </rPr>
      <t xml:space="preserve">、烹飪、四月努利聖何塞地震 </t>
    </r>
    <r>
      <rPr>
        <sz val="10"/>
        <rFont val="Arial"/>
        <family val="2"/>
      </rPr>
      <t>(zFaru3F51W)</t>
    </r>
  </si>
  <si>
    <t>NATURAL_DISASTER</t>
  </si>
  <si>
    <t>天災</t>
  </si>
  <si>
    <t>4be4a2f9e0356691efd1ab1f</t>
  </si>
  <si>
    <t>Dozens killed in Colombia earthquake ᐉ News from Fakti.bg - World</t>
  </si>
  <si>
    <r>
      <rPr>
        <sz val="10"/>
        <rFont val="Noto Sans CJK SC"/>
        <family val="2"/>
      </rPr>
      <t xml:space="preserve">哥倫比亞地震造成數十人死亡 </t>
    </r>
    <r>
      <rPr>
        <sz val="10"/>
        <rFont val="Arial"/>
        <family val="2"/>
      </rPr>
      <t xml:space="preserve">ᐉ </t>
    </r>
    <r>
      <rPr>
        <sz val="10"/>
        <rFont val="Noto Sans CJK SC"/>
        <family val="2"/>
      </rPr>
      <t xml:space="preserve">來自 </t>
    </r>
    <r>
      <rPr>
        <sz val="10"/>
        <rFont val="Arial"/>
        <family val="2"/>
      </rPr>
      <t xml:space="preserve">Fakti.bg </t>
    </r>
    <r>
      <rPr>
        <sz val="10"/>
        <rFont val="Noto Sans CJK SC"/>
        <family val="2"/>
      </rPr>
      <t xml:space="preserve">的新聞 </t>
    </r>
    <r>
      <rPr>
        <sz val="10"/>
        <rFont val="Arial"/>
        <family val="2"/>
      </rPr>
      <t>- World</t>
    </r>
  </si>
  <si>
    <t>fakti.bg</t>
  </si>
  <si>
    <t>31ac30210c0bc439e32a7969</t>
  </si>
  <si>
    <t>Delta Air Lines</t>
  </si>
  <si>
    <t>Floods delay Assam welfare rollout as govt resumes subsidised dal, sugar scheme</t>
  </si>
  <si>
    <t>由於政府恢復補貼木豆和糖計劃，洪水導致阿薩姆邦福利計劃推遲</t>
  </si>
  <si>
    <t>The Assam Tribune</t>
  </si>
  <si>
    <t>cf79c96ab91973df159b0ab5</t>
  </si>
  <si>
    <t>Forest fires and food shortages: two sides of a deadly coin</t>
  </si>
  <si>
    <t>森林火災與糧食短缺：致命硬幣的兩面</t>
  </si>
  <si>
    <t>Institute of Welsh Affairs</t>
  </si>
  <si>
    <t>76ce0f1fa8f825ef3d54ebc9</t>
  </si>
  <si>
    <t>Palouse River Wildfire near Colfax prompts Level 3 (Go Now!) Evacuations</t>
  </si>
  <si>
    <r>
      <rPr>
        <sz val="10"/>
        <rFont val="Noto Sans CJK SC"/>
        <family val="2"/>
      </rPr>
      <t xml:space="preserve">科爾法克斯附近的帕盧斯河野火提示 </t>
    </r>
    <r>
      <rPr>
        <sz val="10"/>
        <rFont val="Arial"/>
        <family val="2"/>
      </rPr>
      <t xml:space="preserve">3 </t>
    </r>
    <r>
      <rPr>
        <sz val="10"/>
        <rFont val="Noto Sans CJK SC"/>
        <family val="2"/>
      </rPr>
      <t>級（立即撤離！）疏散</t>
    </r>
  </si>
  <si>
    <t>a5b2bf3b3682b7f8f77f38ac</t>
  </si>
  <si>
    <t>Central has poured millions into flood prevention in the 10 years since 2016</t>
  </si>
  <si>
    <r>
      <rPr>
        <sz val="10"/>
        <rFont val="Arial"/>
        <family val="2"/>
      </rPr>
      <t>2016</t>
    </r>
    <r>
      <rPr>
        <sz val="10"/>
        <rFont val="Noto Sans CJK SC"/>
        <family val="2"/>
      </rPr>
      <t>年以來</t>
    </r>
    <r>
      <rPr>
        <sz val="10"/>
        <rFont val="Arial"/>
        <family val="2"/>
      </rPr>
      <t>10</t>
    </r>
    <r>
      <rPr>
        <sz val="10"/>
        <rFont val="Noto Sans CJK SC"/>
        <family val="2"/>
      </rPr>
      <t>年中央投入數百萬元防洪</t>
    </r>
  </si>
  <si>
    <t>WBRZ</t>
  </si>
  <si>
    <t>d139e9118a645486973d2adc</t>
  </si>
  <si>
    <t>Cencora</t>
  </si>
  <si>
    <t>What: Public Safety Patrol When: August 10, 2026 | 0208H Where: Vicinity of Manila Status: Experiencing Light to Moderate Rainfall Flooded Area: Padre Noval - No Flood España cor. Dela Fuente- No Flood España cor. Algeciras- No Flood (Source: Manila Ci</t>
  </si>
  <si>
    <r>
      <rPr>
        <sz val="10"/>
        <rFont val="Noto Sans CJK SC"/>
        <family val="2"/>
      </rPr>
      <t>內容：公共安全巡邏 時間：</t>
    </r>
    <r>
      <rPr>
        <sz val="10"/>
        <rFont val="Arial"/>
        <family val="2"/>
      </rPr>
      <t xml:space="preserve">2026 </t>
    </r>
    <r>
      <rPr>
        <sz val="10"/>
        <rFont val="Noto Sans CJK SC"/>
        <family val="2"/>
      </rPr>
      <t xml:space="preserve">年 </t>
    </r>
    <r>
      <rPr>
        <sz val="10"/>
        <rFont val="Arial"/>
        <family val="2"/>
      </rPr>
      <t xml:space="preserve">8 </t>
    </r>
    <r>
      <rPr>
        <sz val="10"/>
        <rFont val="Noto Sans CJK SC"/>
        <family val="2"/>
      </rPr>
      <t xml:space="preserve">月 </t>
    </r>
    <r>
      <rPr>
        <sz val="10"/>
        <rFont val="Arial"/>
        <family val="2"/>
      </rPr>
      <t xml:space="preserve">10 </t>
    </r>
    <r>
      <rPr>
        <sz val="10"/>
        <rFont val="Noto Sans CJK SC"/>
        <family val="2"/>
      </rPr>
      <t xml:space="preserve">日 </t>
    </r>
    <r>
      <rPr>
        <sz val="10"/>
        <rFont val="Arial"/>
        <family val="2"/>
      </rPr>
      <t xml:space="preserve">| 0208H </t>
    </r>
    <r>
      <rPr>
        <sz val="10"/>
        <rFont val="Noto Sans CJK SC"/>
        <family val="2"/>
      </rPr>
      <t>地點：馬尼拉附近 狀況：正在經歷小到中度降雨 洪水區域：</t>
    </r>
    <r>
      <rPr>
        <sz val="10"/>
        <rFont val="Arial"/>
        <family val="2"/>
      </rPr>
      <t xml:space="preserve">Padre Noval - </t>
    </r>
    <r>
      <rPr>
        <sz val="10"/>
        <rFont val="Noto Sans CJK SC"/>
        <family val="2"/>
      </rPr>
      <t xml:space="preserve">無洪水 </t>
    </r>
    <r>
      <rPr>
        <sz val="10"/>
        <rFont val="Arial"/>
        <family val="2"/>
      </rPr>
      <t>España cor. Dela Fuente-</t>
    </r>
    <r>
      <rPr>
        <sz val="10"/>
        <rFont val="Noto Sans CJK SC"/>
        <family val="2"/>
      </rPr>
      <t xml:space="preserve">西班牙沒有洪水。阿爾赫西拉斯 </t>
    </r>
    <r>
      <rPr>
        <sz val="10"/>
        <rFont val="Arial"/>
        <family val="2"/>
      </rPr>
      <t xml:space="preserve">- </t>
    </r>
    <r>
      <rPr>
        <sz val="10"/>
        <rFont val="Noto Sans CJK SC"/>
        <family val="2"/>
      </rPr>
      <t>無洪水（資料來源：</t>
    </r>
    <r>
      <rPr>
        <sz val="10"/>
        <rFont val="Arial"/>
        <family val="2"/>
      </rPr>
      <t>Manila Ci</t>
    </r>
  </si>
  <si>
    <t>facebook.com</t>
  </si>
  <si>
    <t>30183599b2ad60645ad3c21b</t>
  </si>
  <si>
    <t>Hurricane center now tracking 3 Atlantic systems with chances to develop</t>
  </si>
  <si>
    <r>
      <rPr>
        <sz val="10"/>
        <rFont val="Noto Sans CJK SC"/>
        <family val="2"/>
      </rPr>
      <t xml:space="preserve">颶風中心正在追蹤 </t>
    </r>
    <r>
      <rPr>
        <sz val="10"/>
        <rFont val="Arial"/>
        <family val="2"/>
      </rPr>
      <t xml:space="preserve">3 </t>
    </r>
    <r>
      <rPr>
        <sz val="10"/>
        <rFont val="Noto Sans CJK SC"/>
        <family val="2"/>
      </rPr>
      <t>個有機會發展的大西洋系統</t>
    </r>
  </si>
  <si>
    <t>Orlando Sentinel</t>
  </si>
  <si>
    <t>daab4a94d4b047ce3420c587</t>
  </si>
  <si>
    <t>Atlantic looks Busy: Third feature now on Hurricane Center's radar</t>
  </si>
  <si>
    <t>大西洋看起來很忙：颶風中心雷達上的第三個功能</t>
  </si>
  <si>
    <t>WINK News</t>
  </si>
  <si>
    <t>26e5f5326fb0385f5adc72e3</t>
  </si>
  <si>
    <t>Wildfire update: Fires in OR &amp; WA have now burned more than 3 million acres</t>
  </si>
  <si>
    <r>
      <rPr>
        <sz val="10"/>
        <rFont val="Noto Sans CJK SC"/>
        <family val="2"/>
      </rPr>
      <t xml:space="preserve">野火更新：俄勒岡州和西澳州的火災現已燒毀超過 </t>
    </r>
    <r>
      <rPr>
        <sz val="10"/>
        <rFont val="Arial"/>
        <family val="2"/>
      </rPr>
      <t xml:space="preserve">300 </t>
    </r>
    <r>
      <rPr>
        <sz val="10"/>
        <rFont val="Noto Sans CJK SC"/>
        <family val="2"/>
      </rPr>
      <t>萬英畝</t>
    </r>
  </si>
  <si>
    <t>KPTV</t>
  </si>
  <si>
    <t>f80224ee6031e8a5cd3780e9</t>
  </si>
  <si>
    <t>Army Corps plans ‘innovative’ long-term flood solution, doesn’t provide specifics</t>
  </si>
  <si>
    <t>陸軍軍團計畫「創新」的長期洪水解決方案，但沒有提供具體細節</t>
  </si>
  <si>
    <t>Juneau Independent</t>
  </si>
  <si>
    <t>b8191438f4a5154c8a245ecd</t>
  </si>
  <si>
    <t>Home Depot (The)</t>
  </si>
  <si>
    <t>Unjoined Droughtmaster Heifers sell to $2120/hd at Toogoolawah</t>
  </si>
  <si>
    <r>
      <rPr>
        <sz val="10"/>
        <rFont val="Noto Sans CJK SC"/>
        <family val="2"/>
      </rPr>
      <t xml:space="preserve">未加入的 </t>
    </r>
    <r>
      <rPr>
        <sz val="10"/>
        <rFont val="Arial"/>
        <family val="2"/>
      </rPr>
      <t xml:space="preserve">Droughtmaster </t>
    </r>
    <r>
      <rPr>
        <sz val="10"/>
        <rFont val="Noto Sans CJK SC"/>
        <family val="2"/>
      </rPr>
      <t xml:space="preserve">小母牛在 </t>
    </r>
    <r>
      <rPr>
        <sz val="10"/>
        <rFont val="Arial"/>
        <family val="2"/>
      </rPr>
      <t xml:space="preserve">Toogoolawah </t>
    </r>
    <r>
      <rPr>
        <sz val="10"/>
        <rFont val="Noto Sans CJK SC"/>
        <family val="2"/>
      </rPr>
      <t xml:space="preserve">售價為 </t>
    </r>
    <r>
      <rPr>
        <sz val="10"/>
        <rFont val="Arial"/>
        <family val="2"/>
      </rPr>
      <t xml:space="preserve">2120 </t>
    </r>
    <r>
      <rPr>
        <sz val="10"/>
        <rFont val="Noto Sans CJK SC"/>
        <family val="2"/>
      </rPr>
      <t>美元</t>
    </r>
    <r>
      <rPr>
        <sz val="10"/>
        <rFont val="Arial"/>
        <family val="2"/>
      </rPr>
      <t>/h</t>
    </r>
  </si>
  <si>
    <t>sentinelnews.com.au</t>
  </si>
  <si>
    <t>5981b9284e431441d2b0e80a</t>
  </si>
  <si>
    <t>What: CCTV Flood Monitoring When: August 09, 2026 | 0249H Where: Vicinity of Manila Flooded Areas: Antipolo cor Abad Santos- No Flood Yuseco St.- No Flood Quiricada St cor Abad Santos- No Flood Mayhaligue St - No Flood (Source: Manila City DRRM</t>
  </si>
  <si>
    <r>
      <rPr>
        <sz val="10"/>
        <rFont val="Noto Sans CJK SC"/>
        <family val="2"/>
      </rPr>
      <t>內容：閉路電視洪水監控時間：</t>
    </r>
    <r>
      <rPr>
        <sz val="10"/>
        <rFont val="Arial"/>
        <family val="2"/>
      </rPr>
      <t xml:space="preserve">2026 </t>
    </r>
    <r>
      <rPr>
        <sz val="10"/>
        <rFont val="Noto Sans CJK SC"/>
        <family val="2"/>
      </rPr>
      <t xml:space="preserve">年 </t>
    </r>
    <r>
      <rPr>
        <sz val="10"/>
        <rFont val="Arial"/>
        <family val="2"/>
      </rPr>
      <t xml:space="preserve">8 </t>
    </r>
    <r>
      <rPr>
        <sz val="10"/>
        <rFont val="Noto Sans CJK SC"/>
        <family val="2"/>
      </rPr>
      <t xml:space="preserve">月 </t>
    </r>
    <r>
      <rPr>
        <sz val="10"/>
        <rFont val="Arial"/>
        <family val="2"/>
      </rPr>
      <t xml:space="preserve">9 </t>
    </r>
    <r>
      <rPr>
        <sz val="10"/>
        <rFont val="Noto Sans CJK SC"/>
        <family val="2"/>
      </rPr>
      <t xml:space="preserve">日 </t>
    </r>
    <r>
      <rPr>
        <sz val="10"/>
        <rFont val="Arial"/>
        <family val="2"/>
      </rPr>
      <t xml:space="preserve">| 0249H </t>
    </r>
    <r>
      <rPr>
        <sz val="10"/>
        <rFont val="Noto Sans CJK SC"/>
        <family val="2"/>
      </rPr>
      <t xml:space="preserve">地點：馬尼拉附近 洪水地區： </t>
    </r>
    <r>
      <rPr>
        <sz val="10"/>
        <rFont val="Arial"/>
        <family val="2"/>
      </rPr>
      <t xml:space="preserve">Antipolo cor Abad Santos - </t>
    </r>
    <r>
      <rPr>
        <sz val="10"/>
        <rFont val="Noto Sans CJK SC"/>
        <family val="2"/>
      </rPr>
      <t xml:space="preserve">無洪水 </t>
    </r>
    <r>
      <rPr>
        <sz val="10"/>
        <rFont val="Arial"/>
        <family val="2"/>
      </rPr>
      <t xml:space="preserve">Yuseco St. - </t>
    </r>
    <r>
      <rPr>
        <sz val="10"/>
        <rFont val="Noto Sans CJK SC"/>
        <family val="2"/>
      </rPr>
      <t xml:space="preserve">無洪水 </t>
    </r>
    <r>
      <rPr>
        <sz val="10"/>
        <rFont val="Arial"/>
        <family val="2"/>
      </rPr>
      <t xml:space="preserve">Quiricada St cor Abad Santos - </t>
    </r>
    <r>
      <rPr>
        <sz val="10"/>
        <rFont val="Noto Sans CJK SC"/>
        <family val="2"/>
      </rPr>
      <t xml:space="preserve">無洪水 </t>
    </r>
    <r>
      <rPr>
        <sz val="10"/>
        <rFont val="Arial"/>
        <family val="2"/>
      </rPr>
      <t xml:space="preserve">Mayhaligue St - </t>
    </r>
    <r>
      <rPr>
        <sz val="10"/>
        <rFont val="Noto Sans CJK SC"/>
        <family val="2"/>
      </rPr>
      <t xml:space="preserve">無洪水（來源：馬尼拉市 </t>
    </r>
    <r>
      <rPr>
        <sz val="10"/>
        <rFont val="Arial"/>
        <family val="2"/>
      </rPr>
      <t>DR</t>
    </r>
    <r>
      <rPr>
        <sz val="10"/>
        <rFont val="Noto Sans CJK SC"/>
        <family val="2"/>
      </rPr>
      <t>（來源）</t>
    </r>
  </si>
  <si>
    <t>f11643a1bcd8c8917cfa99ea</t>
  </si>
  <si>
    <t>Fast-moving wildfire sends more than 20,000 fleeing in British Columbia, Canada</t>
  </si>
  <si>
    <r>
      <rPr>
        <sz val="10"/>
        <rFont val="Noto Sans CJK SC"/>
        <family val="2"/>
      </rPr>
      <t xml:space="preserve">快速蔓延的山火導致加拿大不列顛哥倫比亞省超過 </t>
    </r>
    <r>
      <rPr>
        <sz val="10"/>
        <rFont val="Arial"/>
        <family val="2"/>
      </rPr>
      <t xml:space="preserve">20,000 </t>
    </r>
    <r>
      <rPr>
        <sz val="10"/>
        <rFont val="Noto Sans CJK SC"/>
        <family val="2"/>
      </rPr>
      <t>人逃離</t>
    </r>
  </si>
  <si>
    <t>ba8a5aa06e1296449773c69d</t>
  </si>
  <si>
    <t>Loews Corporation</t>
  </si>
  <si>
    <t>Flood damage delays opening of Robert L. Bland Middle School in Lewis County</t>
  </si>
  <si>
    <r>
      <rPr>
        <sz val="10"/>
        <rFont val="Noto Sans CJK SC"/>
        <family val="2"/>
      </rPr>
      <t>劉易斯縣羅伯特</t>
    </r>
    <r>
      <rPr>
        <sz val="10"/>
        <rFont val="Arial"/>
        <family val="2"/>
      </rPr>
      <t>·L·</t>
    </r>
    <r>
      <rPr>
        <sz val="10"/>
        <rFont val="Noto Sans CJK SC"/>
        <family val="2"/>
      </rPr>
      <t>布蘭德中學因洪水損壞而推遲開學</t>
    </r>
  </si>
  <si>
    <t>WV News</t>
  </si>
  <si>
    <t>f7e5707cfbe6a64074b642c0</t>
  </si>
  <si>
    <t>Magnitude 7.4 Earthquake Kills 111 in Western Colombia, President Abelardo de la Espriella Says: 31 outlets compared</t>
  </si>
  <si>
    <r>
      <rPr>
        <sz val="10"/>
        <rFont val="Noto Sans CJK SC"/>
        <family val="2"/>
      </rPr>
      <t>哥倫比亞西部</t>
    </r>
    <r>
      <rPr>
        <sz val="10"/>
        <rFont val="Arial"/>
        <family val="2"/>
      </rPr>
      <t>7.4</t>
    </r>
    <r>
      <rPr>
        <sz val="10"/>
        <rFont val="Noto Sans CJK SC"/>
        <family val="2"/>
      </rPr>
      <t>級地震造成</t>
    </r>
    <r>
      <rPr>
        <sz val="10"/>
        <rFont val="Arial"/>
        <family val="2"/>
      </rPr>
      <t>111</t>
    </r>
    <r>
      <rPr>
        <sz val="10"/>
        <rFont val="Noto Sans CJK SC"/>
        <family val="2"/>
      </rPr>
      <t>人死亡，總統阿韋拉多</t>
    </r>
    <r>
      <rPr>
        <sz val="10"/>
        <rFont val="Arial"/>
        <family val="2"/>
      </rPr>
      <t>·</t>
    </r>
    <r>
      <rPr>
        <sz val="10"/>
        <rFont val="Noto Sans CJK SC"/>
        <family val="2"/>
      </rPr>
      <t>德拉埃斯普里埃拉表示：比較了</t>
    </r>
    <r>
      <rPr>
        <sz val="10"/>
        <rFont val="Arial"/>
        <family val="2"/>
      </rPr>
      <t>31</t>
    </r>
    <r>
      <rPr>
        <sz val="10"/>
        <rFont val="Noto Sans CJK SC"/>
        <family val="2"/>
      </rPr>
      <t>家商店</t>
    </r>
  </si>
  <si>
    <t>NewsCord</t>
  </si>
  <si>
    <t>f343b24ed4df3f5c8d4cb06e</t>
  </si>
  <si>
    <t>Colombia’s Earthquake Puts Abelardo De La Espriella, Its New President, to the Test</t>
  </si>
  <si>
    <r>
      <rPr>
        <sz val="10"/>
        <rFont val="Noto Sans CJK SC"/>
        <family val="2"/>
      </rPr>
      <t>哥倫比亞地震讓新任總統阿韋拉多</t>
    </r>
    <r>
      <rPr>
        <sz val="10"/>
        <rFont val="Arial"/>
        <family val="2"/>
      </rPr>
      <t>·</t>
    </r>
    <r>
      <rPr>
        <sz val="10"/>
        <rFont val="Noto Sans CJK SC"/>
        <family val="2"/>
      </rPr>
      <t>德拉埃斯普里埃拉麵臨考驗</t>
    </r>
  </si>
  <si>
    <t>3a6624bf7d7c9eb2c896f6ae</t>
  </si>
  <si>
    <t>The wildfire fight Newsom can’t quit</t>
  </si>
  <si>
    <t>紐瑟姆不能放棄與野火的鬥爭</t>
  </si>
  <si>
    <t>Politico</t>
  </si>
  <si>
    <t>65241b854b79e420e9e0662f</t>
  </si>
  <si>
    <t>United Parcel Service</t>
  </si>
  <si>
    <t>Hurricane center ups odds on 1 Atlantic system while tracking 2 others</t>
  </si>
  <si>
    <r>
      <rPr>
        <sz val="10"/>
        <rFont val="Noto Sans CJK SC"/>
        <family val="2"/>
      </rPr>
      <t xml:space="preserve">颶風中心增加了 </t>
    </r>
    <r>
      <rPr>
        <sz val="10"/>
        <rFont val="Arial"/>
        <family val="2"/>
      </rPr>
      <t xml:space="preserve">1 </t>
    </r>
    <r>
      <rPr>
        <sz val="10"/>
        <rFont val="Noto Sans CJK SC"/>
        <family val="2"/>
      </rPr>
      <t xml:space="preserve">個大西洋系統的機率，同時追蹤另外 </t>
    </r>
    <r>
      <rPr>
        <sz val="10"/>
        <rFont val="Arial"/>
        <family val="2"/>
      </rPr>
      <t xml:space="preserve">2 </t>
    </r>
    <r>
      <rPr>
        <sz val="10"/>
        <rFont val="Noto Sans CJK SC"/>
        <family val="2"/>
      </rPr>
      <t>個系統</t>
    </r>
  </si>
  <si>
    <t>Hanford Sentinel</t>
  </si>
  <si>
    <t>08d387889c6492ad5cb38fd6</t>
  </si>
  <si>
    <t>Repeat flooding concerns Youngwood business owners even as city works to fix the problem</t>
  </si>
  <si>
    <r>
      <rPr>
        <sz val="10"/>
        <rFont val="Noto Sans CJK SC"/>
        <family val="2"/>
      </rPr>
      <t xml:space="preserve">儘管市政府正在努力解決問題，但反覆發生的洪水仍令 </t>
    </r>
    <r>
      <rPr>
        <sz val="10"/>
        <rFont val="Arial"/>
        <family val="2"/>
      </rPr>
      <t xml:space="preserve">Youngwood </t>
    </r>
    <r>
      <rPr>
        <sz val="10"/>
        <rFont val="Noto Sans CJK SC"/>
        <family val="2"/>
      </rPr>
      <t>企業主擔憂</t>
    </r>
  </si>
  <si>
    <t>WPXI</t>
  </si>
  <si>
    <t>79e31b1f620bb6764b06adda</t>
  </si>
  <si>
    <t>Treasure Valley air quality is improving, but wildfire smoke isn’t going away just yet</t>
  </si>
  <si>
    <t>寶藏谷的空氣品質正在改善，但野火煙霧尚未消失</t>
  </si>
  <si>
    <t>Boise Dev</t>
  </si>
  <si>
    <t>7f367db7be695c91f0edb435</t>
  </si>
  <si>
    <t>Killington group secures federal grant to fix walking trails with flood damage</t>
  </si>
  <si>
    <t>基靈頓集團獲得聯邦撥款修復遭受洪水破壞的步道</t>
  </si>
  <si>
    <t>WPTZ</t>
  </si>
  <si>
    <t>254f405af375172942931a5d</t>
  </si>
  <si>
    <t>Drought has East Texans pondering ‘where’s the beef?’</t>
  </si>
  <si>
    <t>乾旱讓東德克薩斯人思考“牛肉在哪裡？”</t>
  </si>
  <si>
    <t>KLTV.com</t>
  </si>
  <si>
    <t>7a4cedda5573f2ebe026d882</t>
  </si>
  <si>
    <t>Estée Lauder Companies (The)</t>
  </si>
  <si>
    <t>Wildfires burn across Indonesia as officials cite El Nino as a cause</t>
  </si>
  <si>
    <t>官員稱厄爾尼諾現像是造成印尼野火的原因</t>
  </si>
  <si>
    <t>Al Jazeera</t>
  </si>
  <si>
    <t>3cf26ab447e9b1d2d4219302</t>
  </si>
  <si>
    <t>Magnitude 7.4 Earthquake Strikes Colombia: Children Need Help Now</t>
  </si>
  <si>
    <r>
      <rPr>
        <sz val="10"/>
        <rFont val="Noto Sans CJK SC"/>
        <family val="2"/>
      </rPr>
      <t>哥倫比亞</t>
    </r>
    <r>
      <rPr>
        <sz val="10"/>
        <rFont val="Arial"/>
        <family val="2"/>
      </rPr>
      <t>7.4</t>
    </r>
    <r>
      <rPr>
        <sz val="10"/>
        <rFont val="Noto Sans CJK SC"/>
        <family val="2"/>
      </rPr>
      <t>級地震：兒童現在需要幫助</t>
    </r>
  </si>
  <si>
    <t>unicef usa</t>
  </si>
  <si>
    <t>87ed8c94924ab1cae70eb0ad</t>
  </si>
  <si>
    <t>Jacobs Solutions</t>
  </si>
  <si>
    <t>Shakira, J Balvin, More Colombian Stars Support Earthquake Victims</t>
  </si>
  <si>
    <r>
      <rPr>
        <sz val="10"/>
        <rFont val="Noto Sans CJK SC"/>
        <family val="2"/>
      </rPr>
      <t>夏奇拉、</t>
    </r>
    <r>
      <rPr>
        <sz val="10"/>
        <rFont val="Arial"/>
        <family val="2"/>
      </rPr>
      <t>J·</t>
    </r>
    <r>
      <rPr>
        <sz val="10"/>
        <rFont val="Noto Sans CJK SC"/>
        <family val="2"/>
      </rPr>
      <t>巴爾文和更多哥倫比亞明星支持地震災民</t>
    </r>
  </si>
  <si>
    <t>Rolling Stone</t>
  </si>
  <si>
    <t>6f2208fe26d6d0c763ca6db9</t>
  </si>
  <si>
    <t>El Niño may curb hurricanes in Florida, but Charley, Michael and Idalia prove one storm can hit hard</t>
  </si>
  <si>
    <t>厄爾尼諾現象可能會遏制佛羅裡達州的颶風，但查理、邁克爾和伊達利亞證明一場風暴可以造成嚴重打擊</t>
  </si>
  <si>
    <t>Gulf Coast News and Weather</t>
  </si>
  <si>
    <t>c874322b41b459b055e8ea41</t>
  </si>
  <si>
    <t>'Storage drought' causing severely low water levels in north-central MN</t>
  </si>
  <si>
    <t>「蓄水乾旱」導致明尼蘇達州中北部水位嚴重偏低</t>
  </si>
  <si>
    <t>KAXE</t>
  </si>
  <si>
    <t>8ad729d9294fe3d1cf382e67</t>
  </si>
  <si>
    <t>Hurricane center ups odds to high on 1 Atlantic system while tracking 2 others</t>
  </si>
  <si>
    <r>
      <rPr>
        <sz val="10"/>
        <rFont val="Noto Sans CJK SC"/>
        <family val="2"/>
      </rPr>
      <t xml:space="preserve">颶風中心將 </t>
    </r>
    <r>
      <rPr>
        <sz val="10"/>
        <rFont val="Arial"/>
        <family val="2"/>
      </rPr>
      <t xml:space="preserve">1 </t>
    </r>
    <r>
      <rPr>
        <sz val="10"/>
        <rFont val="Noto Sans CJK SC"/>
        <family val="2"/>
      </rPr>
      <t xml:space="preserve">個大西洋系統的賠率升至高位，同時追蹤另外 </t>
    </r>
    <r>
      <rPr>
        <sz val="10"/>
        <rFont val="Arial"/>
        <family val="2"/>
      </rPr>
      <t xml:space="preserve">2 </t>
    </r>
    <r>
      <rPr>
        <sz val="10"/>
        <rFont val="Noto Sans CJK SC"/>
        <family val="2"/>
      </rPr>
      <t>個系統</t>
    </r>
  </si>
  <si>
    <t>7c03795380dffddc9b6c39f6</t>
  </si>
  <si>
    <t>T-Mobile sends emergency tools to Spokane wildfire victims</t>
  </si>
  <si>
    <r>
      <rPr>
        <sz val="10"/>
        <rFont val="Arial"/>
        <family val="2"/>
      </rPr>
      <t xml:space="preserve">T-Mobile </t>
    </r>
    <r>
      <rPr>
        <sz val="10"/>
        <rFont val="Noto Sans CJK SC"/>
        <family val="2"/>
      </rPr>
      <t>向斯波坎野火受害者發送緊急工具</t>
    </r>
  </si>
  <si>
    <t>KING5.com</t>
  </si>
  <si>
    <t>cd37ea268a267fa050e9c833</t>
  </si>
  <si>
    <t>T-Mobile assisting Spokane wildfire victims with useful tools</t>
  </si>
  <si>
    <r>
      <rPr>
        <sz val="10"/>
        <rFont val="Arial"/>
        <family val="2"/>
      </rPr>
      <t xml:space="preserve">T-Mobile </t>
    </r>
    <r>
      <rPr>
        <sz val="10"/>
        <rFont val="Noto Sans CJK SC"/>
        <family val="2"/>
      </rPr>
      <t>透過有用的工具幫助斯波坎野火受害者</t>
    </r>
  </si>
  <si>
    <t>6a80ff0b9db041560fd36c7d</t>
  </si>
  <si>
    <t>Federal aid now available for NC businesses impacted by drought</t>
  </si>
  <si>
    <t>聯邦援助現已向受乾旱影響的北卡羅來納州企業提供</t>
  </si>
  <si>
    <t>88.5 WFDD</t>
  </si>
  <si>
    <t>5899c9c1df223238a02e6a93</t>
  </si>
  <si>
    <t>‘Blizzard of Lies’ author Dave Wedge on new book detailing Karen Read, John O'Keefe murder case</t>
  </si>
  <si>
    <r>
      <rPr>
        <sz val="10"/>
        <rFont val="Noto Sans CJK SC"/>
        <family val="2"/>
      </rPr>
      <t>《謊言的暴風雪》作者戴夫</t>
    </r>
    <r>
      <rPr>
        <sz val="10"/>
        <rFont val="Arial"/>
        <family val="2"/>
      </rPr>
      <t>·</t>
    </r>
    <r>
      <rPr>
        <sz val="10"/>
        <rFont val="Noto Sans CJK SC"/>
        <family val="2"/>
      </rPr>
      <t>韋奇在新書中詳細介紹了凱倫</t>
    </r>
    <r>
      <rPr>
        <sz val="10"/>
        <rFont val="Arial"/>
        <family val="2"/>
      </rPr>
      <t>·</t>
    </r>
    <r>
      <rPr>
        <sz val="10"/>
        <rFont val="Noto Sans CJK SC"/>
        <family val="2"/>
      </rPr>
      <t>里德和約翰</t>
    </r>
    <r>
      <rPr>
        <sz val="10"/>
        <rFont val="Arial"/>
        <family val="2"/>
      </rPr>
      <t>·</t>
    </r>
    <r>
      <rPr>
        <sz val="10"/>
        <rFont val="Noto Sans CJK SC"/>
        <family val="2"/>
      </rPr>
      <t>奧基夫謀殺案</t>
    </r>
  </si>
  <si>
    <t>WGBH</t>
  </si>
  <si>
    <t>1b2dc5a6137a76fc34ed2bbb</t>
  </si>
  <si>
    <t>Low water in Rome’s drought-hit Tiber river exposes ancient ruins of Nero’s Bridge</t>
  </si>
  <si>
    <t>羅馬遭受乾旱的台伯河水位較低，尼祿橋的古遺址暴露在外</t>
  </si>
  <si>
    <t>CNN</t>
  </si>
  <si>
    <t>77a261ac06b080cd408c79c1</t>
  </si>
  <si>
    <t>Forecasters say California could face 'historic' El Niño winter; Bay Area communities step up flood preps</t>
  </si>
  <si>
    <t>預報員稱加州可能面臨「歷史性」厄爾尼諾冬季；灣區社區加強防洪準備</t>
  </si>
  <si>
    <t>ca4e9af9dfaad7ca05478678</t>
  </si>
  <si>
    <t>Strong El Niño May Bring Record Sea Level and Coastal Flooding to Bay Area</t>
  </si>
  <si>
    <t>強烈的厄爾尼諾現象可能會為灣區帶來創紀錄的海平面和沿海洪水</t>
  </si>
  <si>
    <t>KQED</t>
  </si>
  <si>
    <t>f1990eede4bc1a21f93b71a5</t>
  </si>
  <si>
    <t>Welltower</t>
  </si>
  <si>
    <t>Emotional impact from tornado can surface well after the event for those affected</t>
  </si>
  <si>
    <t>龍捲風對受影響者的情緒影響可能會在事件發生後很長一段時間內顯現出來</t>
  </si>
  <si>
    <t>WSAW</t>
  </si>
  <si>
    <t>a685f1017a112edc4a5988c8</t>
  </si>
  <si>
    <t>Visa Inc.</t>
  </si>
  <si>
    <t>Tropical Storm &amp; Hurricane watches v. warnings: What’s the difference?</t>
  </si>
  <si>
    <t>熱帶風暴和颶風監視與警告：有什麼區別？</t>
  </si>
  <si>
    <t>KHON2</t>
  </si>
  <si>
    <t>59c3d9981eb7d9842a5fa51c</t>
  </si>
  <si>
    <t>Missouri Flood and Drought App Builds Disaster Preparedness</t>
  </si>
  <si>
    <t>密蘇裡州洪水和乾旱應用程式建立防災能力</t>
  </si>
  <si>
    <t>8b5e06822e9467c5b0aed26b</t>
  </si>
  <si>
    <t>Robinhood Markets</t>
  </si>
  <si>
    <t>Job fair underway at MGCCC for Hood Industries employees, flood victims</t>
  </si>
  <si>
    <r>
      <rPr>
        <sz val="10"/>
        <rFont val="Arial"/>
        <family val="2"/>
      </rPr>
      <t xml:space="preserve">MGCCC </t>
    </r>
    <r>
      <rPr>
        <sz val="10"/>
        <rFont val="Noto Sans CJK SC"/>
        <family val="2"/>
      </rPr>
      <t xml:space="preserve">正在為 </t>
    </r>
    <r>
      <rPr>
        <sz val="10"/>
        <rFont val="Arial"/>
        <family val="2"/>
      </rPr>
      <t xml:space="preserve">Hood Industries </t>
    </r>
    <r>
      <rPr>
        <sz val="10"/>
        <rFont val="Noto Sans CJK SC"/>
        <family val="2"/>
      </rPr>
      <t>員工和洪水災民舉辦招聘會</t>
    </r>
  </si>
  <si>
    <t>WXXV News 25</t>
  </si>
  <si>
    <t>c2a2c1fc6a531c3009da618b</t>
  </si>
  <si>
    <t>Regency Centers</t>
  </si>
  <si>
    <t>NPP Reg. Executive elections: Incumbent Bukari secures landslide mandate, vows 2028 unity victory</t>
  </si>
  <si>
    <r>
      <rPr>
        <sz val="10"/>
        <rFont val="Noto Sans CJK SC"/>
        <family val="2"/>
      </rPr>
      <t xml:space="preserve">核電廠註冊行政選舉：現任布卡里獲得壓倒性授權，誓言 </t>
    </r>
    <r>
      <rPr>
        <sz val="10"/>
        <rFont val="Arial"/>
        <family val="2"/>
      </rPr>
      <t xml:space="preserve">2028 </t>
    </r>
    <r>
      <rPr>
        <sz val="10"/>
        <rFont val="Noto Sans CJK SC"/>
        <family val="2"/>
      </rPr>
      <t>年團結勝利</t>
    </r>
  </si>
  <si>
    <t>modernghana.com</t>
  </si>
  <si>
    <t>1d6bf176ccf77d1e7eafac50</t>
  </si>
  <si>
    <t>San Jose Earthquakes v Minnesota Utd Odds</t>
  </si>
  <si>
    <r>
      <rPr>
        <sz val="10"/>
        <rFont val="Noto Sans CJK SC"/>
        <family val="2"/>
      </rPr>
      <t xml:space="preserve">聖荷西地震 </t>
    </r>
    <r>
      <rPr>
        <sz val="10"/>
        <rFont val="Arial"/>
        <family val="2"/>
      </rPr>
      <t xml:space="preserve">v </t>
    </r>
    <r>
      <rPr>
        <sz val="10"/>
        <rFont val="Noto Sans CJK SC"/>
        <family val="2"/>
      </rPr>
      <t>明尼蘇達聯隊 賠率</t>
    </r>
  </si>
  <si>
    <t>FanDuel Sportsbook</t>
  </si>
  <si>
    <t>cc3b8159b78e38bc3746eab0</t>
  </si>
  <si>
    <t>El Niño keeps Atlantic hurricane activity unusually quiet</t>
  </si>
  <si>
    <t>厄爾尼諾現象使大西洋颶風活動異常平靜</t>
  </si>
  <si>
    <t>fpren.org</t>
  </si>
  <si>
    <t>19636fc6066b4628a348e767</t>
  </si>
  <si>
    <t>NiSource</t>
  </si>
  <si>
    <t>Kagwe assures Kenyans of food security despite drought threat ni</t>
  </si>
  <si>
    <t>卡格威向肯亞人民保證糧食安全，儘管面臨乾旱威脅</t>
  </si>
  <si>
    <t>the-star.co.ke</t>
  </si>
  <si>
    <t>53ab3950961552478d4c57b4</t>
  </si>
  <si>
    <t>HDOT Director Ed Sniffen gives update on closures, road conditions affected by Hurricane Lala</t>
  </si>
  <si>
    <r>
      <rPr>
        <sz val="10"/>
        <rFont val="Arial"/>
        <family val="2"/>
      </rPr>
      <t xml:space="preserve">HDOT </t>
    </r>
    <r>
      <rPr>
        <sz val="10"/>
        <rFont val="Noto Sans CJK SC"/>
        <family val="2"/>
      </rPr>
      <t xml:space="preserve">總監 </t>
    </r>
    <r>
      <rPr>
        <sz val="10"/>
        <rFont val="Arial"/>
        <family val="2"/>
      </rPr>
      <t xml:space="preserve">Ed Sniffen </t>
    </r>
    <r>
      <rPr>
        <sz val="10"/>
        <rFont val="Noto Sans CJK SC"/>
        <family val="2"/>
      </rPr>
      <t>介紹了受颶風拉拉影響的封閉和路況的最新情況</t>
    </r>
  </si>
  <si>
    <t>Hawaii News Now</t>
  </si>
  <si>
    <t>7a65afbf862208aec0e28d40</t>
  </si>
  <si>
    <t>City urges residents to stay safe as Hurricane Lala passes O‘ahu; TheBus service temporarily suspended due to extreme weather</t>
  </si>
  <si>
    <t>颶風拉拉經過歐胡島時，市政府敦促居民保持安全；巴士服務因極端天氣而暫停</t>
  </si>
  <si>
    <t>City and County of Honolulu (.gov)</t>
  </si>
  <si>
    <t>a2f6a7d1a9837b498c452ac1</t>
  </si>
  <si>
    <t>ABC-7 First Alert: Flash Flood Warning for East El Paso County including Far East El Paso, Homestead Meadows, and Montana Vista until 8:30 PM</t>
  </si>
  <si>
    <r>
      <rPr>
        <sz val="10"/>
        <rFont val="Arial"/>
        <family val="2"/>
      </rPr>
      <t xml:space="preserve">ABC-7 </t>
    </r>
    <r>
      <rPr>
        <sz val="10"/>
        <rFont val="Noto Sans CJK SC"/>
        <family val="2"/>
      </rPr>
      <t>第一個警報：東埃爾帕索縣（包括遠東埃爾帕索、</t>
    </r>
    <r>
      <rPr>
        <sz val="10"/>
        <rFont val="Arial"/>
        <family val="2"/>
      </rPr>
      <t xml:space="preserve">Homestead Meadows </t>
    </r>
    <r>
      <rPr>
        <sz val="10"/>
        <rFont val="Noto Sans CJK SC"/>
        <family val="2"/>
      </rPr>
      <t xml:space="preserve">和 </t>
    </r>
    <r>
      <rPr>
        <sz val="10"/>
        <rFont val="Arial"/>
        <family val="2"/>
      </rPr>
      <t>Montana Vista</t>
    </r>
    <r>
      <rPr>
        <sz val="10"/>
        <rFont val="Noto Sans CJK SC"/>
        <family val="2"/>
      </rPr>
      <t xml:space="preserve">）的山洪警報持續至晚上 </t>
    </r>
    <r>
      <rPr>
        <sz val="10"/>
        <rFont val="Arial"/>
        <family val="2"/>
      </rPr>
      <t>8:30</t>
    </r>
  </si>
  <si>
    <t>KVIA</t>
  </si>
  <si>
    <t>fa5aacad9656034ff5017b50</t>
  </si>
  <si>
    <t>City opens eight hurricane refuge areas as O‘ahu prepares for Hurricane Lala</t>
  </si>
  <si>
    <t>歐胡島為颶風拉拉做準備，市政府開放了八個颶風避難區</t>
  </si>
  <si>
    <t>honolulu.gov</t>
  </si>
  <si>
    <t>64fa53d0c7056eec4552ea93</t>
  </si>
  <si>
    <t>LOOK: Some areas in Manila are experiencing gutter-deep flooding amid moderate to heavy rains and strong winds as of 8:00 am this Monday, Aug. 17. Affected areas: - Mabini Street cor. Pedro Gil - Gutter Deep - Mabini Street cor. Arsenio Herrera - Gutter De</t>
  </si>
  <si>
    <r>
      <rPr>
        <sz val="10"/>
        <rFont val="Noto Sans CJK SC"/>
        <family val="2"/>
      </rPr>
      <t xml:space="preserve">請注意：截至 </t>
    </r>
    <r>
      <rPr>
        <sz val="10"/>
        <rFont val="Arial"/>
        <family val="2"/>
      </rPr>
      <t xml:space="preserve">8 </t>
    </r>
    <r>
      <rPr>
        <sz val="10"/>
        <rFont val="Noto Sans CJK SC"/>
        <family val="2"/>
      </rPr>
      <t xml:space="preserve">月 </t>
    </r>
    <r>
      <rPr>
        <sz val="10"/>
        <rFont val="Arial"/>
        <family val="2"/>
      </rPr>
      <t xml:space="preserve">17 </t>
    </r>
    <r>
      <rPr>
        <sz val="10"/>
        <rFont val="Noto Sans CJK SC"/>
        <family val="2"/>
      </rPr>
      <t xml:space="preserve">日星期一上午 </t>
    </r>
    <r>
      <rPr>
        <sz val="10"/>
        <rFont val="Arial"/>
        <family val="2"/>
      </rPr>
      <t>8:00</t>
    </r>
    <r>
      <rPr>
        <sz val="10"/>
        <rFont val="Noto Sans CJK SC"/>
        <family val="2"/>
      </rPr>
      <t xml:space="preserve">，馬尼拉的一些地區正在經歷中度到大雨和強風的洪水。受影響的地區： </t>
    </r>
    <r>
      <rPr>
        <sz val="10"/>
        <rFont val="Arial"/>
        <family val="2"/>
      </rPr>
      <t>- Mabini Street cor.</t>
    </r>
    <r>
      <rPr>
        <sz val="10"/>
        <rFont val="Noto Sans CJK SC"/>
        <family val="2"/>
      </rPr>
      <t>佩德羅</t>
    </r>
    <r>
      <rPr>
        <sz val="10"/>
        <rFont val="Arial"/>
        <family val="2"/>
      </rPr>
      <t>·</t>
    </r>
    <r>
      <rPr>
        <sz val="10"/>
        <rFont val="Noto Sans CJK SC"/>
        <family val="2"/>
      </rPr>
      <t xml:space="preserve">吉爾 </t>
    </r>
    <r>
      <rPr>
        <sz val="10"/>
        <rFont val="Arial"/>
        <family val="2"/>
      </rPr>
      <t xml:space="preserve">- </t>
    </r>
    <r>
      <rPr>
        <sz val="10"/>
        <rFont val="Noto Sans CJK SC"/>
        <family val="2"/>
      </rPr>
      <t xml:space="preserve">深溝 </t>
    </r>
    <r>
      <rPr>
        <sz val="10"/>
        <rFont val="Arial"/>
        <family val="2"/>
      </rPr>
      <t xml:space="preserve">- </t>
    </r>
    <r>
      <rPr>
        <sz val="10"/>
        <rFont val="Noto Sans CJK SC"/>
        <family val="2"/>
      </rPr>
      <t xml:space="preserve">馬比尼街 </t>
    </r>
    <r>
      <rPr>
        <sz val="10"/>
        <rFont val="Arial"/>
        <family val="2"/>
      </rPr>
      <t>Cor</t>
    </r>
    <r>
      <rPr>
        <sz val="10"/>
        <rFont val="Noto Sans CJK SC"/>
        <family val="2"/>
      </rPr>
      <t>。阿塞尼奧</t>
    </r>
    <r>
      <rPr>
        <sz val="10"/>
        <rFont val="Arial"/>
        <family val="2"/>
      </rPr>
      <t>·</t>
    </r>
    <r>
      <rPr>
        <sz val="10"/>
        <rFont val="Noto Sans CJK SC"/>
        <family val="2"/>
      </rPr>
      <t xml:space="preserve">埃雷拉 </t>
    </r>
    <r>
      <rPr>
        <sz val="10"/>
        <rFont val="Arial"/>
        <family val="2"/>
      </rPr>
      <t>- Gutter De</t>
    </r>
  </si>
  <si>
    <t>8a83a61b375af7ce59bea927</t>
  </si>
  <si>
    <t>Water level of Danube River approaches record-low due to severe drought</t>
  </si>
  <si>
    <t>嚴重乾旱導致多瑙河水位創歷史新低</t>
  </si>
  <si>
    <t>Xinhua</t>
  </si>
  <si>
    <t>0cb00ad222a69e8922ce0a2a</t>
  </si>
  <si>
    <t>Water level of Danube River approaches record-low due to severe drought-Xinhua</t>
  </si>
  <si>
    <r>
      <rPr>
        <sz val="10"/>
        <rFont val="Noto Sans CJK SC"/>
        <family val="2"/>
      </rPr>
      <t>受嚴重乾旱影響，多瑙河水位創歷史新低</t>
    </r>
    <r>
      <rPr>
        <sz val="10"/>
        <rFont val="Arial"/>
        <family val="2"/>
      </rPr>
      <t>-</t>
    </r>
    <r>
      <rPr>
        <sz val="10"/>
        <rFont val="Noto Sans CJK SC"/>
        <family val="2"/>
      </rPr>
      <t>新華社</t>
    </r>
  </si>
  <si>
    <t>新华网</t>
  </si>
  <si>
    <t>39e3a9819e33f1fc0aec434b</t>
  </si>
  <si>
    <t>Moderate to heavy rain with strong winds are currently affecting parts of Manila as of 7:18 a.m., Aug. 17, 2026, according to the Manila DRRM. Gutter-deep flooding reported along: • Quirino Ave. (Vito Cruz) • Quirino Ave. cor. Taft Ave. • Quirino Ave. SB • Padre</t>
  </si>
  <si>
    <r>
      <rPr>
        <sz val="10"/>
        <rFont val="Noto Sans CJK SC"/>
        <family val="2"/>
      </rPr>
      <t xml:space="preserve">據馬尼拉 </t>
    </r>
    <r>
      <rPr>
        <sz val="10"/>
        <rFont val="Arial"/>
        <family val="2"/>
      </rPr>
      <t xml:space="preserve">DRRM </t>
    </r>
    <r>
      <rPr>
        <sz val="10"/>
        <rFont val="Noto Sans CJK SC"/>
        <family val="2"/>
      </rPr>
      <t xml:space="preserve">稱，截至 </t>
    </r>
    <r>
      <rPr>
        <sz val="10"/>
        <rFont val="Arial"/>
        <family val="2"/>
      </rPr>
      <t xml:space="preserve">2026 </t>
    </r>
    <r>
      <rPr>
        <sz val="10"/>
        <rFont val="Noto Sans CJK SC"/>
        <family val="2"/>
      </rPr>
      <t xml:space="preserve">年 </t>
    </r>
    <r>
      <rPr>
        <sz val="10"/>
        <rFont val="Arial"/>
        <family val="2"/>
      </rPr>
      <t xml:space="preserve">8 </t>
    </r>
    <r>
      <rPr>
        <sz val="10"/>
        <rFont val="Noto Sans CJK SC"/>
        <family val="2"/>
      </rPr>
      <t xml:space="preserve">月 </t>
    </r>
    <r>
      <rPr>
        <sz val="10"/>
        <rFont val="Arial"/>
        <family val="2"/>
      </rPr>
      <t xml:space="preserve">17 </t>
    </r>
    <r>
      <rPr>
        <sz val="10"/>
        <rFont val="Noto Sans CJK SC"/>
        <family val="2"/>
      </rPr>
      <t xml:space="preserve">日上午 </t>
    </r>
    <r>
      <rPr>
        <sz val="10"/>
        <rFont val="Arial"/>
        <family val="2"/>
      </rPr>
      <t xml:space="preserve">7 </t>
    </r>
    <r>
      <rPr>
        <sz val="10"/>
        <rFont val="Noto Sans CJK SC"/>
        <family val="2"/>
      </rPr>
      <t xml:space="preserve">點 </t>
    </r>
    <r>
      <rPr>
        <sz val="10"/>
        <rFont val="Arial"/>
        <family val="2"/>
      </rPr>
      <t xml:space="preserve">18 </t>
    </r>
    <r>
      <rPr>
        <sz val="10"/>
        <rFont val="Noto Sans CJK SC"/>
        <family val="2"/>
      </rPr>
      <t xml:space="preserve">分，中到大雨和強風目前正在影響馬尼拉部分地區。沿線報告了排水溝深度洪水： • </t>
    </r>
    <r>
      <rPr>
        <sz val="10"/>
        <rFont val="Arial"/>
        <family val="2"/>
      </rPr>
      <t>Quirino Ave. (Vito Cruz) • Quirino Ave. cor. (Vito Cruz)</t>
    </r>
    <r>
      <rPr>
        <sz val="10"/>
        <rFont val="Noto Sans CJK SC"/>
        <family val="2"/>
      </rPr>
      <t xml:space="preserve">塔夫脫大街 • </t>
    </r>
    <r>
      <rPr>
        <sz val="10"/>
        <rFont val="Arial"/>
        <family val="2"/>
      </rPr>
      <t xml:space="preserve">Quirino </t>
    </r>
    <r>
      <rPr>
        <sz val="10"/>
        <rFont val="Noto Sans CJK SC"/>
        <family val="2"/>
      </rPr>
      <t xml:space="preserve">大街 </t>
    </r>
    <r>
      <rPr>
        <sz val="10"/>
        <rFont val="Arial"/>
        <family val="2"/>
      </rPr>
      <t>SB • Padre</t>
    </r>
  </si>
  <si>
    <t>8b011d5d5d9603efb1628bfc</t>
  </si>
  <si>
    <t>Flood warning issued for parts of El Paso, Dona Ana counties</t>
  </si>
  <si>
    <t>埃爾帕索縣、多納安娜縣部分地區發布洪水警告</t>
  </si>
  <si>
    <t>8ce4d30b1713a06ce443921c</t>
  </si>
  <si>
    <t>Flood watch issued for parts of El Paso, Dona Ana counties</t>
  </si>
  <si>
    <t>埃爾帕索縣、多納安娜縣部分地區發布洪水警戒</t>
  </si>
  <si>
    <t>KTSM 9 News</t>
  </si>
  <si>
    <t>adab33f934b0c85558c07b4a</t>
  </si>
  <si>
    <t>Lake Powell water levels reach all-time low amid severe drought</t>
  </si>
  <si>
    <t>嚴重乾旱導致鮑威爾湖水位達到歷史最低水平</t>
  </si>
  <si>
    <t>upi.com</t>
  </si>
  <si>
    <t>c2f23cbfd895d061387985d7</t>
  </si>
  <si>
    <t>Firefighters Contain, Extinguish Six New Wildfires On Okanogan-Wenatchee Nat’l Forest</t>
  </si>
  <si>
    <r>
      <rPr>
        <sz val="10"/>
        <rFont val="Noto Sans CJK SC"/>
        <family val="2"/>
      </rPr>
      <t>消防隊員遏制並撲滅了奧卡諾根</t>
    </r>
    <r>
      <rPr>
        <sz val="10"/>
        <rFont val="Arial"/>
        <family val="2"/>
      </rPr>
      <t>-</t>
    </r>
    <r>
      <rPr>
        <sz val="10"/>
        <rFont val="Noto Sans CJK SC"/>
        <family val="2"/>
      </rPr>
      <t>韋納奇國家森林的六場新野火</t>
    </r>
  </si>
  <si>
    <t>NewsRadio 560 KPQ</t>
  </si>
  <si>
    <t>441a0af1a950e2c5beccb114</t>
  </si>
  <si>
    <t>ABC-7 First Alert: Flash Flood Warning for Far East El Paso, Homestead Meadows, and Montana Vista until 7:15 PM</t>
  </si>
  <si>
    <r>
      <rPr>
        <sz val="10"/>
        <rFont val="Arial"/>
        <family val="2"/>
      </rPr>
      <t xml:space="preserve">ABC-7 </t>
    </r>
    <r>
      <rPr>
        <sz val="10"/>
        <rFont val="Noto Sans CJK SC"/>
        <family val="2"/>
      </rPr>
      <t>第一個警報：遠東埃爾帕索、</t>
    </r>
    <r>
      <rPr>
        <sz val="10"/>
        <rFont val="Arial"/>
        <family val="2"/>
      </rPr>
      <t xml:space="preserve">Homestead Meadows </t>
    </r>
    <r>
      <rPr>
        <sz val="10"/>
        <rFont val="Noto Sans CJK SC"/>
        <family val="2"/>
      </rPr>
      <t xml:space="preserve">和 </t>
    </r>
    <r>
      <rPr>
        <sz val="10"/>
        <rFont val="Arial"/>
        <family val="2"/>
      </rPr>
      <t xml:space="preserve">Montana Vista </t>
    </r>
    <r>
      <rPr>
        <sz val="10"/>
        <rFont val="Noto Sans CJK SC"/>
        <family val="2"/>
      </rPr>
      <t xml:space="preserve">的山洪警報持續至晚上 </t>
    </r>
    <r>
      <rPr>
        <sz val="10"/>
        <rFont val="Arial"/>
        <family val="2"/>
      </rPr>
      <t>7:15</t>
    </r>
  </si>
  <si>
    <t>05e980b2a4abeb352678934e</t>
  </si>
  <si>
    <t>Wildfire near Mt. Hood Meadows</t>
  </si>
  <si>
    <t>胡德山草甸附近的野火</t>
  </si>
  <si>
    <t>OregonLive.com</t>
  </si>
  <si>
    <t>6d2feea850a52fbc152bbd10</t>
  </si>
  <si>
    <t>'Mother Nature always wins' | Flood waters cut through Hazel Dell Parkway bridge, crews asking for space as they work to assess damage</t>
  </si>
  <si>
    <r>
      <rPr>
        <sz val="10"/>
        <rFont val="Noto Sans CJK SC"/>
        <family val="2"/>
      </rPr>
      <t>「大自然總是勝利」</t>
    </r>
    <r>
      <rPr>
        <sz val="10"/>
        <rFont val="Arial"/>
        <family val="2"/>
      </rPr>
      <t>|</t>
    </r>
    <r>
      <rPr>
        <sz val="10"/>
        <rFont val="Noto Sans CJK SC"/>
        <family val="2"/>
      </rPr>
      <t xml:space="preserve">洪水沖垮了 </t>
    </r>
    <r>
      <rPr>
        <sz val="10"/>
        <rFont val="Arial"/>
        <family val="2"/>
      </rPr>
      <t xml:space="preserve">Hazel Dell Parkway </t>
    </r>
    <r>
      <rPr>
        <sz val="10"/>
        <rFont val="Noto Sans CJK SC"/>
        <family val="2"/>
      </rPr>
      <t>大橋，工作人員在評估損失時要求騰出空間</t>
    </r>
  </si>
  <si>
    <t>WTHR</t>
  </si>
  <si>
    <t>de88dbbab1bc44a277cf9d86</t>
  </si>
  <si>
    <t>Montana in Far East El Paso reopened after flooding caused overnight closure</t>
  </si>
  <si>
    <t>蒙大拿州遠東地區埃爾帕索在洪水導致夜間關閉後重新開放</t>
  </si>
  <si>
    <t>242e7a8d72bcf93bd705396c</t>
  </si>
  <si>
    <t>WATCH: Drone footage shows Hazel Dell Parkway bridge collapse after flooding</t>
  </si>
  <si>
    <r>
      <rPr>
        <sz val="10"/>
        <rFont val="Noto Sans CJK SC"/>
        <family val="2"/>
      </rPr>
      <t xml:space="preserve">觀看：無人機鏡頭顯示 </t>
    </r>
    <r>
      <rPr>
        <sz val="10"/>
        <rFont val="Arial"/>
        <family val="2"/>
      </rPr>
      <t xml:space="preserve">Hazel Dell Parkway </t>
    </r>
    <r>
      <rPr>
        <sz val="10"/>
        <rFont val="Noto Sans CJK SC"/>
        <family val="2"/>
      </rPr>
      <t>橋樑在洪水後倒塌</t>
    </r>
  </si>
  <si>
    <t>0b541c2e752404d4465b6fe5</t>
  </si>
  <si>
    <t>2026-08-18</t>
  </si>
  <si>
    <t>What: Public Safety Patrol When: August 19, 2026 1003H Where: Bluementritt cor. España Blvd. Status: Negative for flooded area as of 1003H Unit: DMAX3 T.O: B. Mendoza Crew: B. Santos (Source: Manila City DRRM Department) #ManilaPIO #AlertoManile</t>
  </si>
  <si>
    <t>cef13a3c747e25f7c286fb7c</t>
  </si>
  <si>
    <t>Wildfires and extreme heat show climate change is now Europe’s biggest security threat</t>
  </si>
  <si>
    <t>Chatham House</t>
  </si>
  <si>
    <t>584d67c4f9af2372ea1714ff</t>
  </si>
  <si>
    <t>Wildfire updates: Level 1 evacuation order lifted for Mt. Hood corridor</t>
  </si>
  <si>
    <t>c5ebbbd5cab22dfbdfe435b3</t>
  </si>
  <si>
    <t>More than 700 cats survive Hurricane Lala as Hawaii cat sanctuary faces $20K in damage</t>
  </si>
  <si>
    <t>newscentermaine.com</t>
  </si>
  <si>
    <t>fb3022116b0e83adc2eeb886</t>
  </si>
  <si>
    <t>One month of wildfires has cost Washington state over $200 million</t>
  </si>
  <si>
    <t>Planetizen</t>
  </si>
  <si>
    <t>c6d550ce7518a6317ddb4658</t>
  </si>
  <si>
    <t>Nevada Air Guard C-130 departs Reno to support western wildfire fight</t>
  </si>
  <si>
    <t>dailydispatch.com</t>
  </si>
  <si>
    <t>c07fb26c29fb7542aebd1033</t>
  </si>
  <si>
    <t>Fast-spreading wildfire threatens structures near China Spring</t>
  </si>
  <si>
    <t>KCENTV.com</t>
  </si>
  <si>
    <t>d1b990d8b8cd706ccea45a4c</t>
  </si>
  <si>
    <t>WATCH: New video shows fast-moving water flood Metro bus during July storms</t>
  </si>
  <si>
    <t>WLWT</t>
  </si>
  <si>
    <t>db070a980a254deb9b99b516</t>
  </si>
  <si>
    <t>O’Reilly Automotive</t>
  </si>
  <si>
    <t>Former Marines Orly Guteza reportedly detailed in his recantation how his former statements had been forced upon him so he could link Leyte 1st District Rep. Martin Romualdez to the flood control controversy. https://tinyurl.com/5cyhaehr</t>
  </si>
  <si>
    <t>b52b9dfcd55a0b7eb55b1761</t>
  </si>
  <si>
    <t>Fast-moving wildfires leave forests less able to recover, Western study finds</t>
  </si>
  <si>
    <t>Gunnison Country Times</t>
  </si>
  <si>
    <t>67c3e7e284a83a649e23c686</t>
  </si>
  <si>
    <t>Mount Hood loses Level 1 evacuation as wildfire moves away</t>
  </si>
  <si>
    <t>youroregonnews.com</t>
  </si>
  <si>
    <t>987a69de482d8d13094bacef</t>
  </si>
  <si>
    <t>Oregon wildfire update: Austin Fire on Mt. Hood &amp; new fires in Baker County</t>
  </si>
  <si>
    <t>FOX Carolina News</t>
  </si>
  <si>
    <t>6a76c1d930b98b65b127a6d0</t>
  </si>
  <si>
    <t>Fast-moving wildfire amid shifting winds threatens Reno, Nevada, forcing thousands to evacuate - ABC News</t>
  </si>
  <si>
    <t>ABC News - Breaking News, Latest News and Videos</t>
  </si>
  <si>
    <t>6b0ed33262dd930953ef26b7</t>
  </si>
  <si>
    <t>Mt. Hood National Forest expands closures as wildfires burn - Oregon Public Broadcasting</t>
  </si>
  <si>
    <t>Oregon Public Broadcasting - OPB</t>
  </si>
  <si>
    <t>b975509b6161afbd04e87c97</t>
  </si>
  <si>
    <t>Researchers at USF St. Pete develop flood tracking app</t>
  </si>
  <si>
    <t>wtsp.com</t>
  </si>
  <si>
    <t>c43c71c15a905db520665db4</t>
  </si>
  <si>
    <t>Don’t forget the trees during drought!</t>
  </si>
  <si>
    <t>Denver Water</t>
  </si>
  <si>
    <t>568cc21c4bc2a88c1be6ec1c</t>
  </si>
  <si>
    <t>Sarasota County shifts millions toward key hurricane evacuation route</t>
  </si>
  <si>
    <t>heraldtribune.com</t>
  </si>
  <si>
    <t>e94e485530b2d99fb9096274</t>
  </si>
  <si>
    <t>Sunday wildfire update: Austin Fire in Mt. Hood Forest &amp; Oregon vet dies in OK wildfire</t>
  </si>
  <si>
    <t>FOX5 Vegas</t>
  </si>
  <si>
    <t>55c775a3bcefb8fea9e0f364</t>
  </si>
  <si>
    <t>Lowell now a category 5 hurricane, forecast to make a northward turn this weekend</t>
  </si>
  <si>
    <t>c60eac3f97014e21e8d853b6</t>
  </si>
  <si>
    <t>Intercontinental Exchange</t>
  </si>
  <si>
    <t>The Nepal and Tibet flood is a warning: melting snow and ice will bring more disasters around the world | Bill McGuire</t>
  </si>
  <si>
    <t>theguardian.com</t>
  </si>
  <si>
    <t>468f94bc12a78e89efda0cca</t>
  </si>
  <si>
    <t>Wildfires at Fort Hood burn 965 acres</t>
  </si>
  <si>
    <t>The Killeen Daily Herald</t>
  </si>
  <si>
    <t>66768720728d18e244880137</t>
  </si>
  <si>
    <t>Reducing Indonesia wildfires will be challenging as El Niño peaks this month, minister warns</t>
  </si>
  <si>
    <t>b1b55281d280636e38c53fee</t>
  </si>
  <si>
    <t>Map shows where the 2026 ‘super’ El Niño could bring lots of rain, extreme drought</t>
  </si>
  <si>
    <t>NEWS10 ABC</t>
  </si>
  <si>
    <t>f85908485c9568428bd93ac5</t>
  </si>
  <si>
    <t>Potentially historic 'Super El Nino' triggers preparations for possible flooding in LA County</t>
  </si>
  <si>
    <t>ABC7 Los Angeles</t>
  </si>
  <si>
    <t>76ca5f68cdc8237e29546003</t>
  </si>
  <si>
    <t>Photo Essay: As a Super El Niño Looms, Indonesia’s Crippling Drought Deepens</t>
  </si>
  <si>
    <t>The Revelator</t>
  </si>
  <si>
    <t>e369bbeab5763845fdf0391f</t>
  </si>
  <si>
    <t>Molson Coors Beverage Company</t>
  </si>
  <si>
    <t>Wet Wednesday on tap, localized flooding possible in Central Florida</t>
  </si>
  <si>
    <t>wftv.com</t>
  </si>
  <si>
    <t>37dca0d9047cc48ec3a1de28</t>
  </si>
  <si>
    <t>100 homes in 100 days: Menasha volunteers to fix tornado damage before winter</t>
  </si>
  <si>
    <t>WPR</t>
  </si>
  <si>
    <t>ae81a30e7fd740fe32dd462c</t>
  </si>
  <si>
    <t>'Testament to the Power of the Progressive Movement': Ed Markey Beats Seth Moulton in Landslide</t>
  </si>
  <si>
    <t>Common Dreams</t>
  </si>
  <si>
    <t>6d44122a899be2a9240a1d89</t>
  </si>
  <si>
    <t>Nepal’s Economy Has Few Ways to Absorb the Cost of Flood Damage</t>
  </si>
  <si>
    <t>4aad631f5f68983a3b2f295c</t>
  </si>
  <si>
    <t>11ca689195a9d63731a97c0d</t>
  </si>
  <si>
    <t>Volunteers at El Dorado County's Pilot Peak keep watch for wildfires</t>
  </si>
  <si>
    <t>54eb0e1d95bd2c26ab890f5f</t>
  </si>
  <si>
    <t>El Dorado County volunteers keep watch for wildfires</t>
  </si>
  <si>
    <t>17bdadaaee4ddbbd33526a8c</t>
  </si>
  <si>
    <t>Are recent downpours a quick fix for Utah's drought? Sadly... no</t>
  </si>
  <si>
    <t>FOX 13 News Utah</t>
  </si>
  <si>
    <t>edbc028f5687b8e195a3589c</t>
  </si>
  <si>
    <t>NOAA says El Niño could keep Atlantic hurricanes below normal</t>
  </si>
  <si>
    <t>koco.com</t>
  </si>
  <si>
    <t>f93ce4b5015bc157566772ba</t>
  </si>
  <si>
    <t>Map shows where the 2026 ‘super’ El Niño could bring lots of rain, extreme drought: how will NY and NJ fare?</t>
  </si>
  <si>
    <t>PIX11</t>
  </si>
  <si>
    <t>542dead5acab2371c64f0a82</t>
  </si>
  <si>
    <t>Strengthening El Niño weakens Atlantic hurricane season</t>
  </si>
  <si>
    <t>Audacy</t>
  </si>
  <si>
    <t>aa8b9ef827e89c7728cbfaaa</t>
  </si>
  <si>
    <t>Verisk Analytics</t>
  </si>
  <si>
    <t>Verisk says insurance claims losses from Hurricane Isaias could be as high as $2 billion</t>
  </si>
  <si>
    <r>
      <rPr>
        <sz val="10"/>
        <rFont val="Arial"/>
        <family val="2"/>
      </rPr>
      <t xml:space="preserve">Verisk </t>
    </r>
    <r>
      <rPr>
        <sz val="10"/>
        <rFont val="Noto Sans CJK SC"/>
        <family val="2"/>
      </rPr>
      <t xml:space="preserve">表示，伊薩亞斯颶風造成的保險索賠損失可能高達 </t>
    </r>
    <r>
      <rPr>
        <sz val="10"/>
        <rFont val="Arial"/>
        <family val="2"/>
      </rPr>
      <t xml:space="preserve">20 </t>
    </r>
    <r>
      <rPr>
        <sz val="10"/>
        <rFont val="Noto Sans CJK SC"/>
        <family val="2"/>
      </rPr>
      <t>億美元</t>
    </r>
  </si>
  <si>
    <t>000331a61ffd0ce9b3d97e27</t>
  </si>
  <si>
    <t>Vertex Pharmaceuticals</t>
  </si>
  <si>
    <t>Sionna因臨床試驗受挫而取消遺傳性疾病藥物研發項目；股價暴跌</t>
  </si>
  <si>
    <r>
      <rPr>
        <sz val="10"/>
        <rFont val="Arial"/>
        <family val="2"/>
      </rPr>
      <t>Sionna</t>
    </r>
    <r>
      <rPr>
        <sz val="10"/>
        <rFont val="Noto Sans CJK SC"/>
        <family val="2"/>
      </rPr>
      <t>因臨床試驗受挫而取消遺傳性疾病藥物研發項目；股價暴跌</t>
    </r>
  </si>
  <si>
    <t>股價下跌</t>
  </si>
  <si>
    <t>a9056688be3c9286a0dd8abd</t>
  </si>
  <si>
    <t>Cerebras股價重挫，喜憂參半的季度業績令其AI增長敘事面臨考驗</t>
  </si>
  <si>
    <r>
      <rPr>
        <sz val="10"/>
        <rFont val="Arial"/>
        <family val="2"/>
      </rPr>
      <t>Cerebras</t>
    </r>
    <r>
      <rPr>
        <sz val="10"/>
        <rFont val="Noto Sans CJK SC"/>
        <family val="2"/>
      </rPr>
      <t>股價重挫，喜憂參半的季度業績令其</t>
    </r>
    <r>
      <rPr>
        <sz val="10"/>
        <rFont val="Arial"/>
        <family val="2"/>
      </rPr>
      <t>AI</t>
    </r>
    <r>
      <rPr>
        <sz val="10"/>
        <rFont val="Noto Sans CJK SC"/>
        <family val="2"/>
      </rPr>
      <t>增長敘事面臨考驗</t>
    </r>
  </si>
  <si>
    <t>b27ff1a1eb8711abe3d8c419</t>
  </si>
  <si>
    <t>營收利潤雙超預期，AI訂單爆了！思科為何盤後重挫？</t>
  </si>
  <si>
    <r>
      <rPr>
        <sz val="10"/>
        <rFont val="Noto Sans CJK SC"/>
        <family val="2"/>
      </rPr>
      <t>營收利潤雙超預期，</t>
    </r>
    <r>
      <rPr>
        <sz val="10"/>
        <rFont val="Arial"/>
        <family val="2"/>
      </rPr>
      <t>AI</t>
    </r>
    <r>
      <rPr>
        <sz val="10"/>
        <rFont val="Noto Sans CJK SC"/>
        <family val="2"/>
      </rPr>
      <t>訂單爆了！思科為何盤後重挫？</t>
    </r>
  </si>
  <si>
    <t>思科財報雙超預期但盤後股價重挫。</t>
  </si>
  <si>
    <t>2b658db25202461f594b7151</t>
  </si>
  <si>
    <t>應用材料公司股價下跌，因投資者在公司股價表現強勁後尋求更快的增長</t>
  </si>
  <si>
    <t>4ffe5f13d7382d5923efd39f</t>
  </si>
  <si>
    <t>KLA Corporation</t>
  </si>
  <si>
    <t>應用材料公司預測營收將超出預期，但因市場預期過高，股價下跌</t>
  </si>
  <si>
    <t>0c727404f67125ea45d7c05c</t>
  </si>
  <si>
    <t>Lam Research</t>
  </si>
  <si>
    <t>34c068b370562cc422770e47</t>
  </si>
  <si>
    <t>Supermicro</t>
  </si>
  <si>
    <t>惠普企業（HPE）上調了人工智能需求預期，但受供應擔憂影響股價下跌</t>
  </si>
  <si>
    <t>0fbf4ac05b3d45fa73d35894</t>
  </si>
  <si>
    <t>Intuitive Surgical</t>
  </si>
  <si>
    <t>Johnson &amp; Johnson medical device sales weaken, shares fall</t>
  </si>
  <si>
    <t>強生醫療器材銷售疲軟，股價下跌</t>
  </si>
  <si>
    <t>b16bab7f2ddb062afc3851ca</t>
  </si>
  <si>
    <t>美股異動 | 信用風險指標刷新紀錄 Meta(META.US)跌逾5%</t>
  </si>
  <si>
    <r>
      <rPr>
        <sz val="10"/>
        <rFont val="Arial"/>
        <family val="2"/>
      </rPr>
      <t xml:space="preserve">Meta </t>
    </r>
    <r>
      <rPr>
        <sz val="10"/>
        <rFont val="Noto Sans CJK SC"/>
        <family val="2"/>
      </rPr>
      <t>股價下跌逾</t>
    </r>
    <r>
      <rPr>
        <sz val="10"/>
        <rFont val="Arial"/>
        <family val="2"/>
      </rPr>
      <t>5%</t>
    </r>
    <r>
      <rPr>
        <sz val="10"/>
        <rFont val="Noto Sans CJK SC"/>
        <family val="2"/>
      </rPr>
      <t>，但未涉及任何違約或信用風險事件。</t>
    </r>
  </si>
  <si>
    <t>富途牛牛</t>
  </si>
  <si>
    <r>
      <rPr>
        <sz val="10"/>
        <rFont val="Arial"/>
        <family val="2"/>
      </rPr>
      <t xml:space="preserve">Meta </t>
    </r>
    <r>
      <rPr>
        <sz val="10"/>
        <rFont val="Noto Sans CJK SC"/>
        <family val="2"/>
      </rPr>
      <t xml:space="preserve">信用風險指標創紀錄，股價跌逾 </t>
    </r>
    <r>
      <rPr>
        <sz val="10"/>
        <rFont val="Arial"/>
        <family val="2"/>
      </rPr>
      <t>5%</t>
    </r>
    <r>
      <rPr>
        <sz val="10"/>
        <rFont val="Noto Sans CJK SC"/>
        <family val="2"/>
      </rPr>
      <t>。</t>
    </r>
  </si>
  <si>
    <t>7729522a85ed5ee0cb3121c9</t>
  </si>
  <si>
    <t>MRNA</t>
  </si>
  <si>
    <t>Moderna</t>
  </si>
  <si>
    <t>Moderna shares plunge after cancer vaccine data leaks — despite positive results</t>
  </si>
  <si>
    <r>
      <rPr>
        <sz val="10"/>
        <rFont val="Arial"/>
        <family val="2"/>
      </rPr>
      <t xml:space="preserve">Moderna </t>
    </r>
    <r>
      <rPr>
        <sz val="10"/>
        <rFont val="Noto Sans CJK SC"/>
        <family val="2"/>
      </rPr>
      <t>股價因癌症疫苗資料外洩而大幅下跌，儘管結果仍為正面。</t>
    </r>
  </si>
  <si>
    <r>
      <rPr>
        <sz val="10"/>
        <rFont val="Arial"/>
        <family val="2"/>
      </rPr>
      <t xml:space="preserve">Moderna </t>
    </r>
    <r>
      <rPr>
        <sz val="10"/>
        <rFont val="Noto Sans CJK SC"/>
        <family val="2"/>
      </rPr>
      <t xml:space="preserve">癌症疫苗資料外洩，股價暴跌逾 </t>
    </r>
    <r>
      <rPr>
        <sz val="10"/>
        <rFont val="Arial"/>
        <family val="2"/>
      </rPr>
      <t>17%</t>
    </r>
    <r>
      <rPr>
        <sz val="10"/>
        <rFont val="Noto Sans CJK SC"/>
        <family val="2"/>
      </rPr>
      <t>。</t>
    </r>
  </si>
  <si>
    <t>76cf5862e5f7f160ef7a6abf</t>
  </si>
  <si>
    <t>William Blair analyst on Moderna’s stock plunge following cancer vaccine data leaks</t>
  </si>
  <si>
    <r>
      <rPr>
        <sz val="10"/>
        <rFont val="Arial"/>
        <family val="2"/>
      </rPr>
      <t xml:space="preserve">Moderna </t>
    </r>
    <r>
      <rPr>
        <sz val="10"/>
        <rFont val="Noto Sans CJK SC"/>
        <family val="2"/>
      </rPr>
      <t>股價因癌症疫苗資料外洩而大幅下跌。</t>
    </r>
  </si>
  <si>
    <t>3f9b966f4054492128de550c</t>
  </si>
  <si>
    <t>CMG</t>
  </si>
  <si>
    <t>Chipotle Mexican Grill</t>
  </si>
  <si>
    <t>Why Did CRWV, SMR, CMG Stocks Plunge To 52-Week Lows Today?</t>
  </si>
  <si>
    <r>
      <rPr>
        <sz val="10"/>
        <rFont val="Arial"/>
        <family val="2"/>
      </rPr>
      <t xml:space="preserve">Chipotle Mexican Grill </t>
    </r>
    <r>
      <rPr>
        <sz val="10"/>
        <rFont val="Noto Sans CJK SC"/>
        <family val="2"/>
      </rPr>
      <t>股價因市場情緒波動而下跌，並未出現任何違約或其他財務風險訊號。</t>
    </r>
  </si>
  <si>
    <r>
      <rPr>
        <sz val="10"/>
        <rFont val="Arial"/>
        <family val="2"/>
      </rPr>
      <t xml:space="preserve">Chipotle </t>
    </r>
    <r>
      <rPr>
        <sz val="10"/>
        <rFont val="Noto Sans CJK SC"/>
        <family val="2"/>
      </rPr>
      <t xml:space="preserve">股價跌至 </t>
    </r>
    <r>
      <rPr>
        <sz val="10"/>
        <rFont val="Arial"/>
        <family val="2"/>
      </rPr>
      <t xml:space="preserve">52 </t>
    </r>
    <r>
      <rPr>
        <sz val="10"/>
        <rFont val="Noto Sans CJK SC"/>
        <family val="2"/>
      </rPr>
      <t>週低點。</t>
    </r>
  </si>
  <si>
    <t>1adf8ae173ec3ea0895b8104</t>
  </si>
  <si>
    <t>Moderna (MRNA) Shares Plunge Over 17% After Leak of Cancer Vacci</t>
  </si>
  <si>
    <r>
      <rPr>
        <sz val="10"/>
        <rFont val="Arial"/>
        <family val="2"/>
      </rPr>
      <t xml:space="preserve">Moderna </t>
    </r>
    <r>
      <rPr>
        <sz val="10"/>
        <rFont val="Noto Sans CJK SC"/>
        <family val="2"/>
      </rPr>
      <t xml:space="preserve">股價因癌症疫苗洩漏消息暴跌逾 </t>
    </r>
    <r>
      <rPr>
        <sz val="10"/>
        <rFont val="Arial"/>
        <family val="2"/>
      </rPr>
      <t>17%</t>
    </r>
    <r>
      <rPr>
        <sz val="10"/>
        <rFont val="Noto Sans CJK SC"/>
        <family val="2"/>
      </rPr>
      <t>。</t>
    </r>
  </si>
  <si>
    <t>5d27e972413e65eabd15fd0f</t>
  </si>
  <si>
    <t>LRCX</t>
  </si>
  <si>
    <t>Lam Research stock drops 29%, valuation outlook shifts amid $200B wafer fabrication boom</t>
  </si>
  <si>
    <r>
      <rPr>
        <sz val="10"/>
        <rFont val="Arial"/>
        <family val="2"/>
      </rPr>
      <t xml:space="preserve">Lam Research </t>
    </r>
    <r>
      <rPr>
        <sz val="10"/>
        <rFont val="Noto Sans CJK SC"/>
        <family val="2"/>
      </rPr>
      <t xml:space="preserve">股價下跌 </t>
    </r>
    <r>
      <rPr>
        <sz val="10"/>
        <rFont val="Arial"/>
        <family val="2"/>
      </rPr>
      <t>29%</t>
    </r>
    <r>
      <rPr>
        <sz val="10"/>
        <rFont val="Noto Sans CJK SC"/>
        <family val="2"/>
      </rPr>
      <t xml:space="preserve">，估值前景因 </t>
    </r>
    <r>
      <rPr>
        <sz val="10"/>
        <rFont val="Arial"/>
        <family val="2"/>
      </rPr>
      <t xml:space="preserve">2000 </t>
    </r>
    <r>
      <rPr>
        <sz val="10"/>
        <rFont val="Noto Sans CJK SC"/>
        <family val="2"/>
      </rPr>
      <t>億美元晶圓製造熱潮而轉變。</t>
    </r>
  </si>
  <si>
    <r>
      <rPr>
        <sz val="10"/>
        <rFont val="Arial"/>
        <family val="2"/>
      </rPr>
      <t xml:space="preserve">Lam Research </t>
    </r>
    <r>
      <rPr>
        <sz val="10"/>
        <rFont val="Noto Sans CJK SC"/>
        <family val="2"/>
      </rPr>
      <t>股價大跌，需看原文確認幅度。</t>
    </r>
  </si>
  <si>
    <t>7f3716ec938a0f58a62960ad</t>
  </si>
  <si>
    <t>2026-10-21</t>
  </si>
  <si>
    <t>AT&amp;T Falls on Earnings Miss; Netflix Reports Slowing Growth | Stock Movers</t>
  </si>
  <si>
    <r>
      <rPr>
        <sz val="10"/>
        <rFont val="Noto Sans CJK SC"/>
        <family val="2"/>
      </rPr>
      <t>本新聞未提及</t>
    </r>
    <r>
      <rPr>
        <sz val="10"/>
        <rFont val="Arial"/>
        <family val="2"/>
      </rPr>
      <t>Netflix</t>
    </r>
    <r>
      <rPr>
        <sz val="10"/>
        <rFont val="Noto Sans CJK SC"/>
        <family val="2"/>
      </rPr>
      <t>或其他公司發生任何信用違約、破產、流動性危機等事件，僅報導</t>
    </r>
    <r>
      <rPr>
        <sz val="10"/>
        <rFont val="Arial"/>
        <family val="2"/>
      </rPr>
      <t>AT&amp;T</t>
    </r>
    <r>
      <rPr>
        <sz val="10"/>
        <rFont val="Noto Sans CJK SC"/>
        <family val="2"/>
      </rPr>
      <t>財報失利與</t>
    </r>
    <r>
      <rPr>
        <sz val="10"/>
        <rFont val="Arial"/>
        <family val="2"/>
      </rPr>
      <t>Netflix</t>
    </r>
    <r>
      <rPr>
        <sz val="10"/>
        <rFont val="Noto Sans CJK SC"/>
        <family val="2"/>
      </rPr>
      <t>增長放緩。</t>
    </r>
  </si>
  <si>
    <t>無信用或營運風險事件：評論、目標價調整、同名誤配、體育或一般新聞，非該公司事件。</t>
  </si>
  <si>
    <t>1709b7c0b6250aea363dd054</t>
  </si>
  <si>
    <t>US Stocks Fall Sharply as Philadelphia Semiconductor Index Drops Over 6%: What Caused the Decline?</t>
  </si>
  <si>
    <t>無足夠資訊確認任何信用風險事件。</t>
  </si>
  <si>
    <t>TradingKey</t>
  </si>
  <si>
    <t>ddef9ae56729e6c25c0a8e79</t>
  </si>
  <si>
    <t>AI龍頭Meta帶領科技股下殺 美股週四開盤重挫、台積電暴跌逾4%</t>
  </si>
  <si>
    <r>
      <rPr>
        <sz val="10"/>
        <rFont val="Arial"/>
        <family val="2"/>
      </rPr>
      <t xml:space="preserve">Meta </t>
    </r>
    <r>
      <rPr>
        <sz val="10"/>
        <rFont val="Noto Sans CJK SC"/>
        <family val="2"/>
      </rPr>
      <t>相關訊息未顯示任何確定的違約或信用事件，僅提及市場股價波動，無法判斷是否存在信用風險升高或違約情形。</t>
    </r>
  </si>
  <si>
    <r>
      <rPr>
        <sz val="10"/>
        <rFont val="Arial"/>
        <family val="2"/>
      </rPr>
      <t>Yahoo</t>
    </r>
    <r>
      <rPr>
        <sz val="10"/>
        <rFont val="Noto Sans CJK SC"/>
        <family val="2"/>
      </rPr>
      <t>新聞</t>
    </r>
  </si>
  <si>
    <r>
      <rPr>
        <sz val="10"/>
        <rFont val="Arial"/>
        <family val="2"/>
      </rPr>
      <t xml:space="preserve">Meta </t>
    </r>
    <r>
      <rPr>
        <sz val="10"/>
        <rFont val="Noto Sans CJK SC"/>
        <family val="2"/>
      </rPr>
      <t xml:space="preserve">股價下跌約 </t>
    </r>
    <r>
      <rPr>
        <sz val="10"/>
        <rFont val="Arial"/>
        <family val="2"/>
      </rPr>
      <t>7%</t>
    </r>
    <r>
      <rPr>
        <sz val="10"/>
        <rFont val="Noto Sans CJK SC"/>
        <family val="2"/>
      </rPr>
      <t>，帶動科技股下殺。</t>
    </r>
  </si>
  <si>
    <t>d618f5142a719fbe87afd83a</t>
  </si>
  <si>
    <t>AI Infrastructure Debt Meets Rising Yields: Tech Stocks Face a Stress Test</t>
  </si>
  <si>
    <t>Gadget Review</t>
  </si>
  <si>
    <t>0bc95bf19d86e11cfffc7c11</t>
  </si>
  <si>
    <t>PZZA</t>
  </si>
  <si>
    <t>Papa John's International, Inc.</t>
  </si>
  <si>
    <t>PZZA Investors Have Opportunity to Lead Papa John's International, Inc. Securities Fraud Lawsuit with SBS Law</t>
  </si>
  <si>
    <r>
      <rPr>
        <sz val="10"/>
        <rFont val="Noto Sans CJK SC"/>
        <family val="2"/>
      </rPr>
      <t xml:space="preserve">本新聞未提供足夠證據顯示 </t>
    </r>
    <r>
      <rPr>
        <sz val="10"/>
        <rFont val="Arial"/>
        <family val="2"/>
      </rPr>
      <t xml:space="preserve">Papa John's International, Inc. </t>
    </r>
    <r>
      <rPr>
        <sz val="10"/>
        <rFont val="Noto Sans CJK SC"/>
        <family val="2"/>
      </rPr>
      <t>有任何違約、破產或其他信用風險事件，僅提及投資者可領導訴訟。</t>
    </r>
  </si>
  <si>
    <t>MAJOR_LITIGATION</t>
  </si>
  <si>
    <r>
      <rPr>
        <sz val="10"/>
        <rFont val="Noto Sans CJK SC"/>
        <family val="2"/>
      </rPr>
      <t>律師事務所徵求證券詐欺集體訴訟原告（</t>
    </r>
    <r>
      <rPr>
        <sz val="10"/>
        <rFont val="Arial"/>
        <family val="2"/>
      </rPr>
      <t>Papa John's</t>
    </r>
    <r>
      <rPr>
        <sz val="10"/>
        <rFont val="Noto Sans CJK SC"/>
        <family val="2"/>
      </rPr>
      <t>／</t>
    </r>
    <r>
      <rPr>
        <sz val="10"/>
        <rFont val="Arial"/>
        <family val="2"/>
      </rPr>
      <t>FuelCell</t>
    </r>
    <r>
      <rPr>
        <sz val="10"/>
        <rFont val="Noto Sans CJK SC"/>
        <family val="2"/>
      </rPr>
      <t>）。</t>
    </r>
  </si>
  <si>
    <t>7f0886ef1cbe99fa784a57ba</t>
  </si>
  <si>
    <t>《港股》美股下挫、陸股墜熊市 恆指暴跌近3% AI、晶片股遭血洗</t>
  </si>
  <si>
    <t>無可辨識的信用風險事件。</t>
  </si>
  <si>
    <t>富聯網</t>
  </si>
  <si>
    <t>9f593009b155d86c74bfb363</t>
  </si>
  <si>
    <t>Polen Focus Growth Strategy Boosts Meta Platforms, Inc. (META) on AI Monetization Potential</t>
  </si>
  <si>
    <t>此新聞未提及任何與信用風險相關的事件，無法判斷是否存在違約或其他信用風險指標。</t>
  </si>
  <si>
    <t>1662077625e20e4158c6d6d9</t>
  </si>
  <si>
    <t>Meta: Ignore The FCF Noise And Buy The Dip (NASDAQ:META)</t>
  </si>
  <si>
    <r>
      <rPr>
        <sz val="10"/>
        <rFont val="Noto Sans CJK SC"/>
        <family val="2"/>
      </rPr>
      <t xml:space="preserve">目前沒有足夠證據顯示 </t>
    </r>
    <r>
      <rPr>
        <sz val="10"/>
        <rFont val="Arial"/>
        <family val="2"/>
      </rPr>
      <t xml:space="preserve">Meta Platforms </t>
    </r>
    <r>
      <rPr>
        <sz val="10"/>
        <rFont val="Noto Sans CJK SC"/>
        <family val="2"/>
      </rPr>
      <t>發生任何信用風險事件。</t>
    </r>
  </si>
  <si>
    <t>097dc8c2b12cafa6727c9bbb</t>
  </si>
  <si>
    <t>Meta: AI Spending Is Exploding, But So Is The Opportunity (NASDAQ:META)</t>
  </si>
  <si>
    <r>
      <rPr>
        <sz val="10"/>
        <rFont val="Noto Sans CJK SC"/>
        <family val="2"/>
      </rPr>
      <t xml:space="preserve">目前沒有足夠證據顯示 </t>
    </r>
    <r>
      <rPr>
        <sz val="10"/>
        <rFont val="Arial"/>
        <family val="2"/>
      </rPr>
      <t xml:space="preserve">Meta Platforms </t>
    </r>
    <r>
      <rPr>
        <sz val="10"/>
        <rFont val="Noto Sans CJK SC"/>
        <family val="2"/>
      </rPr>
      <t>相關的信用風險事件。</t>
    </r>
  </si>
  <si>
    <t>785b78480c14b20eb1f594f0</t>
  </si>
  <si>
    <t>Meta Platforms to Implement New Commercial Terms Nov. 20</t>
  </si>
  <si>
    <r>
      <rPr>
        <sz val="10"/>
        <rFont val="Arial"/>
        <family val="2"/>
      </rPr>
      <t xml:space="preserve">Meta Platforms </t>
    </r>
    <r>
      <rPr>
        <sz val="10"/>
        <rFont val="Noto Sans CJK SC"/>
        <family val="2"/>
      </rPr>
      <t xml:space="preserve">將於 </t>
    </r>
    <r>
      <rPr>
        <sz val="10"/>
        <rFont val="Arial"/>
        <family val="2"/>
      </rPr>
      <t xml:space="preserve">11 </t>
    </r>
    <r>
      <rPr>
        <sz val="10"/>
        <rFont val="Noto Sans CJK SC"/>
        <family val="2"/>
      </rPr>
      <t xml:space="preserve">月 </t>
    </r>
    <r>
      <rPr>
        <sz val="10"/>
        <rFont val="Arial"/>
        <family val="2"/>
      </rPr>
      <t xml:space="preserve">20 </t>
    </r>
    <r>
      <rPr>
        <sz val="10"/>
        <rFont val="Noto Sans CJK SC"/>
        <family val="2"/>
      </rPr>
      <t>日實施新的商業條款，並未涉及任何信用風險事件。</t>
    </r>
  </si>
  <si>
    <t>marketscreener.com</t>
  </si>
  <si>
    <t>9abb1549a2b10e0057938029</t>
  </si>
  <si>
    <t>Meta Platforms' Q3: The Market Is Being Dramatic About Negative Free Cash Flow (META)</t>
  </si>
  <si>
    <t>149e59ea41d352c6658f6cf5</t>
  </si>
  <si>
    <t>債市破裂，CDS飆升，美股AI的第一張骨牌要倒了？</t>
  </si>
  <si>
    <t>無足夠資訊判斷是否有信用風險事件。</t>
  </si>
  <si>
    <r>
      <rPr>
        <sz val="10"/>
        <rFont val="Arial"/>
        <family val="2"/>
      </rPr>
      <t xml:space="preserve">SL886 </t>
    </r>
    <r>
      <rPr>
        <sz val="10"/>
        <rFont val="Noto Sans CJK SC"/>
        <family val="2"/>
      </rPr>
      <t>財經網</t>
    </r>
  </si>
  <si>
    <t>2637ecf884cb9912c28c39fa</t>
  </si>
  <si>
    <t>Meta (META) Stock Seems Fully Valued Despite Its 127% Three Year Run</t>
  </si>
  <si>
    <r>
      <rPr>
        <sz val="10"/>
        <rFont val="Noto Sans CJK SC"/>
        <family val="2"/>
      </rPr>
      <t xml:space="preserve">無足夠證據表明 </t>
    </r>
    <r>
      <rPr>
        <sz val="10"/>
        <rFont val="Arial"/>
        <family val="2"/>
      </rPr>
      <t xml:space="preserve">Meta Platforms </t>
    </r>
    <r>
      <rPr>
        <sz val="10"/>
        <rFont val="Noto Sans CJK SC"/>
        <family val="2"/>
      </rPr>
      <t>目前存在任何信用風險事件。</t>
    </r>
  </si>
  <si>
    <t>5774c207e5b4837ece36440d</t>
  </si>
  <si>
    <t>巴西總統指控Meta操縱大選</t>
  </si>
  <si>
    <r>
      <rPr>
        <sz val="10"/>
        <rFont val="Noto Sans CJK SC"/>
        <family val="2"/>
      </rPr>
      <t>巴西總統指控</t>
    </r>
    <r>
      <rPr>
        <sz val="10"/>
        <rFont val="Arial"/>
        <family val="2"/>
      </rPr>
      <t>Meta</t>
    </r>
    <r>
      <rPr>
        <sz val="10"/>
        <rFont val="Noto Sans CJK SC"/>
        <family val="2"/>
      </rPr>
      <t>操縱大選</t>
    </r>
  </si>
  <si>
    <t>f25a40e5e491828684fad933</t>
  </si>
  <si>
    <t>$Meta Platforms (META.US)$ ...</t>
  </si>
  <si>
    <r>
      <rPr>
        <sz val="10"/>
        <rFont val="Noto Sans CJK SC"/>
        <family val="2"/>
      </rPr>
      <t xml:space="preserve">目前無足夠資訊判斷 </t>
    </r>
    <r>
      <rPr>
        <sz val="10"/>
        <rFont val="Arial"/>
        <family val="2"/>
      </rPr>
      <t xml:space="preserve">Meta Platforms </t>
    </r>
    <r>
      <rPr>
        <sz val="10"/>
        <rFont val="Noto Sans CJK SC"/>
        <family val="2"/>
      </rPr>
      <t>是否存在信用風險事件。</t>
    </r>
  </si>
  <si>
    <t>8463c439cab6cd0ceeed0259</t>
  </si>
  <si>
    <t>Capcom Co. Ltd.</t>
  </si>
  <si>
    <t>Gaming Giant Capcom Confirms Data Breach Exposed Users’ Personal Information</t>
  </si>
  <si>
    <r>
      <rPr>
        <sz val="10"/>
        <rFont val="Arial"/>
        <family val="2"/>
      </rPr>
      <t xml:space="preserve">Capcom </t>
    </r>
    <r>
      <rPr>
        <sz val="10"/>
        <rFont val="Noto Sans CJK SC"/>
        <family val="2"/>
      </rPr>
      <t>確認發生資料外洩事件，未提及任何債務違約或信用風險升高的訊息。</t>
    </r>
  </si>
  <si>
    <t>Infosecurity Magazine</t>
  </si>
  <si>
    <r>
      <rPr>
        <sz val="10"/>
        <rFont val="Arial"/>
        <family val="2"/>
      </rPr>
      <t xml:space="preserve">Capcom </t>
    </r>
    <r>
      <rPr>
        <sz val="10"/>
        <rFont val="Noto Sans CJK SC"/>
        <family val="2"/>
      </rPr>
      <t xml:space="preserve">確認資料外洩，約 </t>
    </r>
    <r>
      <rPr>
        <sz val="10"/>
        <rFont val="Arial"/>
        <family val="2"/>
      </rPr>
      <t xml:space="preserve">1,170 </t>
    </r>
    <r>
      <rPr>
        <sz val="10"/>
        <rFont val="Noto Sans CJK SC"/>
        <family val="2"/>
      </rPr>
      <t>萬筆帳號紀錄曝光。</t>
    </r>
  </si>
  <si>
    <t>66dbc4246a11e985263d0690</t>
  </si>
  <si>
    <t>Buy, Sell, or Hold: How to Play Meta Platforms Stock After Its Q3 Earnings Beat</t>
  </si>
  <si>
    <t>此新聞未提及任何信用風險事件。</t>
  </si>
  <si>
    <t>802f478a954c806c1d45e5e7</t>
  </si>
  <si>
    <t>CoreWeave Debt: 60% Default Odds, Meta Burns $2B [2026]</t>
  </si>
  <si>
    <r>
      <rPr>
        <sz val="10"/>
        <rFont val="Noto Sans CJK SC"/>
        <family val="2"/>
      </rPr>
      <t>核心計算公司</t>
    </r>
    <r>
      <rPr>
        <sz val="10"/>
        <rFont val="Arial"/>
        <family val="2"/>
      </rPr>
      <t>CoreWeave</t>
    </r>
    <r>
      <rPr>
        <sz val="10"/>
        <rFont val="Noto Sans CJK SC"/>
        <family val="2"/>
      </rPr>
      <t>的債務風險被評估為</t>
    </r>
    <r>
      <rPr>
        <sz val="10"/>
        <rFont val="Arial"/>
        <family val="2"/>
      </rPr>
      <t>60</t>
    </r>
    <r>
      <rPr>
        <sz val="10"/>
        <rFont val="Noto Sans CJK SC"/>
        <family val="2"/>
      </rPr>
      <t>％違約機率，但目前並未確認實際違約事件。</t>
    </r>
  </si>
  <si>
    <t>https://tech-insider.org/</t>
  </si>
  <si>
    <r>
      <rPr>
        <sz val="10"/>
        <rFont val="Arial"/>
        <family val="2"/>
      </rPr>
      <t xml:space="preserve">CoreWeave </t>
    </r>
    <r>
      <rPr>
        <sz val="10"/>
        <rFont val="Noto Sans CJK SC"/>
        <family val="2"/>
      </rPr>
      <t>債務風險升高，評估違約機率偏高。</t>
    </r>
  </si>
  <si>
    <t>55f201c50f4a54cff489fba8</t>
  </si>
  <si>
    <t>CoreWeave</t>
  </si>
  <si>
    <t>Blackstone Bet on Chips Drove a Debt Boom That’s Upending Credit</t>
  </si>
  <si>
    <r>
      <rPr>
        <sz val="10"/>
        <rFont val="Noto Sans CJK SC"/>
        <family val="2"/>
      </rPr>
      <t xml:space="preserve">此新聞未提及 </t>
    </r>
    <r>
      <rPr>
        <sz val="10"/>
        <rFont val="Arial"/>
        <family val="2"/>
      </rPr>
      <t xml:space="preserve">CoreWeave </t>
    </r>
    <r>
      <rPr>
        <sz val="10"/>
        <rFont val="Noto Sans CJK SC"/>
        <family val="2"/>
      </rPr>
      <t>之任何信用風險事件，無法確認是否有違約、破產或其他相關風險。</t>
    </r>
  </si>
  <si>
    <t>e55a2271192fa32a5ab95042</t>
  </si>
  <si>
    <t>ETFs in Focus as META Drops 7% Despite Q3 Earnings Beat, Strong View</t>
  </si>
  <si>
    <r>
      <rPr>
        <sz val="10"/>
        <rFont val="Arial"/>
        <family val="2"/>
      </rPr>
      <t xml:space="preserve">Meta Platforms </t>
    </r>
    <r>
      <rPr>
        <sz val="10"/>
        <rFont val="Noto Sans CJK SC"/>
        <family val="2"/>
      </rPr>
      <t>的股價下跌並未顯示任何明確的信用風險事件。</t>
    </r>
  </si>
  <si>
    <t>ec4ba7c19aafcde2fbd710f7</t>
  </si>
  <si>
    <t>ETFs Are Net Sellers of Meta Platforms (META) on Oct. 21</t>
  </si>
  <si>
    <r>
      <rPr>
        <sz val="10"/>
        <rFont val="Noto Sans CJK SC"/>
        <family val="2"/>
      </rPr>
      <t xml:space="preserve">無足夠資訊表明 </t>
    </r>
    <r>
      <rPr>
        <sz val="10"/>
        <rFont val="Arial"/>
        <family val="2"/>
      </rPr>
      <t xml:space="preserve">Meta Platforms </t>
    </r>
    <r>
      <rPr>
        <sz val="10"/>
        <rFont val="Noto Sans CJK SC"/>
        <family val="2"/>
      </rPr>
      <t>之信用風險事件。</t>
    </r>
  </si>
  <si>
    <t>36137dc64507e498c5a8b4a3</t>
  </si>
  <si>
    <t>Is Meta Platforms Stock a Buy as Revenue Continues to Soar?</t>
  </si>
  <si>
    <r>
      <rPr>
        <sz val="10"/>
        <rFont val="Noto Sans CJK SC"/>
        <family val="2"/>
      </rPr>
      <t xml:space="preserve">目前無足夠證據顯示 </t>
    </r>
    <r>
      <rPr>
        <sz val="10"/>
        <rFont val="Arial"/>
        <family val="2"/>
      </rPr>
      <t xml:space="preserve">Meta Platforms </t>
    </r>
    <r>
      <rPr>
        <sz val="10"/>
        <rFont val="Noto Sans CJK SC"/>
        <family val="2"/>
      </rPr>
      <t>相關信用風險事件。</t>
    </r>
  </si>
  <si>
    <t>726f56e7556fab9bdf9deab7</t>
  </si>
  <si>
    <t>Nasdaq, Dow, S&amp;P 500 Futures Drop Premarket: NVDA, AMD, META, CRWV, MRNA, WDC, BE In Focus</t>
  </si>
  <si>
    <r>
      <rPr>
        <sz val="10"/>
        <rFont val="Noto Sans CJK SC"/>
        <family val="2"/>
      </rPr>
      <t xml:space="preserve">目前沒有足夠資訊顯示 </t>
    </r>
    <r>
      <rPr>
        <sz val="10"/>
        <rFont val="Arial"/>
        <family val="2"/>
      </rPr>
      <t xml:space="preserve">Meta Platforms </t>
    </r>
    <r>
      <rPr>
        <sz val="10"/>
        <rFont val="Noto Sans CJK SC"/>
        <family val="2"/>
      </rPr>
      <t>相關的信用風險事件。</t>
    </r>
  </si>
  <si>
    <t>464a7cf6ed8a0d8eb8b7128c</t>
  </si>
  <si>
    <t>Data Breach at Manhattan Law Firm Involved PHI of 197,000 Individuals</t>
  </si>
  <si>
    <t>此新聞報導關於曼哈頓律師事務所的資料外洩事件，並未提及任何公司債務違約或信用風險相關訊息。</t>
  </si>
  <si>
    <t>4a2e9baa644ecfbc12de58c3</t>
  </si>
  <si>
    <t>Capcom data breach exposes 11.7 million account records</t>
  </si>
  <si>
    <r>
      <rPr>
        <sz val="10"/>
        <rFont val="Arial"/>
        <family val="2"/>
      </rPr>
      <t xml:space="preserve">Capcom </t>
    </r>
    <r>
      <rPr>
        <sz val="10"/>
        <rFont val="Noto Sans CJK SC"/>
        <family val="2"/>
      </rPr>
      <t xml:space="preserve">近期發生資料外洩事件，曝光約 </t>
    </r>
    <r>
      <rPr>
        <sz val="10"/>
        <rFont val="Arial"/>
        <family val="2"/>
      </rPr>
      <t xml:space="preserve">1,170 </t>
    </r>
    <r>
      <rPr>
        <sz val="10"/>
        <rFont val="Noto Sans CJK SC"/>
        <family val="2"/>
      </rPr>
      <t>萬筆帳號紀錄，但目前並未有任何關於公司債務違約或信用風險升高的具體訊息。</t>
    </r>
  </si>
  <si>
    <t>ece1d7e75001f2b04737c8f9</t>
  </si>
  <si>
    <t>小摩上調Meta目標價至940美元</t>
  </si>
  <si>
    <r>
      <rPr>
        <sz val="10"/>
        <rFont val="Noto Sans CJK SC"/>
        <family val="2"/>
      </rPr>
      <t>小摩上調</t>
    </r>
    <r>
      <rPr>
        <sz val="10"/>
        <rFont val="Arial"/>
        <family val="2"/>
      </rPr>
      <t>Meta</t>
    </r>
    <r>
      <rPr>
        <sz val="10"/>
        <rFont val="Noto Sans CJK SC"/>
        <family val="2"/>
      </rPr>
      <t>目標價至</t>
    </r>
    <r>
      <rPr>
        <sz val="10"/>
        <rFont val="Arial"/>
        <family val="2"/>
      </rPr>
      <t>940</t>
    </r>
    <r>
      <rPr>
        <sz val="10"/>
        <rFont val="Noto Sans CJK SC"/>
        <family val="2"/>
      </rPr>
      <t>美元</t>
    </r>
  </si>
  <si>
    <t>c0a62dd94e77e5e7c175baf7</t>
  </si>
  <si>
    <t>希臘通過針對15歲以下兒童的社交媒體禁令</t>
  </si>
  <si>
    <r>
      <rPr>
        <sz val="10"/>
        <rFont val="Noto Sans CJK SC"/>
        <family val="2"/>
      </rPr>
      <t>希臘通過針對</t>
    </r>
    <r>
      <rPr>
        <sz val="10"/>
        <rFont val="Arial"/>
        <family val="2"/>
      </rPr>
      <t>15</t>
    </r>
    <r>
      <rPr>
        <sz val="10"/>
        <rFont val="Noto Sans CJK SC"/>
        <family val="2"/>
      </rPr>
      <t>歲以下兒童的社交媒體禁令</t>
    </r>
  </si>
  <si>
    <t>a37f44666d6b93b23fa84c03</t>
  </si>
  <si>
    <t>隔夜美股 | 科技股遭遇“黑色星期四” 納指暴跌2.6% 比特幣一度跌破8.1萬美元關口 作者 智通財經</t>
  </si>
  <si>
    <r>
      <rPr>
        <sz val="10"/>
        <rFont val="Noto Sans CJK SC"/>
        <family val="2"/>
      </rPr>
      <t xml:space="preserve">隔夜美股 </t>
    </r>
    <r>
      <rPr>
        <sz val="10"/>
        <rFont val="Arial"/>
        <family val="2"/>
      </rPr>
      <t xml:space="preserve">| </t>
    </r>
    <r>
      <rPr>
        <sz val="10"/>
        <rFont val="Noto Sans CJK SC"/>
        <family val="2"/>
      </rPr>
      <t>科技股遭遇“黑色星期四” 納指暴跌</t>
    </r>
    <r>
      <rPr>
        <sz val="10"/>
        <rFont val="Arial"/>
        <family val="2"/>
      </rPr>
      <t xml:space="preserve">2.6% </t>
    </r>
    <r>
      <rPr>
        <sz val="10"/>
        <rFont val="Noto Sans CJK SC"/>
        <family val="2"/>
      </rPr>
      <t>比特幣一度跌破</t>
    </r>
    <r>
      <rPr>
        <sz val="10"/>
        <rFont val="Arial"/>
        <family val="2"/>
      </rPr>
      <t>8.1</t>
    </r>
    <r>
      <rPr>
        <sz val="10"/>
        <rFont val="Noto Sans CJK SC"/>
        <family val="2"/>
      </rPr>
      <t>萬美元關口 作者 智通財經</t>
    </r>
  </si>
  <si>
    <t>ba588503381519e578e4486a</t>
  </si>
  <si>
    <t>摩根大通：如果CoreWeave違約 華爾街會怎樣？</t>
  </si>
  <si>
    <r>
      <rPr>
        <sz val="10"/>
        <rFont val="Noto Sans CJK SC"/>
        <family val="2"/>
      </rPr>
      <t xml:space="preserve">文章未明確指出 </t>
    </r>
    <r>
      <rPr>
        <sz val="10"/>
        <rFont val="Arial"/>
        <family val="2"/>
      </rPr>
      <t xml:space="preserve">CoreWeave </t>
    </r>
    <r>
      <rPr>
        <sz val="10"/>
        <rFont val="Noto Sans CJK SC"/>
        <family val="2"/>
      </rPr>
      <t>已經違約或發生任何具體信用事件，僅提及若發生違約情況時華爾街可能的反應，故目前無法確定是否屬於已確認違約或其他信用風險事件。</t>
    </r>
  </si>
  <si>
    <r>
      <rPr>
        <sz val="10"/>
        <rFont val="Noto Sans CJK SC"/>
        <family val="2"/>
      </rPr>
      <t>香港經濟日報</t>
    </r>
    <r>
      <rPr>
        <sz val="10"/>
        <rFont val="Arial"/>
        <family val="2"/>
      </rPr>
      <t>HKET</t>
    </r>
  </si>
  <si>
    <t>7d4b621a450bf06d9f16c26a</t>
  </si>
  <si>
    <t>台股靠颱風躲過美股暴跌...下周補跌？散戶操盤有2種解法- 證券</t>
  </si>
  <si>
    <r>
      <rPr>
        <sz val="10"/>
        <rFont val="Noto Sans CJK SC"/>
        <family val="2"/>
      </rPr>
      <t>台股靠颱風躲過美股暴跌</t>
    </r>
    <r>
      <rPr>
        <sz val="10"/>
        <rFont val="Arial"/>
        <family val="2"/>
      </rPr>
      <t>...</t>
    </r>
    <r>
      <rPr>
        <sz val="10"/>
        <rFont val="Noto Sans CJK SC"/>
        <family val="2"/>
      </rPr>
      <t>下周補跌？散戶操盤有</t>
    </r>
    <r>
      <rPr>
        <sz val="10"/>
        <rFont val="Arial"/>
        <family val="2"/>
      </rPr>
      <t>2</t>
    </r>
    <r>
      <rPr>
        <sz val="10"/>
        <rFont val="Noto Sans CJK SC"/>
        <family val="2"/>
      </rPr>
      <t>種解法</t>
    </r>
    <r>
      <rPr>
        <sz val="10"/>
        <rFont val="Arial"/>
        <family val="2"/>
      </rPr>
      <t xml:space="preserve">- </t>
    </r>
    <r>
      <rPr>
        <sz val="10"/>
        <rFont val="Noto Sans CJK SC"/>
        <family val="2"/>
      </rPr>
      <t>證券</t>
    </r>
  </si>
  <si>
    <t>工商時報</t>
  </si>
  <si>
    <t>186b921511bb712780924ae3</t>
  </si>
  <si>
    <t>“華爾街之狼”阿克曼：若戰爭與通脹降温，2027年將是令人驚豔的一年</t>
  </si>
  <si>
    <r>
      <rPr>
        <sz val="10"/>
        <rFont val="Noto Sans CJK SC"/>
        <family val="2"/>
      </rPr>
      <t>“華爾街之狼”阿克曼：若戰爭與通脹降温，</t>
    </r>
    <r>
      <rPr>
        <sz val="10"/>
        <rFont val="Arial"/>
        <family val="2"/>
      </rPr>
      <t>2027</t>
    </r>
    <r>
      <rPr>
        <sz val="10"/>
        <rFont val="Noto Sans CJK SC"/>
        <family val="2"/>
      </rPr>
      <t>年將是令人驚豔的一年</t>
    </r>
  </si>
  <si>
    <t>8276af8c1e2d6a8b1be57709</t>
  </si>
  <si>
    <t>63 Reasons Point to CoreWeave’s Default. Yet Goldman Sachs Upgraded It to a 'Buy' for 1 Key Reason.</t>
  </si>
  <si>
    <r>
      <rPr>
        <sz val="10"/>
        <rFont val="Noto Sans CJK SC"/>
        <family val="2"/>
      </rPr>
      <t>核心算力公司</t>
    </r>
    <r>
      <rPr>
        <sz val="10"/>
        <rFont val="Arial"/>
        <family val="2"/>
      </rPr>
      <t>CoreWeave</t>
    </r>
    <r>
      <rPr>
        <sz val="10"/>
        <rFont val="Noto Sans CJK SC"/>
        <family val="2"/>
      </rPr>
      <t>被指可能違約，但目前尚無確定的違約證據，需進一步調查確認。</t>
    </r>
  </si>
  <si>
    <t>疑似違約／尚未確認（待覆核）</t>
  </si>
  <si>
    <r>
      <rPr>
        <sz val="10"/>
        <rFont val="Arial"/>
        <family val="2"/>
      </rPr>
      <t xml:space="preserve">CoreWeave </t>
    </r>
    <r>
      <rPr>
        <sz val="10"/>
        <rFont val="Noto Sans CJK SC"/>
        <family val="2"/>
      </rPr>
      <t>違約疑慮與雲端市場警訊（評論性質）。</t>
    </r>
  </si>
  <si>
    <t>e7192dcb590677dec559a5c8</t>
  </si>
  <si>
    <t>AI支出疑慮再起！美股費半暴跌6.72%、那指跌逾2% 台積電ADR重挫4.5％</t>
  </si>
  <si>
    <r>
      <rPr>
        <sz val="10"/>
        <rFont val="Noto Sans CJK SC"/>
        <family val="2"/>
      </rPr>
      <t>本新聞未提及任何公司債務違約或信用事件，僅報導股價波動與</t>
    </r>
    <r>
      <rPr>
        <sz val="10"/>
        <rFont val="Arial"/>
        <family val="2"/>
      </rPr>
      <t>AI</t>
    </r>
    <r>
      <rPr>
        <sz val="10"/>
        <rFont val="Noto Sans CJK SC"/>
        <family val="2"/>
      </rPr>
      <t>支出疑慮。</t>
    </r>
  </si>
  <si>
    <r>
      <rPr>
        <sz val="10"/>
        <rFont val="Arial"/>
        <family val="2"/>
      </rPr>
      <t>Newtalk</t>
    </r>
    <r>
      <rPr>
        <sz val="10"/>
        <rFont val="Noto Sans CJK SC"/>
        <family val="2"/>
      </rPr>
      <t>新聞</t>
    </r>
  </si>
  <si>
    <t>5f5010de845af0b42c4a7efd</t>
  </si>
  <si>
    <t>美股收盤》AI支出疑慮升！費半暴跌近7％ 台積電ADR重挫4.5％</t>
  </si>
  <si>
    <r>
      <rPr>
        <sz val="10"/>
        <rFont val="Noto Sans CJK SC"/>
        <family val="2"/>
      </rPr>
      <t>本新聞未提及任何公司債務違約、</t>
    </r>
    <r>
      <rPr>
        <sz val="10"/>
        <rFont val="Arial"/>
        <family val="2"/>
      </rPr>
      <t>CDS</t>
    </r>
    <r>
      <rPr>
        <sz val="10"/>
        <rFont val="Noto Sans CJK SC"/>
        <family val="2"/>
      </rPr>
      <t>利差擴大或其他信用風險事件，僅報導股價變動。</t>
    </r>
  </si>
  <si>
    <t>自由財經</t>
  </si>
  <si>
    <t>049822a6171804391a8b5a45</t>
  </si>
  <si>
    <t>AI 狂潮背後的債務炸彈：從 CoreWeave 到法國國債，資本市場正對人工智慧說「慢一點」</t>
  </si>
  <si>
    <r>
      <rPr>
        <sz val="10"/>
        <rFont val="Noto Sans CJK SC"/>
        <family val="2"/>
      </rPr>
      <t xml:space="preserve">目前無足夠資訊確認 </t>
    </r>
    <r>
      <rPr>
        <sz val="10"/>
        <rFont val="Arial"/>
        <family val="2"/>
      </rPr>
      <t xml:space="preserve">CoreWeave </t>
    </r>
    <r>
      <rPr>
        <sz val="10"/>
        <rFont val="Noto Sans CJK SC"/>
        <family val="2"/>
      </rPr>
      <t>是否有違約或其他信用風險事件。</t>
    </r>
  </si>
  <si>
    <t>95418575eb10b4e4810162b0</t>
  </si>
  <si>
    <t>CoreWeave Crisis Puts AI Cloud Market on Notice</t>
  </si>
  <si>
    <r>
      <rPr>
        <sz val="10"/>
        <rFont val="Noto Sans CJK SC"/>
        <family val="2"/>
      </rPr>
      <t xml:space="preserve">目前缺乏足夠資訊來判斷 </t>
    </r>
    <r>
      <rPr>
        <sz val="10"/>
        <rFont val="Arial"/>
        <family val="2"/>
      </rPr>
      <t xml:space="preserve">CoreWeave </t>
    </r>
    <r>
      <rPr>
        <sz val="10"/>
        <rFont val="Noto Sans CJK SC"/>
        <family val="2"/>
      </rPr>
      <t>是否存在信用風險事件。</t>
    </r>
  </si>
  <si>
    <t>Futuriom</t>
  </si>
  <si>
    <t>5d5d25534807e11412c65616</t>
  </si>
  <si>
    <t>FCEL</t>
  </si>
  <si>
    <t>FuelCell Energy, Inc.</t>
  </si>
  <si>
    <t>FCEL Investors Have Opportunity to Lead FuelCell Energy, Inc. Securities Fraud Lawsuit</t>
  </si>
  <si>
    <r>
      <rPr>
        <sz val="10"/>
        <rFont val="Noto Sans CJK SC"/>
        <family val="2"/>
      </rPr>
      <t xml:space="preserve">本新聞未提供任何關於 </t>
    </r>
    <r>
      <rPr>
        <sz val="10"/>
        <rFont val="Arial"/>
        <family val="2"/>
      </rPr>
      <t xml:space="preserve">FuelCell Energy, Inc. </t>
    </r>
    <r>
      <rPr>
        <sz val="10"/>
        <rFont val="Noto Sans CJK SC"/>
        <family val="2"/>
      </rPr>
      <t>的信用違約、</t>
    </r>
    <r>
      <rPr>
        <sz val="10"/>
        <rFont val="Arial"/>
        <family val="2"/>
      </rPr>
      <t>CDS</t>
    </r>
    <r>
      <rPr>
        <sz val="10"/>
        <rFont val="Noto Sans CJK SC"/>
        <family val="2"/>
      </rPr>
      <t>利差擴大或其他信用風險事件的具體訊息，僅提及投資者有機會領導該公司證券欺詐訴訟。</t>
    </r>
  </si>
  <si>
    <t>5c5a3d54b63c28d3cfbc1f7e</t>
  </si>
  <si>
    <t>出版商和廣吿商呼籲歐盟和英國反壟斷監管機構暫停Meta的新商業條款</t>
  </si>
  <si>
    <r>
      <rPr>
        <sz val="10"/>
        <rFont val="Noto Sans CJK SC"/>
        <family val="2"/>
      </rPr>
      <t>出版商和廣吿商呼籲歐盟和英國反壟斷監管機構暫停</t>
    </r>
    <r>
      <rPr>
        <sz val="10"/>
        <rFont val="Arial"/>
        <family val="2"/>
      </rPr>
      <t>Meta</t>
    </r>
    <r>
      <rPr>
        <sz val="10"/>
        <rFont val="Noto Sans CJK SC"/>
        <family val="2"/>
      </rPr>
      <t>的新商業條款</t>
    </r>
  </si>
  <si>
    <t>d1348ad94c5e9aa7d9188003</t>
  </si>
  <si>
    <t>美股血洗！那斯達克重挫 2%、晶片股暴跌 5%，比特幣跌破 8.2 萬美元</t>
  </si>
  <si>
    <t>本新聞未提供任何關於公司違約、破產或其他信用風險事件的具體訊息，僅提及美股市場整體走勢。</t>
  </si>
  <si>
    <t>動區動趨</t>
  </si>
  <si>
    <t>638379708a271072654cb0d9</t>
  </si>
  <si>
    <t>FDS</t>
  </si>
  <si>
    <t>FactSet</t>
  </si>
  <si>
    <t>鉅亨速報 - Factset 最新調查：Skydance Corporation Class B(SKYD-US)EPS預估下修至0.44元，預估目標價為8.50元</t>
  </si>
  <si>
    <r>
      <rPr>
        <sz val="10"/>
        <rFont val="Noto Sans CJK SC"/>
        <family val="2"/>
      </rPr>
      <t xml:space="preserve">鉅亨速報 </t>
    </r>
    <r>
      <rPr>
        <sz val="10"/>
        <rFont val="Arial"/>
        <family val="2"/>
      </rPr>
      <t xml:space="preserve">- Factset </t>
    </r>
    <r>
      <rPr>
        <sz val="10"/>
        <rFont val="Noto Sans CJK SC"/>
        <family val="2"/>
      </rPr>
      <t>最新調查：</t>
    </r>
    <r>
      <rPr>
        <sz val="10"/>
        <rFont val="Arial"/>
        <family val="2"/>
      </rPr>
      <t>Skydance Corporation Class B(SKYD-US)EPS</t>
    </r>
    <r>
      <rPr>
        <sz val="10"/>
        <rFont val="Noto Sans CJK SC"/>
        <family val="2"/>
      </rPr>
      <t>預估下修至</t>
    </r>
    <r>
      <rPr>
        <sz val="10"/>
        <rFont val="Arial"/>
        <family val="2"/>
      </rPr>
      <t>0.44</t>
    </r>
    <r>
      <rPr>
        <sz val="10"/>
        <rFont val="Noto Sans CJK SC"/>
        <family val="2"/>
      </rPr>
      <t>元，預估目標價為</t>
    </r>
    <r>
      <rPr>
        <sz val="10"/>
        <rFont val="Arial"/>
        <family val="2"/>
      </rPr>
      <t>8.50</t>
    </r>
    <r>
      <rPr>
        <sz val="10"/>
        <rFont val="Noto Sans CJK SC"/>
        <family val="2"/>
      </rPr>
      <t>元</t>
    </r>
  </si>
  <si>
    <t>388aa46c9c672e79078b9e65</t>
  </si>
  <si>
    <t>鉅亨速報 - Factset 最新調查：美國航空集團(AAL-US)EPS預估下修至-1.21元，預估目標價為15.00元</t>
  </si>
  <si>
    <r>
      <rPr>
        <sz val="10"/>
        <rFont val="Noto Sans CJK SC"/>
        <family val="2"/>
      </rPr>
      <t xml:space="preserve">鉅亨速報 </t>
    </r>
    <r>
      <rPr>
        <sz val="10"/>
        <rFont val="Arial"/>
        <family val="2"/>
      </rPr>
      <t xml:space="preserve">- Factset </t>
    </r>
    <r>
      <rPr>
        <sz val="10"/>
        <rFont val="Noto Sans CJK SC"/>
        <family val="2"/>
      </rPr>
      <t>最新調查：美國航空集團</t>
    </r>
    <r>
      <rPr>
        <sz val="10"/>
        <rFont val="Arial"/>
        <family val="2"/>
      </rPr>
      <t>(AAL-US)EPS</t>
    </r>
    <r>
      <rPr>
        <sz val="10"/>
        <rFont val="Noto Sans CJK SC"/>
        <family val="2"/>
      </rPr>
      <t>預估下修至</t>
    </r>
    <r>
      <rPr>
        <sz val="10"/>
        <rFont val="Arial"/>
        <family val="2"/>
      </rPr>
      <t>-1.21</t>
    </r>
    <r>
      <rPr>
        <sz val="10"/>
        <rFont val="Noto Sans CJK SC"/>
        <family val="2"/>
      </rPr>
      <t>元，預估目標價為</t>
    </r>
    <r>
      <rPr>
        <sz val="10"/>
        <rFont val="Arial"/>
        <family val="2"/>
      </rPr>
      <t>15.00</t>
    </r>
    <r>
      <rPr>
        <sz val="10"/>
        <rFont val="Noto Sans CJK SC"/>
        <family val="2"/>
      </rPr>
      <t>元</t>
    </r>
  </si>
  <si>
    <t>79ec17dd4dcb696810161071</t>
  </si>
  <si>
    <t>鉅亨速報 - Factset 最新調查：德克斯戶外用品DECK-US的目標價調降至95.5元，幅度約11.57%</t>
  </si>
  <si>
    <r>
      <rPr>
        <sz val="10"/>
        <rFont val="Noto Sans CJK SC"/>
        <family val="2"/>
      </rPr>
      <t xml:space="preserve">鉅亨速報 </t>
    </r>
    <r>
      <rPr>
        <sz val="10"/>
        <rFont val="Arial"/>
        <family val="2"/>
      </rPr>
      <t xml:space="preserve">- Factset </t>
    </r>
    <r>
      <rPr>
        <sz val="10"/>
        <rFont val="Noto Sans CJK SC"/>
        <family val="2"/>
      </rPr>
      <t>最新調查：德克斯戶外用品</t>
    </r>
    <r>
      <rPr>
        <sz val="10"/>
        <rFont val="Arial"/>
        <family val="2"/>
      </rPr>
      <t>DECK-US</t>
    </r>
    <r>
      <rPr>
        <sz val="10"/>
        <rFont val="Noto Sans CJK SC"/>
        <family val="2"/>
      </rPr>
      <t>的目標價調降至</t>
    </r>
    <r>
      <rPr>
        <sz val="10"/>
        <rFont val="Arial"/>
        <family val="2"/>
      </rPr>
      <t>95.5</t>
    </r>
    <r>
      <rPr>
        <sz val="10"/>
        <rFont val="Noto Sans CJK SC"/>
        <family val="2"/>
      </rPr>
      <t>元，幅度約</t>
    </r>
    <r>
      <rPr>
        <sz val="10"/>
        <rFont val="Arial"/>
        <family val="2"/>
      </rPr>
      <t>11.57%</t>
    </r>
  </si>
  <si>
    <t>f099736ad3d76ab7474c538c</t>
  </si>
  <si>
    <t>鉅亨速報 - Factset 最新調查：Spotify Technology S.A.(SPOT-US)EPS預估下修至12.18元，預估目標價為591.89元</t>
  </si>
  <si>
    <r>
      <rPr>
        <sz val="10"/>
        <rFont val="Noto Sans CJK SC"/>
        <family val="2"/>
      </rPr>
      <t xml:space="preserve">鉅亨速報 </t>
    </r>
    <r>
      <rPr>
        <sz val="10"/>
        <rFont val="Arial"/>
        <family val="2"/>
      </rPr>
      <t xml:space="preserve">- Factset </t>
    </r>
    <r>
      <rPr>
        <sz val="10"/>
        <rFont val="Noto Sans CJK SC"/>
        <family val="2"/>
      </rPr>
      <t>最新調查：</t>
    </r>
    <r>
      <rPr>
        <sz val="10"/>
        <rFont val="Arial"/>
        <family val="2"/>
      </rPr>
      <t>Spotify Technology S.A.(SPOT-US)EPS</t>
    </r>
    <r>
      <rPr>
        <sz val="10"/>
        <rFont val="Noto Sans CJK SC"/>
        <family val="2"/>
      </rPr>
      <t>預估下修至</t>
    </r>
    <r>
      <rPr>
        <sz val="10"/>
        <rFont val="Arial"/>
        <family val="2"/>
      </rPr>
      <t>12.18</t>
    </r>
    <r>
      <rPr>
        <sz val="10"/>
        <rFont val="Noto Sans CJK SC"/>
        <family val="2"/>
      </rPr>
      <t>元，預估目標價為</t>
    </r>
    <r>
      <rPr>
        <sz val="10"/>
        <rFont val="Arial"/>
        <family val="2"/>
      </rPr>
      <t>591.89</t>
    </r>
    <r>
      <rPr>
        <sz val="10"/>
        <rFont val="Noto Sans CJK SC"/>
        <family val="2"/>
      </rPr>
      <t>元</t>
    </r>
  </si>
  <si>
    <t>9919fd95f016f291634b6098</t>
  </si>
  <si>
    <t>鉅亨速報 - Factset 最新調查：韓國電力(KEP-US)EPS預估下修至2.27元，預估目標價為15.73元</t>
  </si>
  <si>
    <r>
      <rPr>
        <sz val="10"/>
        <rFont val="Noto Sans CJK SC"/>
        <family val="2"/>
      </rPr>
      <t xml:space="preserve">鉅亨速報 </t>
    </r>
    <r>
      <rPr>
        <sz val="10"/>
        <rFont val="Arial"/>
        <family val="2"/>
      </rPr>
      <t xml:space="preserve">- Factset </t>
    </r>
    <r>
      <rPr>
        <sz val="10"/>
        <rFont val="Noto Sans CJK SC"/>
        <family val="2"/>
      </rPr>
      <t>最新調查：韓國電力</t>
    </r>
    <r>
      <rPr>
        <sz val="10"/>
        <rFont val="Arial"/>
        <family val="2"/>
      </rPr>
      <t>(KEP-US)EPS</t>
    </r>
    <r>
      <rPr>
        <sz val="10"/>
        <rFont val="Noto Sans CJK SC"/>
        <family val="2"/>
      </rPr>
      <t>預估下修至</t>
    </r>
    <r>
      <rPr>
        <sz val="10"/>
        <rFont val="Arial"/>
        <family val="2"/>
      </rPr>
      <t>2.27</t>
    </r>
    <r>
      <rPr>
        <sz val="10"/>
        <rFont val="Noto Sans CJK SC"/>
        <family val="2"/>
      </rPr>
      <t>元，預估目標價為</t>
    </r>
    <r>
      <rPr>
        <sz val="10"/>
        <rFont val="Arial"/>
        <family val="2"/>
      </rPr>
      <t>15.73</t>
    </r>
    <r>
      <rPr>
        <sz val="10"/>
        <rFont val="Noto Sans CJK SC"/>
        <family val="2"/>
      </rPr>
      <t>元</t>
    </r>
  </si>
  <si>
    <t>80e6c908bbef3abb04f02848</t>
  </si>
  <si>
    <t>鉅亨速報 - Factset 最新調查：卡朋特科技CRS-US的目標價調降至485元，幅度約9.77%</t>
  </si>
  <si>
    <r>
      <rPr>
        <sz val="10"/>
        <rFont val="Noto Sans CJK SC"/>
        <family val="2"/>
      </rPr>
      <t xml:space="preserve">鉅亨速報 </t>
    </r>
    <r>
      <rPr>
        <sz val="10"/>
        <rFont val="Arial"/>
        <family val="2"/>
      </rPr>
      <t xml:space="preserve">- Factset </t>
    </r>
    <r>
      <rPr>
        <sz val="10"/>
        <rFont val="Noto Sans CJK SC"/>
        <family val="2"/>
      </rPr>
      <t>最新調查：卡朋特科技</t>
    </r>
    <r>
      <rPr>
        <sz val="10"/>
        <rFont val="Arial"/>
        <family val="2"/>
      </rPr>
      <t>CRS-US</t>
    </r>
    <r>
      <rPr>
        <sz val="10"/>
        <rFont val="Noto Sans CJK SC"/>
        <family val="2"/>
      </rPr>
      <t>的目標價調降至</t>
    </r>
    <r>
      <rPr>
        <sz val="10"/>
        <rFont val="Arial"/>
        <family val="2"/>
      </rPr>
      <t>485</t>
    </r>
    <r>
      <rPr>
        <sz val="10"/>
        <rFont val="Noto Sans CJK SC"/>
        <family val="2"/>
      </rPr>
      <t>元，幅度約</t>
    </r>
    <r>
      <rPr>
        <sz val="10"/>
        <rFont val="Arial"/>
        <family val="2"/>
      </rPr>
      <t>9.77%</t>
    </r>
  </si>
  <si>
    <t>f5697465a1352df1a4cb68cf</t>
  </si>
  <si>
    <t>鉅亨速報 - Factset 最新調查：杭庭頓(HBAN-US)EPS預估下修至1.31元，預估目標價為19.00元</t>
  </si>
  <si>
    <r>
      <rPr>
        <sz val="10"/>
        <rFont val="Noto Sans CJK SC"/>
        <family val="2"/>
      </rPr>
      <t xml:space="preserve">鉅亨速報 </t>
    </r>
    <r>
      <rPr>
        <sz val="10"/>
        <rFont val="Arial"/>
        <family val="2"/>
      </rPr>
      <t xml:space="preserve">- Factset </t>
    </r>
    <r>
      <rPr>
        <sz val="10"/>
        <rFont val="Noto Sans CJK SC"/>
        <family val="2"/>
      </rPr>
      <t>最新調查：杭庭頓</t>
    </r>
    <r>
      <rPr>
        <sz val="10"/>
        <rFont val="Arial"/>
        <family val="2"/>
      </rPr>
      <t>(HBAN-US)EPS</t>
    </r>
    <r>
      <rPr>
        <sz val="10"/>
        <rFont val="Noto Sans CJK SC"/>
        <family val="2"/>
      </rPr>
      <t>預估下修至</t>
    </r>
    <r>
      <rPr>
        <sz val="10"/>
        <rFont val="Arial"/>
        <family val="2"/>
      </rPr>
      <t>1.31</t>
    </r>
    <r>
      <rPr>
        <sz val="10"/>
        <rFont val="Noto Sans CJK SC"/>
        <family val="2"/>
      </rPr>
      <t>元，預估目標價為</t>
    </r>
    <r>
      <rPr>
        <sz val="10"/>
        <rFont val="Arial"/>
        <family val="2"/>
      </rPr>
      <t>19.00</t>
    </r>
    <r>
      <rPr>
        <sz val="10"/>
        <rFont val="Noto Sans CJK SC"/>
        <family val="2"/>
      </rPr>
      <t>元</t>
    </r>
  </si>
  <si>
    <t>f11b3a639682926d006c4853</t>
  </si>
  <si>
    <t>鉅亨速報 - Factset 最新調查：Pershing Square Inc.(PS-US)EPS預估下修至0.49元，預估目標價為43.00元</t>
  </si>
  <si>
    <r>
      <rPr>
        <sz val="10"/>
        <rFont val="Noto Sans CJK SC"/>
        <family val="2"/>
      </rPr>
      <t xml:space="preserve">鉅亨速報 </t>
    </r>
    <r>
      <rPr>
        <sz val="10"/>
        <rFont val="Arial"/>
        <family val="2"/>
      </rPr>
      <t xml:space="preserve">- Factset </t>
    </r>
    <r>
      <rPr>
        <sz val="10"/>
        <rFont val="Noto Sans CJK SC"/>
        <family val="2"/>
      </rPr>
      <t>最新調查：</t>
    </r>
    <r>
      <rPr>
        <sz val="10"/>
        <rFont val="Arial"/>
        <family val="2"/>
      </rPr>
      <t>Pershing Square Inc.(PS-US)EPS</t>
    </r>
    <r>
      <rPr>
        <sz val="10"/>
        <rFont val="Noto Sans CJK SC"/>
        <family val="2"/>
      </rPr>
      <t>預估下修至</t>
    </r>
    <r>
      <rPr>
        <sz val="10"/>
        <rFont val="Arial"/>
        <family val="2"/>
      </rPr>
      <t>0.49</t>
    </r>
    <r>
      <rPr>
        <sz val="10"/>
        <rFont val="Noto Sans CJK SC"/>
        <family val="2"/>
      </rPr>
      <t>元，預估目標價為</t>
    </r>
    <r>
      <rPr>
        <sz val="10"/>
        <rFont val="Arial"/>
        <family val="2"/>
      </rPr>
      <t>43.00</t>
    </r>
    <r>
      <rPr>
        <sz val="10"/>
        <rFont val="Noto Sans CJK SC"/>
        <family val="2"/>
      </rPr>
      <t>元</t>
    </r>
  </si>
  <si>
    <t>a7a1d9f7fac08c19261c0dea</t>
  </si>
  <si>
    <t>鉅亨速報 - Factset 最新調查：MP材料(MP-US)EPS預估下修至-0.04元，預估目標價為65.00元</t>
  </si>
  <si>
    <r>
      <rPr>
        <sz val="10"/>
        <rFont val="Noto Sans CJK SC"/>
        <family val="2"/>
      </rPr>
      <t xml:space="preserve">鉅亨速報 </t>
    </r>
    <r>
      <rPr>
        <sz val="10"/>
        <rFont val="Arial"/>
        <family val="2"/>
      </rPr>
      <t xml:space="preserve">- Factset </t>
    </r>
    <r>
      <rPr>
        <sz val="10"/>
        <rFont val="Noto Sans CJK SC"/>
        <family val="2"/>
      </rPr>
      <t>最新調查：</t>
    </r>
    <r>
      <rPr>
        <sz val="10"/>
        <rFont val="Arial"/>
        <family val="2"/>
      </rPr>
      <t>MP</t>
    </r>
    <r>
      <rPr>
        <sz val="10"/>
        <rFont val="Noto Sans CJK SC"/>
        <family val="2"/>
      </rPr>
      <t>材料</t>
    </r>
    <r>
      <rPr>
        <sz val="10"/>
        <rFont val="Arial"/>
        <family val="2"/>
      </rPr>
      <t>(MP-US)EPS</t>
    </r>
    <r>
      <rPr>
        <sz val="10"/>
        <rFont val="Noto Sans CJK SC"/>
        <family val="2"/>
      </rPr>
      <t>預估下修至</t>
    </r>
    <r>
      <rPr>
        <sz val="10"/>
        <rFont val="Arial"/>
        <family val="2"/>
      </rPr>
      <t>-0.04</t>
    </r>
    <r>
      <rPr>
        <sz val="10"/>
        <rFont val="Noto Sans CJK SC"/>
        <family val="2"/>
      </rPr>
      <t>元，預估目標價為</t>
    </r>
    <r>
      <rPr>
        <sz val="10"/>
        <rFont val="Arial"/>
        <family val="2"/>
      </rPr>
      <t>65.00</t>
    </r>
    <r>
      <rPr>
        <sz val="10"/>
        <rFont val="Noto Sans CJK SC"/>
        <family val="2"/>
      </rPr>
      <t>元</t>
    </r>
  </si>
  <si>
    <t>2845d4c2e1879c4a060bff6c</t>
  </si>
  <si>
    <t>鉅亨速報 - Factset 最新調查：第一產業不動產投資信託FR-US的目標價調降至69元，幅度約3.5%</t>
  </si>
  <si>
    <r>
      <rPr>
        <sz val="10"/>
        <rFont val="Noto Sans CJK SC"/>
        <family val="2"/>
      </rPr>
      <t xml:space="preserve">鉅亨速報 </t>
    </r>
    <r>
      <rPr>
        <sz val="10"/>
        <rFont val="Arial"/>
        <family val="2"/>
      </rPr>
      <t xml:space="preserve">- Factset </t>
    </r>
    <r>
      <rPr>
        <sz val="10"/>
        <rFont val="Noto Sans CJK SC"/>
        <family val="2"/>
      </rPr>
      <t>最新調查：第一產業不動產投資信託</t>
    </r>
    <r>
      <rPr>
        <sz val="10"/>
        <rFont val="Arial"/>
        <family val="2"/>
      </rPr>
      <t>FR-US</t>
    </r>
    <r>
      <rPr>
        <sz val="10"/>
        <rFont val="Noto Sans CJK SC"/>
        <family val="2"/>
      </rPr>
      <t>的目標價調降至</t>
    </r>
    <r>
      <rPr>
        <sz val="10"/>
        <rFont val="Arial"/>
        <family val="2"/>
      </rPr>
      <t>69</t>
    </r>
    <r>
      <rPr>
        <sz val="10"/>
        <rFont val="Noto Sans CJK SC"/>
        <family val="2"/>
      </rPr>
      <t>元，幅度約</t>
    </r>
    <r>
      <rPr>
        <sz val="10"/>
        <rFont val="Arial"/>
        <family val="2"/>
      </rPr>
      <t>3.5%</t>
    </r>
  </si>
  <si>
    <t>826b7c19a445f6b25c80cc05</t>
  </si>
  <si>
    <t>鉅亨速報 - Factset 最新調查：NVR Inc.(NVR-US)EPS預估下修至345.39元，預估目標價為6,150.00元</t>
  </si>
  <si>
    <r>
      <rPr>
        <sz val="10"/>
        <rFont val="Noto Sans CJK SC"/>
        <family val="2"/>
      </rPr>
      <t xml:space="preserve">鉅亨速報 </t>
    </r>
    <r>
      <rPr>
        <sz val="10"/>
        <rFont val="Arial"/>
        <family val="2"/>
      </rPr>
      <t xml:space="preserve">- Factset </t>
    </r>
    <r>
      <rPr>
        <sz val="10"/>
        <rFont val="Noto Sans CJK SC"/>
        <family val="2"/>
      </rPr>
      <t>最新調查：</t>
    </r>
    <r>
      <rPr>
        <sz val="10"/>
        <rFont val="Arial"/>
        <family val="2"/>
      </rPr>
      <t>NVR Inc.(NVR-US)EPS</t>
    </r>
    <r>
      <rPr>
        <sz val="10"/>
        <rFont val="Noto Sans CJK SC"/>
        <family val="2"/>
      </rPr>
      <t>預估下修至</t>
    </r>
    <r>
      <rPr>
        <sz val="10"/>
        <rFont val="Arial"/>
        <family val="2"/>
      </rPr>
      <t>345.39</t>
    </r>
    <r>
      <rPr>
        <sz val="10"/>
        <rFont val="Noto Sans CJK SC"/>
        <family val="2"/>
      </rPr>
      <t>元，預估目標價為</t>
    </r>
    <r>
      <rPr>
        <sz val="10"/>
        <rFont val="Arial"/>
        <family val="2"/>
      </rPr>
      <t>6,150.00</t>
    </r>
    <r>
      <rPr>
        <sz val="10"/>
        <rFont val="Noto Sans CJK SC"/>
        <family val="2"/>
      </rPr>
      <t>元</t>
    </r>
  </si>
  <si>
    <t>0d96921d550f0e9a7d4e0a12</t>
  </si>
  <si>
    <t>鉅亨速報 - Factset 最新調查：吉利德科學(GILD-US)EPS預估下修至-0.41元，預估目標價為165.00元</t>
  </si>
  <si>
    <r>
      <rPr>
        <sz val="10"/>
        <rFont val="Noto Sans CJK SC"/>
        <family val="2"/>
      </rPr>
      <t xml:space="preserve">鉅亨速報 </t>
    </r>
    <r>
      <rPr>
        <sz val="10"/>
        <rFont val="Arial"/>
        <family val="2"/>
      </rPr>
      <t xml:space="preserve">- Factset </t>
    </r>
    <r>
      <rPr>
        <sz val="10"/>
        <rFont val="Noto Sans CJK SC"/>
        <family val="2"/>
      </rPr>
      <t>最新調查：吉利德科學</t>
    </r>
    <r>
      <rPr>
        <sz val="10"/>
        <rFont val="Arial"/>
        <family val="2"/>
      </rPr>
      <t>(GILD-US)EPS</t>
    </r>
    <r>
      <rPr>
        <sz val="10"/>
        <rFont val="Noto Sans CJK SC"/>
        <family val="2"/>
      </rPr>
      <t>預估下修至</t>
    </r>
    <r>
      <rPr>
        <sz val="10"/>
        <rFont val="Arial"/>
        <family val="2"/>
      </rPr>
      <t>-0.41</t>
    </r>
    <r>
      <rPr>
        <sz val="10"/>
        <rFont val="Noto Sans CJK SC"/>
        <family val="2"/>
      </rPr>
      <t>元，預估目標價為</t>
    </r>
    <r>
      <rPr>
        <sz val="10"/>
        <rFont val="Arial"/>
        <family val="2"/>
      </rPr>
      <t>165.00</t>
    </r>
    <r>
      <rPr>
        <sz val="10"/>
        <rFont val="Noto Sans CJK SC"/>
        <family val="2"/>
      </rPr>
      <t>元</t>
    </r>
  </si>
  <si>
    <t>8fe01995b7b27b5a6853e11d</t>
  </si>
  <si>
    <t>鉅亨速報 - Factset 最新調查：Smithfield Foods, Inc.SFD-US的目標價調降至24元，幅度約7.69%</t>
  </si>
  <si>
    <r>
      <rPr>
        <sz val="10"/>
        <rFont val="Noto Sans CJK SC"/>
        <family val="2"/>
      </rPr>
      <t xml:space="preserve">鉅亨速報 </t>
    </r>
    <r>
      <rPr>
        <sz val="10"/>
        <rFont val="Arial"/>
        <family val="2"/>
      </rPr>
      <t xml:space="preserve">- Factset </t>
    </r>
    <r>
      <rPr>
        <sz val="10"/>
        <rFont val="Noto Sans CJK SC"/>
        <family val="2"/>
      </rPr>
      <t>最新調查：</t>
    </r>
    <r>
      <rPr>
        <sz val="10"/>
        <rFont val="Arial"/>
        <family val="2"/>
      </rPr>
      <t>Smithfield Foods, Inc.SFD-US</t>
    </r>
    <r>
      <rPr>
        <sz val="10"/>
        <rFont val="Noto Sans CJK SC"/>
        <family val="2"/>
      </rPr>
      <t>的目標價調降至</t>
    </r>
    <r>
      <rPr>
        <sz val="10"/>
        <rFont val="Arial"/>
        <family val="2"/>
      </rPr>
      <t>24</t>
    </r>
    <r>
      <rPr>
        <sz val="10"/>
        <rFont val="Noto Sans CJK SC"/>
        <family val="2"/>
      </rPr>
      <t>元，幅度約</t>
    </r>
    <r>
      <rPr>
        <sz val="10"/>
        <rFont val="Arial"/>
        <family val="2"/>
      </rPr>
      <t>7.69%</t>
    </r>
  </si>
  <si>
    <t>35232f41af952fe2f4c0224d</t>
  </si>
  <si>
    <t>鉅亨速報 - Factset 最新調查：小鵬汽車XPEV-US的目標價調降至16.71元，幅度約4.02%</t>
  </si>
  <si>
    <r>
      <rPr>
        <sz val="10"/>
        <rFont val="Noto Sans CJK SC"/>
        <family val="2"/>
      </rPr>
      <t xml:space="preserve">鉅亨速報 </t>
    </r>
    <r>
      <rPr>
        <sz val="10"/>
        <rFont val="Arial"/>
        <family val="2"/>
      </rPr>
      <t xml:space="preserve">- Factset </t>
    </r>
    <r>
      <rPr>
        <sz val="10"/>
        <rFont val="Noto Sans CJK SC"/>
        <family val="2"/>
      </rPr>
      <t>最新調查：小鵬汽車</t>
    </r>
    <r>
      <rPr>
        <sz val="10"/>
        <rFont val="Arial"/>
        <family val="2"/>
      </rPr>
      <t>XPEV-US</t>
    </r>
    <r>
      <rPr>
        <sz val="10"/>
        <rFont val="Noto Sans CJK SC"/>
        <family val="2"/>
      </rPr>
      <t>的目標價調降至</t>
    </r>
    <r>
      <rPr>
        <sz val="10"/>
        <rFont val="Arial"/>
        <family val="2"/>
      </rPr>
      <t>16.71</t>
    </r>
    <r>
      <rPr>
        <sz val="10"/>
        <rFont val="Noto Sans CJK SC"/>
        <family val="2"/>
      </rPr>
      <t>元，幅度約</t>
    </r>
    <r>
      <rPr>
        <sz val="10"/>
        <rFont val="Arial"/>
        <family val="2"/>
      </rPr>
      <t>4.02%</t>
    </r>
  </si>
  <si>
    <t>a3ff6f412ac979d7430fa429</t>
  </si>
  <si>
    <t>鉅亨速報 - Factset 最新調查：宏盟集團(OMC-US)EPS預估下修至10.28元，預估目標價為100.00元</t>
  </si>
  <si>
    <r>
      <rPr>
        <sz val="10"/>
        <rFont val="Noto Sans CJK SC"/>
        <family val="2"/>
      </rPr>
      <t xml:space="preserve">鉅亨速報 </t>
    </r>
    <r>
      <rPr>
        <sz val="10"/>
        <rFont val="Arial"/>
        <family val="2"/>
      </rPr>
      <t xml:space="preserve">- Factset </t>
    </r>
    <r>
      <rPr>
        <sz val="10"/>
        <rFont val="Noto Sans CJK SC"/>
        <family val="2"/>
      </rPr>
      <t>最新調查：宏盟集團</t>
    </r>
    <r>
      <rPr>
        <sz val="10"/>
        <rFont val="Arial"/>
        <family val="2"/>
      </rPr>
      <t>(OMC-US)EPS</t>
    </r>
    <r>
      <rPr>
        <sz val="10"/>
        <rFont val="Noto Sans CJK SC"/>
        <family val="2"/>
      </rPr>
      <t>預估下修至</t>
    </r>
    <r>
      <rPr>
        <sz val="10"/>
        <rFont val="Arial"/>
        <family val="2"/>
      </rPr>
      <t>10.28</t>
    </r>
    <r>
      <rPr>
        <sz val="10"/>
        <rFont val="Noto Sans CJK SC"/>
        <family val="2"/>
      </rPr>
      <t>元，預估目標價為</t>
    </r>
    <r>
      <rPr>
        <sz val="10"/>
        <rFont val="Arial"/>
        <family val="2"/>
      </rPr>
      <t>100.00</t>
    </r>
    <r>
      <rPr>
        <sz val="10"/>
        <rFont val="Noto Sans CJK SC"/>
        <family val="2"/>
      </rPr>
      <t>元</t>
    </r>
  </si>
  <si>
    <t>50567dd355ea7ff1a84d3324</t>
  </si>
  <si>
    <t>鉅亨速報 - Factset 最新調查：漢威聯合國際HON-US的目標價調降至254元，幅度約3.05%</t>
  </si>
  <si>
    <r>
      <rPr>
        <sz val="10"/>
        <rFont val="Noto Sans CJK SC"/>
        <family val="2"/>
      </rPr>
      <t xml:space="preserve">鉅亨速報 </t>
    </r>
    <r>
      <rPr>
        <sz val="10"/>
        <rFont val="Arial"/>
        <family val="2"/>
      </rPr>
      <t xml:space="preserve">- Factset </t>
    </r>
    <r>
      <rPr>
        <sz val="10"/>
        <rFont val="Noto Sans CJK SC"/>
        <family val="2"/>
      </rPr>
      <t>最新調查：漢威聯合國際</t>
    </r>
    <r>
      <rPr>
        <sz val="10"/>
        <rFont val="Arial"/>
        <family val="2"/>
      </rPr>
      <t>HON-US</t>
    </r>
    <r>
      <rPr>
        <sz val="10"/>
        <rFont val="Noto Sans CJK SC"/>
        <family val="2"/>
      </rPr>
      <t>的目標價調降至</t>
    </r>
    <r>
      <rPr>
        <sz val="10"/>
        <rFont val="Arial"/>
        <family val="2"/>
      </rPr>
      <t>254</t>
    </r>
    <r>
      <rPr>
        <sz val="10"/>
        <rFont val="Noto Sans CJK SC"/>
        <family val="2"/>
      </rPr>
      <t>元，幅度約</t>
    </r>
    <r>
      <rPr>
        <sz val="10"/>
        <rFont val="Arial"/>
        <family val="2"/>
      </rPr>
      <t>3.05%</t>
    </r>
  </si>
  <si>
    <t>b9db40f287b0b904db28f7c2</t>
  </si>
  <si>
    <r>
      <rPr>
        <sz val="10"/>
        <rFont val="Noto Sans CJK SC"/>
        <family val="2"/>
      </rPr>
      <t>債市破裂，</t>
    </r>
    <r>
      <rPr>
        <sz val="10"/>
        <rFont val="Arial"/>
        <family val="2"/>
      </rPr>
      <t>CDS</t>
    </r>
    <r>
      <rPr>
        <sz val="10"/>
        <rFont val="Noto Sans CJK SC"/>
        <family val="2"/>
      </rPr>
      <t>飆升，美股</t>
    </r>
    <r>
      <rPr>
        <sz val="10"/>
        <rFont val="Arial"/>
        <family val="2"/>
      </rPr>
      <t>AI</t>
    </r>
    <r>
      <rPr>
        <sz val="10"/>
        <rFont val="Noto Sans CJK SC"/>
        <family val="2"/>
      </rPr>
      <t>的第一張骨牌要倒了？</t>
    </r>
  </si>
  <si>
    <t>4034135a94db84aaf37a2dc9</t>
  </si>
  <si>
    <t>鉅亨速報 - Factset 最新調查：奇波雷墨西哥燒烤CMG-US的目標價調降至40元，幅度約4.76%</t>
  </si>
  <si>
    <r>
      <rPr>
        <sz val="10"/>
        <rFont val="Noto Sans CJK SC"/>
        <family val="2"/>
      </rPr>
      <t xml:space="preserve">鉅亨速報 </t>
    </r>
    <r>
      <rPr>
        <sz val="10"/>
        <rFont val="Arial"/>
        <family val="2"/>
      </rPr>
      <t xml:space="preserve">- Factset </t>
    </r>
    <r>
      <rPr>
        <sz val="10"/>
        <rFont val="Noto Sans CJK SC"/>
        <family val="2"/>
      </rPr>
      <t>最新調查：奇波雷墨西哥燒烤</t>
    </r>
    <r>
      <rPr>
        <sz val="10"/>
        <rFont val="Arial"/>
        <family val="2"/>
      </rPr>
      <t>CMG-US</t>
    </r>
    <r>
      <rPr>
        <sz val="10"/>
        <rFont val="Noto Sans CJK SC"/>
        <family val="2"/>
      </rPr>
      <t>的目標價調降至</t>
    </r>
    <r>
      <rPr>
        <sz val="10"/>
        <rFont val="Arial"/>
        <family val="2"/>
      </rPr>
      <t>40</t>
    </r>
    <r>
      <rPr>
        <sz val="10"/>
        <rFont val="Noto Sans CJK SC"/>
        <family val="2"/>
      </rPr>
      <t>元，幅度約</t>
    </r>
    <r>
      <rPr>
        <sz val="10"/>
        <rFont val="Arial"/>
        <family val="2"/>
      </rPr>
      <t>4.76%</t>
    </r>
  </si>
  <si>
    <t>3e938229d44ae222f56323b1</t>
  </si>
  <si>
    <t>鉅亨速報 - Factset 最新調查：Element Solutions IncESI-US的目標價調降至46元，幅度約4.17%</t>
  </si>
  <si>
    <r>
      <rPr>
        <sz val="10"/>
        <rFont val="Noto Sans CJK SC"/>
        <family val="2"/>
      </rPr>
      <t xml:space="preserve">鉅亨速報 </t>
    </r>
    <r>
      <rPr>
        <sz val="10"/>
        <rFont val="Arial"/>
        <family val="2"/>
      </rPr>
      <t xml:space="preserve">- Factset </t>
    </r>
    <r>
      <rPr>
        <sz val="10"/>
        <rFont val="Noto Sans CJK SC"/>
        <family val="2"/>
      </rPr>
      <t>最新調查：</t>
    </r>
    <r>
      <rPr>
        <sz val="10"/>
        <rFont val="Arial"/>
        <family val="2"/>
      </rPr>
      <t>Element Solutions IncESI-US</t>
    </r>
    <r>
      <rPr>
        <sz val="10"/>
        <rFont val="Noto Sans CJK SC"/>
        <family val="2"/>
      </rPr>
      <t>的目標價調降至</t>
    </r>
    <r>
      <rPr>
        <sz val="10"/>
        <rFont val="Arial"/>
        <family val="2"/>
      </rPr>
      <t>46</t>
    </r>
    <r>
      <rPr>
        <sz val="10"/>
        <rFont val="Noto Sans CJK SC"/>
        <family val="2"/>
      </rPr>
      <t>元，幅度約</t>
    </r>
    <r>
      <rPr>
        <sz val="10"/>
        <rFont val="Arial"/>
        <family val="2"/>
      </rPr>
      <t>4.17%</t>
    </r>
  </si>
  <si>
    <t>0d77c89072742c1d63405141</t>
  </si>
  <si>
    <t>鉅亨速報 - Factset 最新調查：Stifel Financial Corp.SF-US的目標價調降至80元，幅度約3.61%</t>
  </si>
  <si>
    <r>
      <rPr>
        <sz val="10"/>
        <rFont val="Noto Sans CJK SC"/>
        <family val="2"/>
      </rPr>
      <t xml:space="preserve">鉅亨速報 </t>
    </r>
    <r>
      <rPr>
        <sz val="10"/>
        <rFont val="Arial"/>
        <family val="2"/>
      </rPr>
      <t xml:space="preserve">- Factset </t>
    </r>
    <r>
      <rPr>
        <sz val="10"/>
        <rFont val="Noto Sans CJK SC"/>
        <family val="2"/>
      </rPr>
      <t>最新調查：</t>
    </r>
    <r>
      <rPr>
        <sz val="10"/>
        <rFont val="Arial"/>
        <family val="2"/>
      </rPr>
      <t>Stifel Financial Corp.SF-US</t>
    </r>
    <r>
      <rPr>
        <sz val="10"/>
        <rFont val="Noto Sans CJK SC"/>
        <family val="2"/>
      </rPr>
      <t>的目標價調降至</t>
    </r>
    <r>
      <rPr>
        <sz val="10"/>
        <rFont val="Arial"/>
        <family val="2"/>
      </rPr>
      <t>80</t>
    </r>
    <r>
      <rPr>
        <sz val="10"/>
        <rFont val="Noto Sans CJK SC"/>
        <family val="2"/>
      </rPr>
      <t>元，幅度約</t>
    </r>
    <r>
      <rPr>
        <sz val="10"/>
        <rFont val="Arial"/>
        <family val="2"/>
      </rPr>
      <t>3.61%</t>
    </r>
  </si>
  <si>
    <t>7da191ccbd40a538831e3e5c</t>
  </si>
  <si>
    <t>鉅亨速報 - Factset 最新調查：布魯姆能源(BE-US)EPS預估上修至3.15元，預估目標價為316.00元</t>
  </si>
  <si>
    <r>
      <rPr>
        <sz val="10"/>
        <rFont val="Noto Sans CJK SC"/>
        <family val="2"/>
      </rPr>
      <t xml:space="preserve">鉅亨速報 </t>
    </r>
    <r>
      <rPr>
        <sz val="10"/>
        <rFont val="Arial"/>
        <family val="2"/>
      </rPr>
      <t xml:space="preserve">- Factset </t>
    </r>
    <r>
      <rPr>
        <sz val="10"/>
        <rFont val="Noto Sans CJK SC"/>
        <family val="2"/>
      </rPr>
      <t>最新調查：布魯姆能源</t>
    </r>
    <r>
      <rPr>
        <sz val="10"/>
        <rFont val="Arial"/>
        <family val="2"/>
      </rPr>
      <t>(BE-US)EPS</t>
    </r>
    <r>
      <rPr>
        <sz val="10"/>
        <rFont val="Noto Sans CJK SC"/>
        <family val="2"/>
      </rPr>
      <t>預估上修至</t>
    </r>
    <r>
      <rPr>
        <sz val="10"/>
        <rFont val="Arial"/>
        <family val="2"/>
      </rPr>
      <t>3.15</t>
    </r>
    <r>
      <rPr>
        <sz val="10"/>
        <rFont val="Noto Sans CJK SC"/>
        <family val="2"/>
      </rPr>
      <t>元，預估目標價為</t>
    </r>
    <r>
      <rPr>
        <sz val="10"/>
        <rFont val="Arial"/>
        <family val="2"/>
      </rPr>
      <t>316.00</t>
    </r>
    <r>
      <rPr>
        <sz val="10"/>
        <rFont val="Noto Sans CJK SC"/>
        <family val="2"/>
      </rPr>
      <t>元</t>
    </r>
  </si>
  <si>
    <t>1374cb270b937d673ca26f4d</t>
  </si>
  <si>
    <t>鉅亨速報 - Factset 最新調查：諾福克南方(NSC-US)EPS預估上修至13.06元，預估目標價為363.00元</t>
  </si>
  <si>
    <r>
      <rPr>
        <sz val="10"/>
        <rFont val="Noto Sans CJK SC"/>
        <family val="2"/>
      </rPr>
      <t xml:space="preserve">鉅亨速報 </t>
    </r>
    <r>
      <rPr>
        <sz val="10"/>
        <rFont val="Arial"/>
        <family val="2"/>
      </rPr>
      <t xml:space="preserve">- Factset </t>
    </r>
    <r>
      <rPr>
        <sz val="10"/>
        <rFont val="Noto Sans CJK SC"/>
        <family val="2"/>
      </rPr>
      <t>最新調查：諾福克南方</t>
    </r>
    <r>
      <rPr>
        <sz val="10"/>
        <rFont val="Arial"/>
        <family val="2"/>
      </rPr>
      <t>(NSC-US)EPS</t>
    </r>
    <r>
      <rPr>
        <sz val="10"/>
        <rFont val="Noto Sans CJK SC"/>
        <family val="2"/>
      </rPr>
      <t>預估上修至</t>
    </r>
    <r>
      <rPr>
        <sz val="10"/>
        <rFont val="Arial"/>
        <family val="2"/>
      </rPr>
      <t>13.06</t>
    </r>
    <r>
      <rPr>
        <sz val="10"/>
        <rFont val="Noto Sans CJK SC"/>
        <family val="2"/>
      </rPr>
      <t>元，預估目標價為</t>
    </r>
    <r>
      <rPr>
        <sz val="10"/>
        <rFont val="Arial"/>
        <family val="2"/>
      </rPr>
      <t>363.00</t>
    </r>
    <r>
      <rPr>
        <sz val="10"/>
        <rFont val="Noto Sans CJK SC"/>
        <family val="2"/>
      </rPr>
      <t>元</t>
    </r>
  </si>
  <si>
    <t>afdeb672afeed3c79b21c834</t>
  </si>
  <si>
    <t>鉅亨速報 - Factset 最新調查：Argen X SE - ADRARGX-US的目標價調升至1190元，幅度約4.39%</t>
  </si>
  <si>
    <r>
      <rPr>
        <sz val="10"/>
        <rFont val="Noto Sans CJK SC"/>
        <family val="2"/>
      </rPr>
      <t xml:space="preserve">鉅亨速報 </t>
    </r>
    <r>
      <rPr>
        <sz val="10"/>
        <rFont val="Arial"/>
        <family val="2"/>
      </rPr>
      <t xml:space="preserve">- Factset </t>
    </r>
    <r>
      <rPr>
        <sz val="10"/>
        <rFont val="Noto Sans CJK SC"/>
        <family val="2"/>
      </rPr>
      <t>最新調查：</t>
    </r>
    <r>
      <rPr>
        <sz val="10"/>
        <rFont val="Arial"/>
        <family val="2"/>
      </rPr>
      <t>Argen X SE - ADRARGX-US</t>
    </r>
    <r>
      <rPr>
        <sz val="10"/>
        <rFont val="Noto Sans CJK SC"/>
        <family val="2"/>
      </rPr>
      <t>的目標價調升至</t>
    </r>
    <r>
      <rPr>
        <sz val="10"/>
        <rFont val="Arial"/>
        <family val="2"/>
      </rPr>
      <t>1190</t>
    </r>
    <r>
      <rPr>
        <sz val="10"/>
        <rFont val="Noto Sans CJK SC"/>
        <family val="2"/>
      </rPr>
      <t>元，幅度約</t>
    </r>
    <r>
      <rPr>
        <sz val="10"/>
        <rFont val="Arial"/>
        <family val="2"/>
      </rPr>
      <t>4.39%</t>
    </r>
  </si>
  <si>
    <t>4346519a093fdeb706573451</t>
  </si>
  <si>
    <t>鉅亨速報 - Factset 最新調查：Sasol Ltd - ADR(SSL-US)EPS預估上修至3.22元，預估目標價為15.82元</t>
  </si>
  <si>
    <r>
      <rPr>
        <sz val="10"/>
        <rFont val="Noto Sans CJK SC"/>
        <family val="2"/>
      </rPr>
      <t xml:space="preserve">鉅亨速報 </t>
    </r>
    <r>
      <rPr>
        <sz val="10"/>
        <rFont val="Arial"/>
        <family val="2"/>
      </rPr>
      <t xml:space="preserve">- Factset </t>
    </r>
    <r>
      <rPr>
        <sz val="10"/>
        <rFont val="Noto Sans CJK SC"/>
        <family val="2"/>
      </rPr>
      <t>最新調查：</t>
    </r>
    <r>
      <rPr>
        <sz val="10"/>
        <rFont val="Arial"/>
        <family val="2"/>
      </rPr>
      <t>Sasol Ltd - ADR(SSL-US)EPS</t>
    </r>
    <r>
      <rPr>
        <sz val="10"/>
        <rFont val="Noto Sans CJK SC"/>
        <family val="2"/>
      </rPr>
      <t>預估上修至</t>
    </r>
    <r>
      <rPr>
        <sz val="10"/>
        <rFont val="Arial"/>
        <family val="2"/>
      </rPr>
      <t>3.22</t>
    </r>
    <r>
      <rPr>
        <sz val="10"/>
        <rFont val="Noto Sans CJK SC"/>
        <family val="2"/>
      </rPr>
      <t>元，預估目標價為</t>
    </r>
    <r>
      <rPr>
        <sz val="10"/>
        <rFont val="Arial"/>
        <family val="2"/>
      </rPr>
      <t>15.82</t>
    </r>
    <r>
      <rPr>
        <sz val="10"/>
        <rFont val="Noto Sans CJK SC"/>
        <family val="2"/>
      </rPr>
      <t>元</t>
    </r>
  </si>
  <si>
    <t>43be22acf280a8de52e0c8cd</t>
  </si>
  <si>
    <t>鉅亨速報 - Factset 最新調查：威騰電子(WDC-US)EPS預估上修至24.05元，預估目標價為650.00元</t>
  </si>
  <si>
    <r>
      <rPr>
        <sz val="10"/>
        <rFont val="Noto Sans CJK SC"/>
        <family val="2"/>
      </rPr>
      <t xml:space="preserve">鉅亨速報 </t>
    </r>
    <r>
      <rPr>
        <sz val="10"/>
        <rFont val="Arial"/>
        <family val="2"/>
      </rPr>
      <t xml:space="preserve">- Factset </t>
    </r>
    <r>
      <rPr>
        <sz val="10"/>
        <rFont val="Noto Sans CJK SC"/>
        <family val="2"/>
      </rPr>
      <t>最新調查：威騰電子</t>
    </r>
    <r>
      <rPr>
        <sz val="10"/>
        <rFont val="Arial"/>
        <family val="2"/>
      </rPr>
      <t>(WDC-US)EPS</t>
    </r>
    <r>
      <rPr>
        <sz val="10"/>
        <rFont val="Noto Sans CJK SC"/>
        <family val="2"/>
      </rPr>
      <t>預估上修至</t>
    </r>
    <r>
      <rPr>
        <sz val="10"/>
        <rFont val="Arial"/>
        <family val="2"/>
      </rPr>
      <t>24.05</t>
    </r>
    <r>
      <rPr>
        <sz val="10"/>
        <rFont val="Noto Sans CJK SC"/>
        <family val="2"/>
      </rPr>
      <t>元，預估目標價為</t>
    </r>
    <r>
      <rPr>
        <sz val="10"/>
        <rFont val="Arial"/>
        <family val="2"/>
      </rPr>
      <t>650.00</t>
    </r>
    <r>
      <rPr>
        <sz val="10"/>
        <rFont val="Noto Sans CJK SC"/>
        <family val="2"/>
      </rPr>
      <t>元</t>
    </r>
  </si>
  <si>
    <t>6b89466342dbe70a195374a9</t>
  </si>
  <si>
    <t>鉅亨速報 - Factset 最新調查：萊德系統(R-US)EPS預估上修至15元，預估目標價為305.00元</t>
  </si>
  <si>
    <r>
      <rPr>
        <sz val="10"/>
        <rFont val="Noto Sans CJK SC"/>
        <family val="2"/>
      </rPr>
      <t xml:space="preserve">鉅亨速報 </t>
    </r>
    <r>
      <rPr>
        <sz val="10"/>
        <rFont val="Arial"/>
        <family val="2"/>
      </rPr>
      <t xml:space="preserve">- Factset </t>
    </r>
    <r>
      <rPr>
        <sz val="10"/>
        <rFont val="Noto Sans CJK SC"/>
        <family val="2"/>
      </rPr>
      <t>最新調查：萊德系統</t>
    </r>
    <r>
      <rPr>
        <sz val="10"/>
        <rFont val="Arial"/>
        <family val="2"/>
      </rPr>
      <t>(R-US)EPS</t>
    </r>
    <r>
      <rPr>
        <sz val="10"/>
        <rFont val="Noto Sans CJK SC"/>
        <family val="2"/>
      </rPr>
      <t>預估上修至</t>
    </r>
    <r>
      <rPr>
        <sz val="10"/>
        <rFont val="Arial"/>
        <family val="2"/>
      </rPr>
      <t>15</t>
    </r>
    <r>
      <rPr>
        <sz val="10"/>
        <rFont val="Noto Sans CJK SC"/>
        <family val="2"/>
      </rPr>
      <t>元，預估目標價為</t>
    </r>
    <r>
      <rPr>
        <sz val="10"/>
        <rFont val="Arial"/>
        <family val="2"/>
      </rPr>
      <t>305.00</t>
    </r>
    <r>
      <rPr>
        <sz val="10"/>
        <rFont val="Noto Sans CJK SC"/>
        <family val="2"/>
      </rPr>
      <t>元</t>
    </r>
  </si>
  <si>
    <t>f88d5c57e4f6131cbf074de4</t>
  </si>
  <si>
    <t>鉅亨速報 - Factset 最新調查：聯合租賃(URI-US)EPS預估上修至52.32元，預估目標價為1,325.00元</t>
  </si>
  <si>
    <r>
      <rPr>
        <sz val="10"/>
        <rFont val="Noto Sans CJK SC"/>
        <family val="2"/>
      </rPr>
      <t xml:space="preserve">鉅亨速報 </t>
    </r>
    <r>
      <rPr>
        <sz val="10"/>
        <rFont val="Arial"/>
        <family val="2"/>
      </rPr>
      <t xml:space="preserve">- Factset </t>
    </r>
    <r>
      <rPr>
        <sz val="10"/>
        <rFont val="Noto Sans CJK SC"/>
        <family val="2"/>
      </rPr>
      <t>最新調查：聯合租賃</t>
    </r>
    <r>
      <rPr>
        <sz val="10"/>
        <rFont val="Arial"/>
        <family val="2"/>
      </rPr>
      <t>(URI-US)EPS</t>
    </r>
    <r>
      <rPr>
        <sz val="10"/>
        <rFont val="Noto Sans CJK SC"/>
        <family val="2"/>
      </rPr>
      <t>預估上修至</t>
    </r>
    <r>
      <rPr>
        <sz val="10"/>
        <rFont val="Arial"/>
        <family val="2"/>
      </rPr>
      <t>52.32</t>
    </r>
    <r>
      <rPr>
        <sz val="10"/>
        <rFont val="Noto Sans CJK SC"/>
        <family val="2"/>
      </rPr>
      <t>元，預估目標價為</t>
    </r>
    <r>
      <rPr>
        <sz val="10"/>
        <rFont val="Arial"/>
        <family val="2"/>
      </rPr>
      <t>1,325.00</t>
    </r>
    <r>
      <rPr>
        <sz val="10"/>
        <rFont val="Noto Sans CJK SC"/>
        <family val="2"/>
      </rPr>
      <t>元</t>
    </r>
  </si>
  <si>
    <t>10de25ce3d6969b57120d19d</t>
  </si>
  <si>
    <t>鉅亨速報 - Factset 最新調查：SpaceX(SPCX-US)EPS預估上修至0.27元，預估目標價為240.00元</t>
  </si>
  <si>
    <r>
      <rPr>
        <sz val="10"/>
        <rFont val="Noto Sans CJK SC"/>
        <family val="2"/>
      </rPr>
      <t xml:space="preserve">鉅亨速報 </t>
    </r>
    <r>
      <rPr>
        <sz val="10"/>
        <rFont val="Arial"/>
        <family val="2"/>
      </rPr>
      <t xml:space="preserve">- Factset </t>
    </r>
    <r>
      <rPr>
        <sz val="10"/>
        <rFont val="Noto Sans CJK SC"/>
        <family val="2"/>
      </rPr>
      <t>最新調查：</t>
    </r>
    <r>
      <rPr>
        <sz val="10"/>
        <rFont val="Arial"/>
        <family val="2"/>
      </rPr>
      <t>SpaceX(SPCX-US)EPS</t>
    </r>
    <r>
      <rPr>
        <sz val="10"/>
        <rFont val="Noto Sans CJK SC"/>
        <family val="2"/>
      </rPr>
      <t>預估上修至</t>
    </r>
    <r>
      <rPr>
        <sz val="10"/>
        <rFont val="Arial"/>
        <family val="2"/>
      </rPr>
      <t>0.27</t>
    </r>
    <r>
      <rPr>
        <sz val="10"/>
        <rFont val="Noto Sans CJK SC"/>
        <family val="2"/>
      </rPr>
      <t>元，預估目標價為</t>
    </r>
    <r>
      <rPr>
        <sz val="10"/>
        <rFont val="Arial"/>
        <family val="2"/>
      </rPr>
      <t>240.00</t>
    </r>
    <r>
      <rPr>
        <sz val="10"/>
        <rFont val="Noto Sans CJK SC"/>
        <family val="2"/>
      </rPr>
      <t>元</t>
    </r>
  </si>
  <si>
    <t>7ad2fbc264ca62d9a7e773dc</t>
  </si>
  <si>
    <t>鉅亨速報 - Factset 最新調查：德克斯戶外用品(DECK-US)EPS預估上修至7.84元，預估目標價為95.50元</t>
  </si>
  <si>
    <r>
      <rPr>
        <sz val="10"/>
        <rFont val="Noto Sans CJK SC"/>
        <family val="2"/>
      </rPr>
      <t xml:space="preserve">鉅亨速報 </t>
    </r>
    <r>
      <rPr>
        <sz val="10"/>
        <rFont val="Arial"/>
        <family val="2"/>
      </rPr>
      <t xml:space="preserve">- Factset </t>
    </r>
    <r>
      <rPr>
        <sz val="10"/>
        <rFont val="Noto Sans CJK SC"/>
        <family val="2"/>
      </rPr>
      <t>最新調查：德克斯戶外用品</t>
    </r>
    <r>
      <rPr>
        <sz val="10"/>
        <rFont val="Arial"/>
        <family val="2"/>
      </rPr>
      <t>(DECK-US)EPS</t>
    </r>
    <r>
      <rPr>
        <sz val="10"/>
        <rFont val="Noto Sans CJK SC"/>
        <family val="2"/>
      </rPr>
      <t>預估上修至</t>
    </r>
    <r>
      <rPr>
        <sz val="10"/>
        <rFont val="Arial"/>
        <family val="2"/>
      </rPr>
      <t>7.84</t>
    </r>
    <r>
      <rPr>
        <sz val="10"/>
        <rFont val="Noto Sans CJK SC"/>
        <family val="2"/>
      </rPr>
      <t>元，預估目標價為</t>
    </r>
    <r>
      <rPr>
        <sz val="10"/>
        <rFont val="Arial"/>
        <family val="2"/>
      </rPr>
      <t>95.50</t>
    </r>
    <r>
      <rPr>
        <sz val="10"/>
        <rFont val="Noto Sans CJK SC"/>
        <family val="2"/>
      </rPr>
      <t>元</t>
    </r>
  </si>
  <si>
    <t>301662b4a8970f2380a23edb</t>
  </si>
  <si>
    <t>格隆匯快訊</t>
  </si>
  <si>
    <t>6ed3a0fe8361517af740a8e3</t>
  </si>
  <si>
    <t>鉅亨速報 - Factset 最新調查：普洛斯PLD-US的目標價調降至150元，幅度約3.85%</t>
  </si>
  <si>
    <r>
      <rPr>
        <sz val="10"/>
        <rFont val="Noto Sans CJK SC"/>
        <family val="2"/>
      </rPr>
      <t xml:space="preserve">鉅亨速報 </t>
    </r>
    <r>
      <rPr>
        <sz val="10"/>
        <rFont val="Arial"/>
        <family val="2"/>
      </rPr>
      <t xml:space="preserve">- Factset </t>
    </r>
    <r>
      <rPr>
        <sz val="10"/>
        <rFont val="Noto Sans CJK SC"/>
        <family val="2"/>
      </rPr>
      <t>最新調查：普洛斯</t>
    </r>
    <r>
      <rPr>
        <sz val="10"/>
        <rFont val="Arial"/>
        <family val="2"/>
      </rPr>
      <t>PLD-US</t>
    </r>
    <r>
      <rPr>
        <sz val="10"/>
        <rFont val="Noto Sans CJK SC"/>
        <family val="2"/>
      </rPr>
      <t>的目標價調降至</t>
    </r>
    <r>
      <rPr>
        <sz val="10"/>
        <rFont val="Arial"/>
        <family val="2"/>
      </rPr>
      <t>150</t>
    </r>
    <r>
      <rPr>
        <sz val="10"/>
        <rFont val="Noto Sans CJK SC"/>
        <family val="2"/>
      </rPr>
      <t>元，幅度約</t>
    </r>
    <r>
      <rPr>
        <sz val="10"/>
        <rFont val="Arial"/>
        <family val="2"/>
      </rPr>
      <t>3.85%</t>
    </r>
  </si>
  <si>
    <t>b4dede801676619c4f898b81</t>
  </si>
  <si>
    <t>鉅亨速報 - Factset 最新調查：Kinsale Capital Group Inc(KNSL-US)EPS預估上修至21.8元，預估目標價為351.00元</t>
  </si>
  <si>
    <r>
      <rPr>
        <sz val="10"/>
        <rFont val="Noto Sans CJK SC"/>
        <family val="2"/>
      </rPr>
      <t xml:space="preserve">鉅亨速報 </t>
    </r>
    <r>
      <rPr>
        <sz val="10"/>
        <rFont val="Arial"/>
        <family val="2"/>
      </rPr>
      <t xml:space="preserve">- Factset </t>
    </r>
    <r>
      <rPr>
        <sz val="10"/>
        <rFont val="Noto Sans CJK SC"/>
        <family val="2"/>
      </rPr>
      <t>最新調查：</t>
    </r>
    <r>
      <rPr>
        <sz val="10"/>
        <rFont val="Arial"/>
        <family val="2"/>
      </rPr>
      <t>Kinsale Capital Group Inc(KNSL-US)EPS</t>
    </r>
    <r>
      <rPr>
        <sz val="10"/>
        <rFont val="Noto Sans CJK SC"/>
        <family val="2"/>
      </rPr>
      <t>預估上修至</t>
    </r>
    <r>
      <rPr>
        <sz val="10"/>
        <rFont val="Arial"/>
        <family val="2"/>
      </rPr>
      <t>21.8</t>
    </r>
    <r>
      <rPr>
        <sz val="10"/>
        <rFont val="Noto Sans CJK SC"/>
        <family val="2"/>
      </rPr>
      <t>元，預估目標價為</t>
    </r>
    <r>
      <rPr>
        <sz val="10"/>
        <rFont val="Arial"/>
        <family val="2"/>
      </rPr>
      <t>351.00</t>
    </r>
    <r>
      <rPr>
        <sz val="10"/>
        <rFont val="Noto Sans CJK SC"/>
        <family val="2"/>
      </rPr>
      <t>元</t>
    </r>
  </si>
  <si>
    <t>0765e806dc16c8746c7976eb</t>
  </si>
  <si>
    <t>Jabil</t>
  </si>
  <si>
    <t>JBL Sense Pro True wireless open-ear headphones drops to $149.95, its lowest price yet</t>
  </si>
  <si>
    <r>
      <rPr>
        <sz val="10"/>
        <rFont val="Noto Sans CJK SC"/>
        <family val="2"/>
      </rPr>
      <t xml:space="preserve">此新聞僅提及 </t>
    </r>
    <r>
      <rPr>
        <sz val="10"/>
        <rFont val="Arial"/>
        <family val="2"/>
      </rPr>
      <t xml:space="preserve">JBL Sense Pro </t>
    </r>
    <r>
      <rPr>
        <sz val="10"/>
        <rFont val="Noto Sans CJK SC"/>
        <family val="2"/>
      </rPr>
      <t>真無線耳機的價格調降，並未涉及任何信用風險或債務違約訊息。</t>
    </r>
  </si>
  <si>
    <t>Technobezz</t>
  </si>
  <si>
    <t>d74ca6d3c0ac9e8f2a2fdf10</t>
  </si>
  <si>
    <t>美債殖利率急跌、企業信用風險飆升！前Fed顧問：美國恐已陷衰退！</t>
  </si>
  <si>
    <r>
      <rPr>
        <sz val="10"/>
        <rFont val="Noto Sans CJK SC"/>
        <family val="2"/>
      </rPr>
      <t>美債殖利率急跌、企業信用風險飆升！前</t>
    </r>
    <r>
      <rPr>
        <sz val="10"/>
        <rFont val="Arial"/>
        <family val="2"/>
      </rPr>
      <t>Fed</t>
    </r>
    <r>
      <rPr>
        <sz val="10"/>
        <rFont val="Noto Sans CJK SC"/>
        <family val="2"/>
      </rPr>
      <t>顧問：美國恐已陷衰退！</t>
    </r>
  </si>
  <si>
    <t>a626284e797bb5ac9898f317</t>
  </si>
  <si>
    <t>Nike, Inc.</t>
  </si>
  <si>
    <t>耐克就“客服賬號因受攻擊發色情引流鏈接”致歉：警方正調查</t>
  </si>
  <si>
    <r>
      <rPr>
        <sz val="10"/>
        <rFont val="Arial"/>
        <family val="2"/>
      </rPr>
      <t xml:space="preserve">Nike </t>
    </r>
    <r>
      <rPr>
        <sz val="10"/>
        <rFont val="Noto Sans CJK SC"/>
        <family val="2"/>
      </rPr>
      <t>客服帳號遭入侵發送色情引流連結，公司道歉、警方調查。</t>
    </r>
  </si>
  <si>
    <t>270f6074b14d9fe93d4e291f</t>
  </si>
  <si>
    <t>McDonald's</t>
  </si>
  <si>
    <t>A manager at a McDonald's in southern Gran Canaria is under investigation for two counts of sexual assault against an employee.</t>
  </si>
  <si>
    <t>此新聞僅提及一名管理員涉嫌性侵，並未涉及任何財務或信用風險事件。</t>
  </si>
  <si>
    <t>Maspalomas24h</t>
  </si>
  <si>
    <t>2783d27b2b4c4a276e2300c5</t>
  </si>
  <si>
    <t>'Utter devastation': NTSB investigation underway after Amazon cargo plane crash leaves 5 dead, 5 injured - ABC News</t>
  </si>
  <si>
    <t>本新聞報導關於亞馬遜貨運飛機事故，並未提及任何信用風險或債務違約訊息。</t>
  </si>
  <si>
    <t>cd2a918b3d67260271c7b87a</t>
  </si>
  <si>
    <t>財經視野│債市破裂，CDS飆升 美股AI的第一張骨牌要倒了？</t>
  </si>
  <si>
    <r>
      <rPr>
        <sz val="10"/>
        <rFont val="Noto Sans CJK SC"/>
        <family val="2"/>
      </rPr>
      <t>財經視野│債市破裂，</t>
    </r>
    <r>
      <rPr>
        <sz val="10"/>
        <rFont val="Arial"/>
        <family val="2"/>
      </rPr>
      <t>CDS</t>
    </r>
    <r>
      <rPr>
        <sz val="10"/>
        <rFont val="Noto Sans CJK SC"/>
        <family val="2"/>
      </rPr>
      <t>飆升 美股</t>
    </r>
    <r>
      <rPr>
        <sz val="10"/>
        <rFont val="Arial"/>
        <family val="2"/>
      </rPr>
      <t>AI</t>
    </r>
    <r>
      <rPr>
        <sz val="10"/>
        <rFont val="Noto Sans CJK SC"/>
        <family val="2"/>
      </rPr>
      <t>的第一張骨牌要倒了？</t>
    </r>
  </si>
  <si>
    <r>
      <rPr>
        <sz val="10"/>
        <rFont val="Noto Sans CJK SC"/>
        <family val="2"/>
      </rPr>
      <t>香港</t>
    </r>
    <r>
      <rPr>
        <sz val="10"/>
        <rFont val="Arial"/>
        <family val="2"/>
      </rPr>
      <t>01</t>
    </r>
  </si>
  <si>
    <t>f0439044956439114622d9eb</t>
  </si>
  <si>
    <t>Public Storage</t>
  </si>
  <si>
    <t>PSA Publishes Full List of 6,451 Stolen Cards as FBI and Santa Ana Police Continue Investigation</t>
  </si>
  <si>
    <t>本新聞未提及任何與信用風險相關的事件，僅報導被盜卡片清單。</t>
  </si>
  <si>
    <t>OTIA Sports</t>
  </si>
  <si>
    <t>817b9d66b8ad9f41c353ce81</t>
  </si>
  <si>
    <t>JBL Recalls WWE HOFer Spiking Drinks During Infamous 'Plane Ride From Hell'</t>
  </si>
  <si>
    <r>
      <rPr>
        <sz val="10"/>
        <rFont val="Noto Sans CJK SC"/>
        <family val="2"/>
      </rPr>
      <t xml:space="preserve">目前沒有足夠資訊顯示 </t>
    </r>
    <r>
      <rPr>
        <sz val="10"/>
        <rFont val="Arial"/>
        <family val="2"/>
      </rPr>
      <t xml:space="preserve">Jabil </t>
    </r>
    <r>
      <rPr>
        <sz val="10"/>
        <rFont val="Noto Sans CJK SC"/>
        <family val="2"/>
      </rPr>
      <t>相關的信用風險事件。</t>
    </r>
  </si>
  <si>
    <t>Wrestling Inc.</t>
  </si>
  <si>
    <t>1a1ff09f31657b4ee7512969</t>
  </si>
  <si>
    <t>Why Netflix Is Struggling to Find Its Audience</t>
  </si>
  <si>
    <r>
      <rPr>
        <sz val="10"/>
        <rFont val="Noto Sans CJK SC"/>
        <family val="2"/>
      </rPr>
      <t>目前沒有足夠資訊顯示</t>
    </r>
    <r>
      <rPr>
        <sz val="10"/>
        <rFont val="Arial"/>
        <family val="2"/>
      </rPr>
      <t>Netflix</t>
    </r>
    <r>
      <rPr>
        <sz val="10"/>
        <rFont val="Noto Sans CJK SC"/>
        <family val="2"/>
      </rPr>
      <t>存在違約或其他信用風險事件，需進一步調查。</t>
    </r>
  </si>
  <si>
    <t>944fa32a2e180029a8ecf846</t>
  </si>
  <si>
    <t>《焦點》AI類股暴跌過後，交投轉為平淡</t>
  </si>
  <si>
    <r>
      <rPr>
        <sz val="10"/>
        <rFont val="Noto Sans CJK SC"/>
        <family val="2"/>
      </rPr>
      <t>《焦點》</t>
    </r>
    <r>
      <rPr>
        <sz val="10"/>
        <rFont val="Arial"/>
        <family val="2"/>
      </rPr>
      <t>AI</t>
    </r>
    <r>
      <rPr>
        <sz val="10"/>
        <rFont val="Noto Sans CJK SC"/>
        <family val="2"/>
      </rPr>
      <t>類股暴跌過後，交投轉為平淡</t>
    </r>
  </si>
  <si>
    <t>a9e4aeb9699e1c0a5b00243e</t>
  </si>
  <si>
    <t>aeb431f3b1f36c6dd7b830b8</t>
  </si>
  <si>
    <t>Walmart recalls: Check your kitchens for these 3 products</t>
  </si>
  <si>
    <t>此新聞僅提及產品召回，未涉及任何信用風險事件。</t>
  </si>
  <si>
    <t>NJ.com</t>
  </si>
  <si>
    <r>
      <rPr>
        <sz val="10"/>
        <rFont val="Arial"/>
        <family val="2"/>
      </rPr>
      <t xml:space="preserve">Walmart </t>
    </r>
    <r>
      <rPr>
        <sz val="10"/>
        <rFont val="Noto Sans CJK SC"/>
        <family val="2"/>
      </rPr>
      <t>自有商品召回（</t>
    </r>
    <r>
      <rPr>
        <sz val="10"/>
        <rFont val="Arial"/>
        <family val="2"/>
      </rPr>
      <t xml:space="preserve">3 </t>
    </r>
    <r>
      <rPr>
        <sz val="10"/>
        <rFont val="Noto Sans CJK SC"/>
        <family val="2"/>
      </rPr>
      <t>項產品）。</t>
    </r>
  </si>
  <si>
    <t>fbe75ca4635456b40238d770</t>
  </si>
  <si>
    <t>AI下一戰不是算力？四大CSP搶破「記憶體牆」 全面轉向液冷整機櫃</t>
  </si>
  <si>
    <r>
      <rPr>
        <sz val="10"/>
        <rFont val="Arial"/>
        <family val="2"/>
      </rPr>
      <t>AI</t>
    </r>
    <r>
      <rPr>
        <sz val="10"/>
        <rFont val="Noto Sans CJK SC"/>
        <family val="2"/>
      </rPr>
      <t>下一戰不是算力？四大</t>
    </r>
    <r>
      <rPr>
        <sz val="10"/>
        <rFont val="Arial"/>
        <family val="2"/>
      </rPr>
      <t>CSP</t>
    </r>
    <r>
      <rPr>
        <sz val="10"/>
        <rFont val="Noto Sans CJK SC"/>
        <family val="2"/>
      </rPr>
      <t>搶破「記憶體牆」 全面轉向液冷整機櫃</t>
    </r>
  </si>
  <si>
    <t>5cee546235d9c138cc94f446</t>
  </si>
  <si>
    <t>Should You Buy Netflix Stock After Its 51% Plunge?</t>
  </si>
  <si>
    <t>245cc026534cd38a8d02e123</t>
  </si>
  <si>
    <t>Berkshire Hathaway</t>
  </si>
  <si>
    <t>Berkshire shares shake the Buffett blues with new all-time highs</t>
  </si>
  <si>
    <t>7442b127a4032abc386cc314</t>
  </si>
  <si>
    <t>朱成志：外資史詩級提款、內資卻愈買愈勇 台股節後能否「光復5萬點」？</t>
  </si>
  <si>
    <r>
      <rPr>
        <sz val="10"/>
        <rFont val="Noto Sans CJK SC"/>
        <family val="2"/>
      </rPr>
      <t>朱成志：外資史詩級提款、內資卻愈買愈勇 台股節後能否「光復</t>
    </r>
    <r>
      <rPr>
        <sz val="10"/>
        <rFont val="Arial"/>
        <family val="2"/>
      </rPr>
      <t>5</t>
    </r>
    <r>
      <rPr>
        <sz val="10"/>
        <rFont val="Noto Sans CJK SC"/>
        <family val="2"/>
      </rPr>
      <t>萬點」？</t>
    </r>
  </si>
  <si>
    <t>0142e9a669d934d1e65aff4d</t>
  </si>
  <si>
    <t>Nvidia's role as AI financier faces first big test as neoclouds take market hit</t>
  </si>
  <si>
    <r>
      <rPr>
        <sz val="10"/>
        <rFont val="Noto Sans CJK SC"/>
        <family val="2"/>
      </rPr>
      <t xml:space="preserve">目前無足夠資訊顯示 </t>
    </r>
    <r>
      <rPr>
        <sz val="10"/>
        <rFont val="Arial"/>
        <family val="2"/>
      </rPr>
      <t xml:space="preserve">Nvidia </t>
    </r>
    <r>
      <rPr>
        <sz val="10"/>
        <rFont val="Noto Sans CJK SC"/>
        <family val="2"/>
      </rPr>
      <t>之信用事件，需進一步調查。</t>
    </r>
  </si>
  <si>
    <t>d594d9d438fe7c93ba86134f</t>
  </si>
  <si>
    <t>Amgen</t>
  </si>
  <si>
    <t>Amgen, Astra Drug Duo Boosts Survival for Deadly Lung Cancer</t>
  </si>
  <si>
    <t>此新聞未提及任何與信用風險相關的事件。</t>
  </si>
  <si>
    <t>55369ec84f2b2caf06757a57</t>
  </si>
  <si>
    <t>GEHC</t>
  </si>
  <si>
    <t>GE HealthCare</t>
  </si>
  <si>
    <t>禾榮科與GE HealthCare簽合作協議 探索智慧放射技術於BNCT治療應用</t>
  </si>
  <si>
    <r>
      <rPr>
        <sz val="10"/>
        <rFont val="Noto Sans CJK SC"/>
        <family val="2"/>
      </rPr>
      <t>禾榮科與</t>
    </r>
    <r>
      <rPr>
        <sz val="10"/>
        <rFont val="Arial"/>
        <family val="2"/>
      </rPr>
      <t>GE HealthCare</t>
    </r>
    <r>
      <rPr>
        <sz val="10"/>
        <rFont val="Noto Sans CJK SC"/>
        <family val="2"/>
      </rPr>
      <t>簽合作協議 探索智慧放射技術於</t>
    </r>
    <r>
      <rPr>
        <sz val="10"/>
        <rFont val="Arial"/>
        <family val="2"/>
      </rPr>
      <t>BNCT</t>
    </r>
    <r>
      <rPr>
        <sz val="10"/>
        <rFont val="Noto Sans CJK SC"/>
        <family val="2"/>
      </rPr>
      <t>治療應用</t>
    </r>
  </si>
  <si>
    <t>080eddc3d8635577df3e9617</t>
  </si>
  <si>
    <t>Amgen says drug combo cuts risk of death by 58% in patients with aggressive lung cancer</t>
  </si>
  <si>
    <r>
      <rPr>
        <sz val="10"/>
        <rFont val="Noto Sans CJK SC"/>
        <family val="2"/>
      </rPr>
      <t>此新聞主要報導</t>
    </r>
    <r>
      <rPr>
        <sz val="10"/>
        <rFont val="Arial"/>
        <family val="2"/>
      </rPr>
      <t>Amgen</t>
    </r>
    <r>
      <rPr>
        <sz val="10"/>
        <rFont val="Noto Sans CJK SC"/>
        <family val="2"/>
      </rPr>
      <t>藥物組合在治療侵襲性肺癌患者時降低死亡風險</t>
    </r>
    <r>
      <rPr>
        <sz val="10"/>
        <rFont val="Arial"/>
        <family val="2"/>
      </rPr>
      <t>58%</t>
    </r>
    <r>
      <rPr>
        <sz val="10"/>
        <rFont val="Noto Sans CJK SC"/>
        <family val="2"/>
      </rPr>
      <t>，並未提及任何信用風險或違約訊息。</t>
    </r>
  </si>
  <si>
    <t>4a5b6d8010818cf6153f6dfe</t>
  </si>
  <si>
    <t>CMS</t>
  </si>
  <si>
    <t>CMS Energy</t>
  </si>
  <si>
    <t>UPDATED: More than one-third of nursing homes shut out of newly opened CMS staffing campaign</t>
  </si>
  <si>
    <r>
      <rPr>
        <sz val="10"/>
        <rFont val="Noto Sans CJK SC"/>
        <family val="2"/>
      </rPr>
      <t xml:space="preserve">目前無足夠資訊顯示 </t>
    </r>
    <r>
      <rPr>
        <sz val="10"/>
        <rFont val="Arial"/>
        <family val="2"/>
      </rPr>
      <t xml:space="preserve">CMS Energy </t>
    </r>
    <r>
      <rPr>
        <sz val="10"/>
        <rFont val="Noto Sans CJK SC"/>
        <family val="2"/>
      </rPr>
      <t>相關信用風險事件。</t>
    </r>
  </si>
  <si>
    <t>McKnight's Long-Term Care News</t>
  </si>
  <si>
    <t>b4c16452e0236e9bbc3ffde6</t>
  </si>
  <si>
    <t>Nationwide Amazon Costume Recall: Families Urged To Check Purchases</t>
  </si>
  <si>
    <t>此新聞僅提及亞馬遜產品召回，並未涉及任何信用風險事件。</t>
  </si>
  <si>
    <t>DailyVoice.com</t>
  </si>
  <si>
    <t>030aec69847e7804625b5dc3</t>
  </si>
  <si>
    <t>訊連部分產品遭蘋果下架 影響與後續發展將會是法人關注焦點</t>
  </si>
  <si>
    <t>2729a48cae90d89dbd31118a</t>
  </si>
  <si>
    <t>Ball Corporation</t>
  </si>
  <si>
    <t>Subaru Recalls 2026 Crosstrek and Forester for Potential Control Arm Ball Joint Separation</t>
  </si>
  <si>
    <r>
      <rPr>
        <sz val="10"/>
        <rFont val="Noto Sans CJK SC"/>
        <family val="2"/>
      </rPr>
      <t xml:space="preserve">本新聞僅提及 </t>
    </r>
    <r>
      <rPr>
        <sz val="10"/>
        <rFont val="Arial"/>
        <family val="2"/>
      </rPr>
      <t xml:space="preserve">Subaru </t>
    </r>
    <r>
      <rPr>
        <sz val="10"/>
        <rFont val="Noto Sans CJK SC"/>
        <family val="2"/>
      </rPr>
      <t xml:space="preserve">對 </t>
    </r>
    <r>
      <rPr>
        <sz val="10"/>
        <rFont val="Arial"/>
        <family val="2"/>
      </rPr>
      <t xml:space="preserve">2026 </t>
    </r>
    <r>
      <rPr>
        <sz val="10"/>
        <rFont val="Noto Sans CJK SC"/>
        <family val="2"/>
      </rPr>
      <t xml:space="preserve">年 </t>
    </r>
    <r>
      <rPr>
        <sz val="10"/>
        <rFont val="Arial"/>
        <family val="2"/>
      </rPr>
      <t xml:space="preserve">Crosstrek </t>
    </r>
    <r>
      <rPr>
        <sz val="10"/>
        <rFont val="Noto Sans CJK SC"/>
        <family val="2"/>
      </rPr>
      <t xml:space="preserve">與 </t>
    </r>
    <r>
      <rPr>
        <sz val="10"/>
        <rFont val="Arial"/>
        <family val="2"/>
      </rPr>
      <t xml:space="preserve">Forester </t>
    </r>
    <r>
      <rPr>
        <sz val="10"/>
        <rFont val="Noto Sans CJK SC"/>
        <family val="2"/>
      </rPr>
      <t xml:space="preserve">的召回，並未涉及 </t>
    </r>
    <r>
      <rPr>
        <sz val="10"/>
        <rFont val="Arial"/>
        <family val="2"/>
      </rPr>
      <t xml:space="preserve">Ball Corporation </t>
    </r>
    <r>
      <rPr>
        <sz val="10"/>
        <rFont val="Noto Sans CJK SC"/>
        <family val="2"/>
      </rPr>
      <t>的任何信用風險事件。</t>
    </r>
  </si>
  <si>
    <t>autoevolution</t>
  </si>
  <si>
    <t>537691ff842cefbbfae155e9</t>
  </si>
  <si>
    <t>How an Amazon Frontier Town Became a Bolsonaro Stronghold</t>
  </si>
  <si>
    <t>ef462e6d0fb50a5a8b9391b7</t>
  </si>
  <si>
    <t>Amgen drug combined with immunotherapy extends survival in lung cancer trial</t>
  </si>
  <si>
    <t>本新聞未提及任何與信用風險相關的事件，僅報導藥物臨床試驗結果。</t>
  </si>
  <si>
    <t>80eeb92a6a7d9f5b0d6f3b1c</t>
  </si>
  <si>
    <t>PepsiCo</t>
  </si>
  <si>
    <t>PepsiCo’s North American Beverage Volume Fell 2% in Third Quarter</t>
  </si>
  <si>
    <t>本新聞未提及任何與信用風險相關的事件，僅報告北美飲料銷量下降。</t>
  </si>
  <si>
    <t>TOKENPOST</t>
  </si>
  <si>
    <r>
      <rPr>
        <sz val="10"/>
        <rFont val="Arial"/>
        <family val="2"/>
      </rPr>
      <t xml:space="preserve">PepsiCo </t>
    </r>
    <r>
      <rPr>
        <sz val="10"/>
        <rFont val="Noto Sans CJK SC"/>
        <family val="2"/>
      </rPr>
      <t xml:space="preserve">北美飲料銷量第三季下滑 </t>
    </r>
    <r>
      <rPr>
        <sz val="10"/>
        <rFont val="Arial"/>
        <family val="2"/>
      </rPr>
      <t>2%</t>
    </r>
    <r>
      <rPr>
        <sz val="10"/>
        <rFont val="Noto Sans CJK SC"/>
        <family val="2"/>
      </rPr>
      <t>。</t>
    </r>
  </si>
  <si>
    <t>544b0a4d1b769c4a009c53a4</t>
  </si>
  <si>
    <t>Bangladesh ADP implementation falls to record low in first quarter of FY2026-27</t>
  </si>
  <si>
    <r>
      <rPr>
        <sz val="10"/>
        <rFont val="Noto Sans CJK SC"/>
        <family val="2"/>
      </rPr>
      <t xml:space="preserve">無足夠資訊顯示 </t>
    </r>
    <r>
      <rPr>
        <sz val="10"/>
        <rFont val="Arial"/>
        <family val="2"/>
      </rPr>
      <t xml:space="preserve">ADP </t>
    </r>
    <r>
      <rPr>
        <sz val="10"/>
        <rFont val="Noto Sans CJK SC"/>
        <family val="2"/>
      </rPr>
      <t>之信用風險事件。</t>
    </r>
  </si>
  <si>
    <t>Traders Union</t>
  </si>
  <si>
    <t>9ea6fa75c3a07a8279535d42</t>
  </si>
  <si>
    <t>Report: Xbox overplays its hand and loses $500 million Netflix content deal</t>
  </si>
  <si>
    <r>
      <rPr>
        <sz val="10"/>
        <rFont val="Noto Sans CJK SC"/>
        <family val="2"/>
      </rPr>
      <t>本新聞未提及</t>
    </r>
    <r>
      <rPr>
        <sz val="10"/>
        <rFont val="Arial"/>
        <family val="2"/>
      </rPr>
      <t>Netflix</t>
    </r>
    <r>
      <rPr>
        <sz val="10"/>
        <rFont val="Noto Sans CJK SC"/>
        <family val="2"/>
      </rPr>
      <t>的債務違約或其他信用風險事件，僅提及</t>
    </r>
    <r>
      <rPr>
        <sz val="10"/>
        <rFont val="Arial"/>
        <family val="2"/>
      </rPr>
      <t>Xbox</t>
    </r>
    <r>
      <rPr>
        <sz val="10"/>
        <rFont val="Noto Sans CJK SC"/>
        <family val="2"/>
      </rPr>
      <t>與</t>
    </r>
    <r>
      <rPr>
        <sz val="10"/>
        <rFont val="Arial"/>
        <family val="2"/>
      </rPr>
      <t>Netflix</t>
    </r>
    <r>
      <rPr>
        <sz val="10"/>
        <rFont val="Noto Sans CJK SC"/>
        <family val="2"/>
      </rPr>
      <t>內容交易的損失。</t>
    </r>
  </si>
  <si>
    <t>TweakTown</t>
  </si>
  <si>
    <t>649361b203f482c949d1b154</t>
  </si>
  <si>
    <t>蘋果首款摺疊屏iPhone Duo出師不利：有人折不到20次就裂屏了</t>
  </si>
  <si>
    <r>
      <rPr>
        <sz val="10"/>
        <rFont val="Noto Sans CJK SC"/>
        <family val="2"/>
      </rPr>
      <t>蘋果首款摺疊屏</t>
    </r>
    <r>
      <rPr>
        <sz val="10"/>
        <rFont val="Arial"/>
        <family val="2"/>
      </rPr>
      <t>iPhone Duo</t>
    </r>
    <r>
      <rPr>
        <sz val="10"/>
        <rFont val="Noto Sans CJK SC"/>
        <family val="2"/>
      </rPr>
      <t>出師不利：有人折不到</t>
    </r>
    <r>
      <rPr>
        <sz val="10"/>
        <rFont val="Arial"/>
        <family val="2"/>
      </rPr>
      <t>20</t>
    </r>
    <r>
      <rPr>
        <sz val="10"/>
        <rFont val="Noto Sans CJK SC"/>
        <family val="2"/>
      </rPr>
      <t>次就裂屏了</t>
    </r>
  </si>
  <si>
    <r>
      <rPr>
        <sz val="10"/>
        <rFont val="Noto Sans CJK SC"/>
        <family val="2"/>
      </rPr>
      <t xml:space="preserve">傳 </t>
    </r>
    <r>
      <rPr>
        <sz val="10"/>
        <rFont val="Arial"/>
        <family val="2"/>
      </rPr>
      <t xml:space="preserve">Apple </t>
    </r>
    <r>
      <rPr>
        <sz val="10"/>
        <rFont val="Noto Sans CJK SC"/>
        <family val="2"/>
      </rPr>
      <t xml:space="preserve">摺疊屏 </t>
    </r>
    <r>
      <rPr>
        <sz val="10"/>
        <rFont val="Arial"/>
        <family val="2"/>
      </rPr>
      <t xml:space="preserve">iPhone </t>
    </r>
    <r>
      <rPr>
        <sz val="10"/>
        <rFont val="Noto Sans CJK SC"/>
        <family val="2"/>
      </rPr>
      <t>耐用性不佳（傳聞／測試）。</t>
    </r>
  </si>
  <si>
    <t>41348ec4beb22e62e5d33bde</t>
  </si>
  <si>
    <t>Bitcoin: 635 million dollars evaporate from ETFs, Coinbase fears a new plunge</t>
  </si>
  <si>
    <r>
      <rPr>
        <sz val="10"/>
        <rFont val="Noto Sans CJK SC"/>
        <family val="2"/>
      </rPr>
      <t xml:space="preserve">目前沒有足夠證據顯示 </t>
    </r>
    <r>
      <rPr>
        <sz val="10"/>
        <rFont val="Arial"/>
        <family val="2"/>
      </rPr>
      <t xml:space="preserve">Coinbase </t>
    </r>
    <r>
      <rPr>
        <sz val="10"/>
        <rFont val="Noto Sans CJK SC"/>
        <family val="2"/>
      </rPr>
      <t>進行了任何債務違約或其他重大財務事件。</t>
    </r>
  </si>
  <si>
    <t>Cointribune</t>
  </si>
  <si>
    <t>736100a7faad74a7e8953f4d</t>
  </si>
  <si>
    <t>AMP</t>
  </si>
  <si>
    <t>Ameriprise Financial</t>
  </si>
  <si>
    <t>Erjon Vishkulli's eye injury during the protest, AMP and the Prosecution launch investigations! Another "Eagles" member suspended for violence</t>
  </si>
  <si>
    <r>
      <rPr>
        <sz val="10"/>
        <rFont val="Noto Sans CJK SC"/>
        <family val="2"/>
      </rPr>
      <t xml:space="preserve">目前無足夠資訊顯示 </t>
    </r>
    <r>
      <rPr>
        <sz val="10"/>
        <rFont val="Arial"/>
        <family val="2"/>
      </rPr>
      <t xml:space="preserve">Ameriprise Financial </t>
    </r>
    <r>
      <rPr>
        <sz val="10"/>
        <rFont val="Noto Sans CJK SC"/>
        <family val="2"/>
      </rPr>
      <t>之信用事件，需進一步調查。</t>
    </r>
  </si>
  <si>
    <t>Balkanweb.com</t>
  </si>
  <si>
    <t>66c7aab00a83fe9f0c329e71</t>
  </si>
  <si>
    <t>Injuring of young man in protest/ State Police and AMP launch investigations, one officer suspended</t>
  </si>
  <si>
    <t>本新聞未提及任何與美國普利斯金融公司相關的信用風險事件。</t>
  </si>
  <si>
    <t>cna.al</t>
  </si>
  <si>
    <t>363d7b7426e6a9413dadb9cd</t>
  </si>
  <si>
    <t>Microsoft</t>
  </si>
  <si>
    <t>Microsoft: China Hackers Unleash AI-Powered Cyberattacks Targeting Supply Chains</t>
  </si>
  <si>
    <t>此新聞未提及任何可確認的債務違約或信用風險事件。</t>
  </si>
  <si>
    <t>ec70acca622ca3a1f8be4535</t>
  </si>
  <si>
    <t>一場IPO喊卡牽動記憶體市場！美光Sandisk受惠、英特爾失潛在大單</t>
  </si>
  <si>
    <r>
      <rPr>
        <sz val="10"/>
        <rFont val="Noto Sans CJK SC"/>
        <family val="2"/>
      </rPr>
      <t>一場</t>
    </r>
    <r>
      <rPr>
        <sz val="10"/>
        <rFont val="Arial"/>
        <family val="2"/>
      </rPr>
      <t>IPO</t>
    </r>
    <r>
      <rPr>
        <sz val="10"/>
        <rFont val="Noto Sans CJK SC"/>
        <family val="2"/>
      </rPr>
      <t>喊卡牽動記憶體市場！美光</t>
    </r>
    <r>
      <rPr>
        <sz val="10"/>
        <rFont val="Arial"/>
        <family val="2"/>
      </rPr>
      <t>Sandisk</t>
    </r>
    <r>
      <rPr>
        <sz val="10"/>
        <rFont val="Noto Sans CJK SC"/>
        <family val="2"/>
      </rPr>
      <t>受惠、英特爾失潛在大單</t>
    </r>
  </si>
  <si>
    <t>0eef169c498fabd92f905ba1</t>
  </si>
  <si>
    <t>Earnings playbook: Alphabet, Microsoft, Amazon and more report this week. Here's what to expect</t>
  </si>
  <si>
    <t>此新聞未提及任何與亞馬遜相關的信用風險事件，僅為財報預告。</t>
  </si>
  <si>
    <t>0a0798d37283fa794eb873cf</t>
  </si>
  <si>
    <t>8d1ca4cad0f33afbd89325a4</t>
  </si>
  <si>
    <t>Tesla, Inc.</t>
  </si>
  <si>
    <t>TSLA.O</t>
  </si>
  <si>
    <t>6270385e3ffa758cb30dfea5</t>
  </si>
  <si>
    <t>Booking Holdings</t>
  </si>
  <si>
    <t>Should you travel together? Ask these questions before booking: 'It'll save you time, money and disappointment'</t>
  </si>
  <si>
    <t>9e7d317149bbaefb27e05578</t>
  </si>
  <si>
    <t>Roche Drug Outshines Amgen, Bristol Rivals in Lung Cancer Study</t>
  </si>
  <si>
    <r>
      <rPr>
        <sz val="10"/>
        <rFont val="Noto Sans CJK SC"/>
        <family val="2"/>
      </rPr>
      <t xml:space="preserve">本新聞未提及任何與 </t>
    </r>
    <r>
      <rPr>
        <sz val="10"/>
        <rFont val="Arial"/>
        <family val="2"/>
      </rPr>
      <t xml:space="preserve">Amgen </t>
    </r>
    <r>
      <rPr>
        <sz val="10"/>
        <rFont val="Noto Sans CJK SC"/>
        <family val="2"/>
      </rPr>
      <t>相關的信用風險事件，無法判斷是否存在違約或其他信用風險訊號。</t>
    </r>
  </si>
  <si>
    <t>d8dcf93f8f9f8154f2350c8d</t>
  </si>
  <si>
    <t>Pfizer</t>
  </si>
  <si>
    <t>Pfizer Sees Path Forward for Cancer Drug Despite Trial Failure</t>
  </si>
  <si>
    <r>
      <rPr>
        <sz val="10"/>
        <rFont val="Noto Sans CJK SC"/>
        <family val="2"/>
      </rPr>
      <t>本新聞未提及任何與債務違約、</t>
    </r>
    <r>
      <rPr>
        <sz val="10"/>
        <rFont val="Arial"/>
        <family val="2"/>
      </rPr>
      <t>CDS</t>
    </r>
    <r>
      <rPr>
        <sz val="10"/>
        <rFont val="Noto Sans CJK SC"/>
        <family val="2"/>
      </rPr>
      <t>利差擴大或其他信用風險相關的事件，僅提及癌症藥物試驗失敗與公司未來路徑。</t>
    </r>
  </si>
  <si>
    <t>603f08613bcca5592eab5a55</t>
  </si>
  <si>
    <t>ADP implementation drops to 3.89pc in Q1</t>
  </si>
  <si>
    <r>
      <rPr>
        <sz val="10"/>
        <rFont val="Noto Sans CJK SC"/>
        <family val="2"/>
      </rPr>
      <t xml:space="preserve">目前沒有足夠資訊顯示 </t>
    </r>
    <r>
      <rPr>
        <sz val="10"/>
        <rFont val="Arial"/>
        <family val="2"/>
      </rPr>
      <t xml:space="preserve">ADP </t>
    </r>
    <r>
      <rPr>
        <sz val="10"/>
        <rFont val="Noto Sans CJK SC"/>
        <family val="2"/>
      </rPr>
      <t>可能發生違約或其他信用風險事件。</t>
    </r>
  </si>
  <si>
    <t>4eb4a3d348150da2f7eb23cd</t>
  </si>
  <si>
    <t>Netflix usage slips despite subscriber growth</t>
  </si>
  <si>
    <r>
      <rPr>
        <sz val="10"/>
        <rFont val="Noto Sans CJK SC"/>
        <family val="2"/>
      </rPr>
      <t>目前沒有足夠證據顯示</t>
    </r>
    <r>
      <rPr>
        <sz val="10"/>
        <rFont val="Arial"/>
        <family val="2"/>
      </rPr>
      <t>Netflix</t>
    </r>
    <r>
      <rPr>
        <sz val="10"/>
        <rFont val="Noto Sans CJK SC"/>
        <family val="2"/>
      </rPr>
      <t>發生任何信用風險事件。</t>
    </r>
  </si>
  <si>
    <t>Briefs Finance</t>
  </si>
  <si>
    <t>2ab9da1cff2d8df6963f2b42</t>
  </si>
  <si>
    <t>ADP implementation at 3.89% in July–September, lowest in 14 years</t>
  </si>
  <si>
    <t>目前缺乏足夠資訊來判斷是否存在任何信用風險事件。</t>
  </si>
  <si>
    <t>Daily Bonik Barta</t>
  </si>
  <si>
    <t>f14496cb98f80e593916b72e</t>
  </si>
  <si>
    <t>TSLA Stock Trades Flat After Hours Following Drop In Q3 Revenue, Earnings, And Heavy AI Spending</t>
  </si>
  <si>
    <t>本新聞未提及任何信用風險事件。</t>
  </si>
  <si>
    <r>
      <rPr>
        <sz val="10"/>
        <rFont val="Arial"/>
        <family val="2"/>
      </rPr>
      <t xml:space="preserve">Tesla </t>
    </r>
    <r>
      <rPr>
        <sz val="10"/>
        <rFont val="Noto Sans CJK SC"/>
        <family val="2"/>
      </rPr>
      <t>第三季營收與獲利下滑、</t>
    </r>
    <r>
      <rPr>
        <sz val="10"/>
        <rFont val="Arial"/>
        <family val="2"/>
      </rPr>
      <t xml:space="preserve">AI </t>
    </r>
    <r>
      <rPr>
        <sz val="10"/>
        <rFont val="Noto Sans CJK SC"/>
        <family val="2"/>
      </rPr>
      <t>支出龐大。</t>
    </r>
  </si>
  <si>
    <t>377db8f9ec32ee29d85fc5c5</t>
  </si>
  <si>
    <t>INTU</t>
  </si>
  <si>
    <t>Intuit</t>
  </si>
  <si>
    <t>Intuit stock trades 1.02 percent below its Xetra close of EUR 309.70 in weekend trading</t>
  </si>
  <si>
    <r>
      <rPr>
        <sz val="10"/>
        <rFont val="Noto Sans CJK SC"/>
        <family val="2"/>
      </rPr>
      <t xml:space="preserve">目前沒有足夠資訊顯示 </t>
    </r>
    <r>
      <rPr>
        <sz val="10"/>
        <rFont val="Arial"/>
        <family val="2"/>
      </rPr>
      <t xml:space="preserve">Intuit </t>
    </r>
    <r>
      <rPr>
        <sz val="10"/>
        <rFont val="Noto Sans CJK SC"/>
        <family val="2"/>
      </rPr>
      <t>可能發生債務違約或其他信用風險事件。</t>
    </r>
  </si>
  <si>
    <t>87fecf9858a15a656d3becaf</t>
  </si>
  <si>
    <t>McDonald's stock trades 0.05 percent below its Xetra close in weekend trading</t>
  </si>
  <si>
    <r>
      <rPr>
        <sz val="10"/>
        <rFont val="Noto Sans CJK SC"/>
        <family val="2"/>
      </rPr>
      <t>本新聞僅提及麥當勞股票在週末交易中略低於</t>
    </r>
    <r>
      <rPr>
        <sz val="10"/>
        <rFont val="Arial"/>
        <family val="2"/>
      </rPr>
      <t>Xetra</t>
    </r>
    <r>
      <rPr>
        <sz val="10"/>
        <rFont val="Noto Sans CJK SC"/>
        <family val="2"/>
      </rPr>
      <t>收盤價，未包含任何關於違約、信用風險升高或其他財務風險事件的具體訊息。</t>
    </r>
  </si>
  <si>
    <t>dc049c1d0f662767deaa0a39</t>
  </si>
  <si>
    <t>ADP spending hits 17-year low in Q1</t>
  </si>
  <si>
    <r>
      <rPr>
        <sz val="10"/>
        <rFont val="Arial"/>
        <family val="2"/>
      </rPr>
      <t xml:space="preserve">ADP </t>
    </r>
    <r>
      <rPr>
        <sz val="10"/>
        <rFont val="Noto Sans CJK SC"/>
        <family val="2"/>
      </rPr>
      <t xml:space="preserve">的第一季支出降至 </t>
    </r>
    <r>
      <rPr>
        <sz val="10"/>
        <rFont val="Arial"/>
        <family val="2"/>
      </rPr>
      <t xml:space="preserve">17 </t>
    </r>
    <r>
      <rPr>
        <sz val="10"/>
        <rFont val="Noto Sans CJK SC"/>
        <family val="2"/>
      </rPr>
      <t>年來最低，並未提及任何違約或信用風險事件。</t>
    </r>
  </si>
  <si>
    <t>The Daily Star</t>
  </si>
  <si>
    <t>1b91590a6fb9d609f8f8b3b3</t>
  </si>
  <si>
    <t>Costway Recalled 3,332 Convertible High Chairs Sold at Walmart and Target Because Babies Can Slip Between the Tray and Seat and Become Trapped or Fall</t>
  </si>
  <si>
    <t>此新聞報導的是產品召回事件，並未提及任何信用風險或債務違約訊息。</t>
  </si>
  <si>
    <t>AOL.com</t>
  </si>
  <si>
    <t>5c911485719e87662bb486bb</t>
  </si>
  <si>
    <t>Goldman Sachs slashes Kospi target to 9,000 but still sees over 60% upside</t>
  </si>
  <si>
    <t>e959dac91fe6f84cdc406516</t>
  </si>
  <si>
    <t>Inside the Firings and Leadership Changes at Netflix</t>
  </si>
  <si>
    <t>此新聞未提及任何與信用風險相關的事件，無法判斷是否存在違約或其他信用事件。</t>
  </si>
  <si>
    <t>dab349adc25aa5633004bf82</t>
  </si>
  <si>
    <t>Why Is Microsoft (MSFT) Central To AI Cyberattacks And Digital Patient Twins?</t>
  </si>
  <si>
    <r>
      <rPr>
        <sz val="10"/>
        <rFont val="Noto Sans CJK SC"/>
        <family val="2"/>
      </rPr>
      <t xml:space="preserve">此新聞未提及任何與債務違約或信用風險相關的具體事件，僅討論 </t>
    </r>
    <r>
      <rPr>
        <sz val="10"/>
        <rFont val="Arial"/>
        <family val="2"/>
      </rPr>
      <t xml:space="preserve">Microsoft </t>
    </r>
    <r>
      <rPr>
        <sz val="10"/>
        <rFont val="Noto Sans CJK SC"/>
        <family val="2"/>
      </rPr>
      <t xml:space="preserve">在 </t>
    </r>
    <r>
      <rPr>
        <sz val="10"/>
        <rFont val="Arial"/>
        <family val="2"/>
      </rPr>
      <t xml:space="preserve">AI </t>
    </r>
    <r>
      <rPr>
        <sz val="10"/>
        <rFont val="Noto Sans CJK SC"/>
        <family val="2"/>
      </rPr>
      <t>與網路安全領域的角色。</t>
    </r>
  </si>
  <si>
    <t>b26d1df7aa9a8960d4a50b89</t>
  </si>
  <si>
    <t>HomePod mini 2粉紅色開箱！聲波光暈超療癒 搭粉色iMac全套太夢幻</t>
  </si>
  <si>
    <r>
      <rPr>
        <sz val="10"/>
        <rFont val="Arial"/>
        <family val="2"/>
      </rPr>
      <t>HomePod mini 2</t>
    </r>
    <r>
      <rPr>
        <sz val="10"/>
        <rFont val="Noto Sans CJK SC"/>
        <family val="2"/>
      </rPr>
      <t>粉紅色開箱！聲波光暈超療癒 搭粉色</t>
    </r>
    <r>
      <rPr>
        <sz val="10"/>
        <rFont val="Arial"/>
        <family val="2"/>
      </rPr>
      <t>iMac</t>
    </r>
    <r>
      <rPr>
        <sz val="10"/>
        <rFont val="Noto Sans CJK SC"/>
        <family val="2"/>
      </rPr>
      <t>全套太夢幻</t>
    </r>
  </si>
  <si>
    <t>35cc6b146c06d30fa2998aaf</t>
  </si>
  <si>
    <t>ABT</t>
  </si>
  <si>
    <t>Abbott Laboratories</t>
  </si>
  <si>
    <t>Abbott to spin out Nutrition business, cuts guidance</t>
  </si>
  <si>
    <t>阿博特公司將其營養業務拆分，並下調指引，屬於一般公司更新。</t>
  </si>
  <si>
    <t>MassDevice</t>
  </si>
  <si>
    <t>GENERAL_INFORMATION</t>
  </si>
  <si>
    <t>一般公司更新</t>
  </si>
  <si>
    <r>
      <rPr>
        <sz val="10"/>
        <rFont val="Arial"/>
        <family val="2"/>
      </rPr>
      <t xml:space="preserve">Abbott </t>
    </r>
    <r>
      <rPr>
        <sz val="10"/>
        <rFont val="Noto Sans CJK SC"/>
        <family val="2"/>
      </rPr>
      <t>下調財測並分拆營養事業。</t>
    </r>
  </si>
  <si>
    <t>8a85ef4535a887fa86a24eab</t>
  </si>
  <si>
    <t>Event_Code</t>
  </si>
  <si>
    <t>事件中文</t>
  </si>
  <si>
    <t>Level</t>
  </si>
  <si>
    <t>ACCOUNTING_FRAUD</t>
  </si>
  <si>
    <t>會計舞弊</t>
  </si>
  <si>
    <t>BANKRUPTCY</t>
  </si>
  <si>
    <t>破產</t>
  </si>
  <si>
    <t>DEFAULT</t>
  </si>
  <si>
    <t>違約</t>
  </si>
  <si>
    <t>DELISTING</t>
  </si>
  <si>
    <t>下市</t>
  </si>
  <si>
    <t>GOING_CONCERN</t>
  </si>
  <si>
    <t>繼續經營疑慮</t>
  </si>
  <si>
    <t>LIQUIDITY_CRISIS</t>
  </si>
  <si>
    <t>流動性危機</t>
  </si>
  <si>
    <t>TRADING_SUSPENSION</t>
  </si>
  <si>
    <t>停牌</t>
  </si>
  <si>
    <t>ANTITRUST_INVESTIGATION</t>
  </si>
  <si>
    <t>反壟斷調查</t>
  </si>
  <si>
    <t>AUDITOR_RESIGNATION</t>
  </si>
  <si>
    <t>會計師辭任</t>
  </si>
  <si>
    <t>CREDIT_DOWNGRADE</t>
  </si>
  <si>
    <t>信用調降</t>
  </si>
  <si>
    <t>ENVIRONMENTAL_INCIDENT</t>
  </si>
  <si>
    <t>重大環境事故</t>
  </si>
  <si>
    <t>EXECUTIVE_MISCONDUCT</t>
  </si>
  <si>
    <t>高管不當行為</t>
  </si>
  <si>
    <t>FDA_WARNING</t>
  </si>
  <si>
    <r>
      <rPr>
        <sz val="10"/>
        <rFont val="Arial"/>
        <family val="2"/>
      </rPr>
      <t>FDA</t>
    </r>
    <r>
      <rPr>
        <sz val="10"/>
        <rFont val="Noto Sans CJK SC"/>
        <family val="2"/>
      </rPr>
      <t>警告</t>
    </r>
  </si>
  <si>
    <t>GUIDANCE_WITHDRAWN</t>
  </si>
  <si>
    <t>撤回財測</t>
  </si>
  <si>
    <t>INSIDER_TRADING</t>
  </si>
  <si>
    <t>內線交易</t>
  </si>
  <si>
    <t>重大訴訟</t>
  </si>
  <si>
    <t>REGULATORY_INVESTIGATION</t>
  </si>
  <si>
    <t>監管調查</t>
  </si>
  <si>
    <t>REGULATORY_PENALTY</t>
  </si>
  <si>
    <t>監管裁罰</t>
  </si>
  <si>
    <t>RESTATEMENT</t>
  </si>
  <si>
    <t>重編財報</t>
  </si>
  <si>
    <t>SANCTION</t>
  </si>
  <si>
    <t>制裁</t>
  </si>
  <si>
    <t>CEO_DEPARTURE</t>
  </si>
  <si>
    <r>
      <rPr>
        <sz val="10"/>
        <rFont val="Arial"/>
        <family val="2"/>
      </rPr>
      <t>CEO</t>
    </r>
    <r>
      <rPr>
        <sz val="10"/>
        <rFont val="Noto Sans CJK SC"/>
        <family val="2"/>
      </rPr>
      <t>異動</t>
    </r>
  </si>
  <si>
    <t>CFO_DEPARTURE</t>
  </si>
  <si>
    <r>
      <rPr>
        <sz val="10"/>
        <rFont val="Arial"/>
        <family val="2"/>
      </rPr>
      <t>CFO</t>
    </r>
    <r>
      <rPr>
        <sz val="10"/>
        <rFont val="Noto Sans CJK SC"/>
        <family val="2"/>
      </rPr>
      <t>異動</t>
    </r>
  </si>
  <si>
    <t>FACTORY_SHUTDOWN</t>
  </si>
  <si>
    <t>工廠停工</t>
  </si>
  <si>
    <t>重大產品瑕疵</t>
  </si>
  <si>
    <t>SHORT_SELLER_REPORT</t>
  </si>
  <si>
    <t>放空機構報告</t>
  </si>
  <si>
    <t>TRADE_RESTRICTION</t>
  </si>
  <si>
    <t>貿易限制</t>
  </si>
  <si>
    <t>BOARD_RESTRUCTURE</t>
  </si>
  <si>
    <t>董事會重大改組</t>
  </si>
  <si>
    <t>PRIVACY_INCIDENT</t>
  </si>
  <si>
    <t>隱私事件</t>
  </si>
  <si>
    <t>PRODUCT_OR_SERVICE_DISCONTINUATION</t>
  </si>
  <si>
    <t>產品或服務終止</t>
  </si>
  <si>
    <t>SECTOR_MOVE</t>
  </si>
  <si>
    <t>產業下跌</t>
  </si>
  <si>
    <t>VALUATION_CONCERN</t>
  </si>
  <si>
    <t>估值疑慮</t>
  </si>
  <si>
    <t>NON_CORE_SOURCE</t>
  </si>
  <si>
    <t>非主要公司網站</t>
  </si>
  <si>
    <t>NOT_RELEVANT</t>
  </si>
  <si>
    <t>無關新聞事件</t>
  </si>
  <si>
    <t>UNKNOWN</t>
  </si>
  <si>
    <r>
      <rPr>
        <i/>
        <sz val="9"/>
        <rFont val="Noto Sans CJK SC"/>
        <family val="2"/>
      </rPr>
      <t>來源：</t>
    </r>
    <r>
      <rPr>
        <i/>
        <sz val="9"/>
        <rFont val="Arial"/>
        <family val="2"/>
      </rPr>
      <t xml:space="preserve">negative-news </t>
    </r>
    <r>
      <rPr>
        <i/>
        <sz val="9"/>
        <rFont val="Noto Sans CJK SC"/>
        <family val="2"/>
      </rPr>
      <t xml:space="preserve">的 </t>
    </r>
    <r>
      <rPr>
        <i/>
        <sz val="9"/>
        <rFont val="Arial"/>
        <family val="2"/>
      </rPr>
      <t>Parameter_Event.xlsx</t>
    </r>
    <r>
      <rPr>
        <i/>
        <sz val="9"/>
        <rFont val="Noto Sans CJK SC"/>
        <family val="2"/>
      </rPr>
      <t>（</t>
    </r>
    <r>
      <rPr>
        <i/>
        <sz val="9"/>
        <rFont val="Arial"/>
        <family val="2"/>
      </rPr>
      <t xml:space="preserve">Event </t>
    </r>
    <r>
      <rPr>
        <i/>
        <sz val="9"/>
        <rFont val="Noto Sans CJK SC"/>
        <family val="2"/>
      </rPr>
      <t>工作表），</t>
    </r>
    <r>
      <rPr>
        <i/>
        <sz val="9"/>
        <rFont val="Arial"/>
        <family val="2"/>
      </rPr>
      <t xml:space="preserve">2026-10-26 </t>
    </r>
    <r>
      <rPr>
        <i/>
        <sz val="9"/>
        <rFont val="Noto Sans CJK SC"/>
        <family val="2"/>
      </rPr>
      <t>讀取。</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</si>
</sst>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
  </numFmts>
  <fonts count="15">
    <font>
      <sz val="11"/>
      <color theme="1"/>
      <name val="Calibri"/>
      <family val="2"/>
      <charset val="1"/>
    </font>
    <font>
      <b/>
      <sz val="12"/>
      <name val="Noto Sans CJK SC"/>
      <family val="2"/>
    </font>
    <font>
      <b/>
      <sz val="12"/>
      <name val="Arial"/>
      <family val="2"/>
    </font>
    <font>
      <sz val="10"/>
      <name val="Noto Sans CJK SC"/>
      <family val="2"/>
    </font>
    <font>
      <sz val="10"/>
      <name val="Arial"/>
      <family val="2"/>
    </font>
    <font>
      <b/>
      <sz val="10"/>
      <name val="Noto Sans CJK SC"/>
      <family val="2"/>
    </font>
    <font>
      <b/>
      <sz val="10"/>
      <color rgb="FFFFFFFF"/>
      <name val="Noto Sans CJK SC"/>
      <family val="2"/>
    </font>
    <font>
      <b/>
      <sz val="10"/>
      <color rgb="FFFFFFFF"/>
      <name val="Arial"/>
      <family val="2"/>
    </font>
    <font>
      <u/>
      <sz val="10"/>
      <color rgb="FF0563C1"/>
      <name val="Noto Sans CJK SC"/>
      <family val="2"/>
    </font>
    <font>
      <u/>
      <sz val="10"/>
      <color rgb="FF0563C1"/>
      <name val="Arial"/>
      <family val="2"/>
    </font>
    <font>
      <b/>
      <sz val="11"/>
      <color rgb="FFFFFFFF"/>
      <name val="Arial"/>
      <family val="2"/>
    </font>
    <font>
      <b/>
      <sz val="11"/>
      <color rgb="FFFFFFFF"/>
      <name val="Noto Sans CJK SC"/>
      <family val="2"/>
    </font>
    <font>
      <i/>
      <sz val="9"/>
      <name val="Noto Sans CJK SC"/>
      <family val="2"/>
    </font>
    <font>
      <i/>
      <sz val="9"/>
      <name val="Arial"/>
      <family val="2"/>
    </font>
    <font>
      <sz val="9"/>
      <name val="細明體"/>
      <family val="3"/>
      <charset val="136"/>
    </font>
  </fonts>
  <fills count="5">
    <fill>
      <patternFill patternType="none"/>
    </fill>
    <fill>
      <patternFill patternType="gray125"/>
    </fill>
    <fill>
      <patternFill patternType="solid">
        <fgColor rgb="FF1F3864"/>
        <bgColor rgb="FF333333"/>
      </patternFill>
    </fill>
    <fill>
      <patternFill patternType="solid">
        <fgColor rgb="FFBF8F00"/>
        <bgColor rgb="FF808000"/>
      </patternFill>
    </fill>
    <fill>
      <patternFill patternType="solid">
        <fgColor rgb="FFFFFF00"/>
        <b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1" fillId="0" borderId="0" xfId="0" applyFont="1" applyAlignment="1">
      <alignment vertical="top" wrapText="1"/>
    </xf>
    <xf numFmtId="0" fontId="3" fillId="0" borderId="0" xfId="0" applyFont="1" applyAlignment="1">
      <alignment vertical="top" wrapText="1"/>
    </xf>
    <xf numFmtId="0" fontId="5" fillId="0" borderId="0" xfId="0" applyFont="1" applyAlignment="1">
      <alignment vertical="top" wrapText="1"/>
    </xf>
    <xf numFmtId="0" fontId="4" fillId="0" borderId="0" xfId="0" applyFont="1" applyAlignment="1">
      <alignment vertical="top" wrapText="1"/>
    </xf>
    <xf numFmtId="0" fontId="3" fillId="0" borderId="0" xfId="0" applyFont="1"/>
    <xf numFmtId="0" fontId="6"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4" fillId="0" borderId="1" xfId="0" applyFont="1" applyBorder="1" applyAlignment="1">
      <alignment horizontal="center" vertical="top"/>
    </xf>
    <xf numFmtId="0" fontId="4" fillId="0" borderId="1" xfId="0" applyFont="1" applyBorder="1" applyAlignment="1">
      <alignment vertical="top" wrapText="1"/>
    </xf>
    <xf numFmtId="0" fontId="8" fillId="0" borderId="1" xfId="0" applyFont="1" applyBorder="1" applyAlignment="1">
      <alignment vertical="top" wrapText="1"/>
    </xf>
    <xf numFmtId="0" fontId="4" fillId="0" borderId="1" xfId="0" applyFont="1" applyBorder="1" applyAlignment="1">
      <alignment vertical="top"/>
    </xf>
    <xf numFmtId="176" fontId="4" fillId="0" borderId="1" xfId="0" applyNumberFormat="1" applyFont="1" applyBorder="1" applyAlignment="1">
      <alignment horizontal="center" vertical="top"/>
    </xf>
    <xf numFmtId="0" fontId="4" fillId="0" borderId="1" xfId="0" applyFont="1" applyBorder="1" applyAlignment="1">
      <alignment horizontal="center" vertical="top" wrapText="1"/>
    </xf>
    <xf numFmtId="0" fontId="3" fillId="0" borderId="1" xfId="0" applyFont="1" applyBorder="1" applyAlignment="1">
      <alignment horizontal="center" vertical="top"/>
    </xf>
    <xf numFmtId="0" fontId="5" fillId="0" borderId="1" xfId="0" applyFont="1" applyBorder="1" applyAlignment="1">
      <alignment horizontal="center" vertical="top"/>
    </xf>
    <xf numFmtId="0" fontId="5" fillId="4" borderId="1" xfId="0" applyFont="1" applyFill="1" applyBorder="1" applyAlignment="1">
      <alignment horizontal="center" vertical="top"/>
    </xf>
    <xf numFmtId="0" fontId="4" fillId="4" borderId="1" xfId="0" applyFont="1" applyFill="1" applyBorder="1" applyAlignment="1">
      <alignment horizontal="center" vertical="top" wrapText="1"/>
    </xf>
    <xf numFmtId="0" fontId="4" fillId="4" borderId="1" xfId="0" applyFont="1" applyFill="1" applyBorder="1" applyAlignment="1">
      <alignment vertical="top" wrapText="1"/>
    </xf>
    <xf numFmtId="0" fontId="4" fillId="4" borderId="1" xfId="0" applyFont="1" applyFill="1" applyBorder="1" applyAlignment="1">
      <alignment vertical="top"/>
    </xf>
    <xf numFmtId="0" fontId="9" fillId="0" borderId="1" xfId="0" applyFont="1" applyBorder="1" applyAlignment="1">
      <alignment vertical="top" wrapText="1"/>
    </xf>
    <xf numFmtId="0" fontId="3" fillId="0" borderId="1" xfId="0" applyFont="1" applyBorder="1" applyAlignment="1">
      <alignment vertical="top" wrapText="1"/>
    </xf>
    <xf numFmtId="0" fontId="3" fillId="0" borderId="1" xfId="0" applyFont="1" applyBorder="1" applyAlignment="1">
      <alignment vertical="top"/>
    </xf>
    <xf numFmtId="0" fontId="10" fillId="2" borderId="0" xfId="0" applyFont="1" applyFill="1"/>
    <xf numFmtId="0" fontId="11" fillId="2" borderId="0" xfId="0" applyFont="1" applyFill="1"/>
    <xf numFmtId="0" fontId="4" fillId="0" borderId="0" xfId="0" applyFont="1"/>
    <xf numFmtId="0" fontId="12" fillId="0" borderId="0" xfId="0" applyFont="1"/>
  </cellXfs>
  <cellStyles count="1">
    <cellStyle name="一般" xfId="0" builtinId="0"/>
  </cellStyles>
  <dxfs count="15">
    <dxf>
      <font>
        <b/>
        <color rgb="FFC00000"/>
        <name val="Arial"/>
        <charset val="1"/>
      </font>
    </dxf>
    <dxf>
      <fill>
        <patternFill>
          <bgColor rgb="FFA6A6A6"/>
        </patternFill>
      </fill>
    </dxf>
    <dxf>
      <fill>
        <patternFill>
          <bgColor rgb="FFEDEDED"/>
        </patternFill>
      </fill>
    </dxf>
    <dxf>
      <fill>
        <patternFill>
          <bgColor rgb="FFDDEBF7"/>
        </patternFill>
      </fill>
    </dxf>
    <dxf>
      <fill>
        <patternFill>
          <bgColor rgb="FFFFEB9C"/>
        </patternFill>
      </fill>
    </dxf>
    <dxf>
      <fill>
        <patternFill>
          <bgColor rgb="FFF8CBAD"/>
        </patternFill>
      </fill>
    </dxf>
    <dxf>
      <fill>
        <patternFill>
          <bgColor rgb="FFFFC7CE"/>
        </patternFill>
      </fill>
    </dxf>
    <dxf>
      <font>
        <b/>
        <color rgb="FFC00000"/>
        <name val="Arial"/>
        <charset val="1"/>
      </font>
    </dxf>
    <dxf>
      <font>
        <b/>
        <color rgb="FFC00000"/>
        <name val="Arial"/>
        <charset val="1"/>
      </font>
    </dxf>
    <dxf>
      <fill>
        <patternFill>
          <bgColor rgb="FFA6A6A6"/>
        </patternFill>
      </fill>
    </dxf>
    <dxf>
      <fill>
        <patternFill>
          <bgColor rgb="FFEDEDED"/>
        </patternFill>
      </fill>
    </dxf>
    <dxf>
      <fill>
        <patternFill>
          <bgColor rgb="FFDDEBF7"/>
        </patternFill>
      </fill>
    </dxf>
    <dxf>
      <fill>
        <patternFill>
          <bgColor rgb="FFFFEB9C"/>
        </patternFill>
      </fill>
    </dxf>
    <dxf>
      <fill>
        <patternFill>
          <bgColor rgb="FFF8CBAD"/>
        </patternFill>
      </fill>
    </dxf>
    <dxf>
      <fill>
        <patternFill>
          <bgColor rgb="FFFFC7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DDEBF7"/>
      <rgbColor rgb="FF660066"/>
      <rgbColor rgb="FFFF8080"/>
      <rgbColor rgb="FF0563C1"/>
      <rgbColor rgb="FFFFC7CE"/>
      <rgbColor rgb="FF000080"/>
      <rgbColor rgb="FFFF00FF"/>
      <rgbColor rgb="FFFFFF00"/>
      <rgbColor rgb="FF00FFFF"/>
      <rgbColor rgb="FF800080"/>
      <rgbColor rgb="FF800000"/>
      <rgbColor rgb="FF008080"/>
      <rgbColor rgb="FF0000FF"/>
      <rgbColor rgb="FF00CCFF"/>
      <rgbColor rgb="FFCCFFFF"/>
      <rgbColor rgb="FFCCFFCC"/>
      <rgbColor rgb="FFFFEB9C"/>
      <rgbColor rgb="FF99CCFF"/>
      <rgbColor rgb="FFFF99CC"/>
      <rgbColor rgb="FFCC99FF"/>
      <rgbColor rgb="FFF8CBAD"/>
      <rgbColor rgb="FF3366FF"/>
      <rgbColor rgb="FF33CCCC"/>
      <rgbColor rgb="FF99CC00"/>
      <rgbColor rgb="FFFFCC00"/>
      <rgbColor rgb="FFBF8F00"/>
      <rgbColor rgb="FFFF6600"/>
      <rgbColor rgb="FF666699"/>
      <rgbColor rgb="FFA6A6A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news.google.com/rss/articles/CBMirgFBVV95cUxOWDFrVktXTms4Yk9Edk5VaDlIQ3pQVENZb29UclljTnlubExOTWFNV1ZOVEQwUEVqOEVRQUxuVGVfcTRmaU9CRTdOd2tweGhSR1E0N0xnNHlpZy1XelVSRU00cTNsNXRRRnZOR1lwVk9JMEkwSk95YlFZVlh4Q2NqSEp6blhoR1ZGclZ5MkFnam0tbjhwY2tVSzJzbUtfWU" TargetMode="External"/><Relationship Id="rId299" Type="http://schemas.openxmlformats.org/officeDocument/2006/relationships/hyperlink" Target="https://news.google.com/rss/articles/CBMimgFBVV95cUxNRkQzU3ZQYUdicTN2QmRZZ1RlUXVJSW9DTVdZMk5HTWFMMUJZZTVWeXFlMjM5Y3RGWlNBVWR0Sm1KOVo0b2pab3h0MllVdVBid2NuMUZwMlM3VjhNME1YMXJYMFlzSE9xVXBqcklVOE9Mc1FsSDV2dTlDTFVVMTR0QTNUOWVzLVJWcnF4MEk0T1hYbFhDR2lfa0pB?oc=5" TargetMode="External"/><Relationship Id="rId21" Type="http://schemas.openxmlformats.org/officeDocument/2006/relationships/hyperlink" Target="https://news.google.com/rss/articles/CBMia0FVX3lxTFA4eGM3MHpxMTY1cEw5VFViYzlncGJaRkduVzBFeXEwM0oyaVR3UGE3VVNWNXhGSm5nNE91ZndNQS05a0hzZmNrRldXTVU1M0JySXN6ME1Fek5jbHZSaGZfVWxmQmdTdFR5bUU4?oc=5" TargetMode="External"/><Relationship Id="rId63" Type="http://schemas.openxmlformats.org/officeDocument/2006/relationships/hyperlink" Target="https://news.google.com/rss/articles/CBMiigFBVV95cUxNdzVZanZvZUxRQmZDbnpfM1VXUGRodmtXLXFxLW96WGNJOFlhcjZ1a2p2QWtHVFhVZkpsODVkbGtaNFdWb2VlU1pvN3MtWUxSLUNzQW1tRlRCRXpxY3JVWk1LRGNHcVN6WVc5V2FQSzJ6aUFPZnhnaFl4cTZjWkJTQjJPX01CelRwWFE?oc=5" TargetMode="External"/><Relationship Id="rId159" Type="http://schemas.openxmlformats.org/officeDocument/2006/relationships/hyperlink" Target="https://news.google.com/rss/articles/CBMidkFVX3lxTE5rYVQ3cW1UZV9GUHB5bm1ZNzZ1dUNKb2VrTHNhVlJWM2Q4M2t3eWdVVjlZZzZfX1c1enVOQnk4aWZEeHYxdHp4UjhBM1BUYlp3ajkxenNUbEVhaWlLSjRHZXRuUEN5eVJ5cEMxVFEwRWNtUXlDbEE?oc=5" TargetMode="External"/><Relationship Id="rId324" Type="http://schemas.openxmlformats.org/officeDocument/2006/relationships/hyperlink" Target="https://news.google.com/rss/articles/CBMiiwFBVV95cUxOQUVuZlRxNHhSSGxpWUdLOVJIY3ZTV0pCWDY2TGlpU3cwQ0J5ekdlX0VzazhjM2x1eHozUVlDYkYwY3R4MnFMckU5LW5FMkVtZ0xCeWlGdGt5V0F4bUV1ZWo3WDNlNExKeThJaHBsUUV6RndFY1lvN3R5R1RZNm9BaV9ybG81aHpDLUJr?oc=5" TargetMode="External"/><Relationship Id="rId366" Type="http://schemas.openxmlformats.org/officeDocument/2006/relationships/hyperlink" Target="https://news.google.com/rss/articles/CBMiZkFVX3lxTE1OMnVlcjhiNmZXUFRzcHRrWFhuMDlrTDg0a1BDSmxvNXhnalkzUl93eHlGa0Q5ZU92b2c5V1gyWXhZYzh4R1Aya1kyam5KZzNWZXJVZ3ZJbUE4MEU1UTdpRHhiVWZxUQ?oc=5" TargetMode="External"/><Relationship Id="rId531" Type="http://schemas.openxmlformats.org/officeDocument/2006/relationships/hyperlink" Target="https://news.google.com/rss/articles/CBMiuAFBVV95cUxPdE5iVjdqcEFjRXpTekoydE1SeVFDeFlhem5tOTU5YmNxUllsSUJqX3UzLU1NWk5NVk50XzZpazBfV0l6LTBMd3hQWHlzZXlpVGQxbUpRT1FrSnk3a1ZxZWc0WnViT19DSlJ0djFtbDdUcUNvME1jN0dNWF9RMi1kSTFnWEY3THdVZndyb21mdm9yWWtIQmlRWDFWTk1pYl" TargetMode="External"/><Relationship Id="rId573" Type="http://schemas.openxmlformats.org/officeDocument/2006/relationships/hyperlink" Target="https://news.cnyes.com/news/id/6636779" TargetMode="External"/><Relationship Id="rId629" Type="http://schemas.openxmlformats.org/officeDocument/2006/relationships/hyperlink" Target="https://news.google.com/rss/articles/CBMiXkFVX3lxTE1NVlA5X1VtZkpsMHdqSUN2bm1IWm1lcmFLVjZqaWFMOEd1X2FpRVoxQ05WOUc2VWV0QVZONE5aazJuLWZSTHNNcHlDSHJKcnhtS3dmaUZhU2tGY29JNWc?oc=5" TargetMode="External"/><Relationship Id="rId170" Type="http://schemas.openxmlformats.org/officeDocument/2006/relationships/hyperlink" Target="https://news.google.com/rss/articles/CBMihgJBVV95cUxPejRTTWlMM3dFMmJZSnhoZzAzZ25UUTJINktpdkFGdVNSMGxlbUg2U0RfbHNzMHl6TEtsMXF3NlNsZ2dKNkJLbVZvd2NzcWhhdjU1S2t5aXlQUEZLQXJZTTdGN0k3eW51YXJjVElaMjNaZmVLN3k0NE05eHlpUUlKTEVseDQ5OEpyT3otcUJ5SjEzNmtUanBFX0VLQ1Ztaj" TargetMode="External"/><Relationship Id="rId226" Type="http://schemas.openxmlformats.org/officeDocument/2006/relationships/hyperlink" Target="https://news.google.com/rss/articles/CBMivwFBVV95cUxOYTkyMWdIYzdGcmg2Z1hNMkdwbkxuN0FaY09zcHFxVWxFUk9TVFRMSDNJZTZBbU5vbTVhNTQtS3Q3bmw4QS02dHpPQUdtS29KY0JiOEIyTEFWLVlEOHctMThvTjltbExGVHhwYmhpRlVhVVdZbEFzalp6bVA4VXBGXzRpVldGQkNjTjVzYllTeVdPUEhlM2hQRUZLeXc2Nm" TargetMode="External"/><Relationship Id="rId433" Type="http://schemas.openxmlformats.org/officeDocument/2006/relationships/hyperlink" Target="https://news.google.com/rss/articles/CBMingFBVV95cUxNZnlEUlo4NXRjdm9JV2ZxQUQ3Y0xTbk1tT2toZ2w5S2tpTE5NUWlsNTdvUXdrUFBtZTExRENPSjBDNUtISnVfSzF3X3g2TVJCbXNIeVlET3FLalF2dXZYTkNPcXRQS1hiMGlqLVVZQjNsYWhveVFEOTFWbmgwVUpVTERtaDdRYTlXQTdEdGtfTXFPSjhtVHJ2Szdhc1E3UQ" TargetMode="External"/><Relationship Id="rId268" Type="http://schemas.openxmlformats.org/officeDocument/2006/relationships/hyperlink" Target="https://news.google.com/rss/articles/CBMirwFBVV95cUxPam5sV0k1azNMTnNpVHQ4OURNTnltQksxOFduMzBSYjBUYkw2OHF1eGQybm5WOHZLYUNZZ3NILXFqaXpfWHJhcmdzS2JqVG1aRjJkZEp5ZTdVT3BHVHVid3VBN2E4ODFSZWVZS2hZUE05RG5BZ19ockxad3h1ZVRPaGFjVWFuWUdUNEZUZEhLby03eWhkQzlDSU9IeDNSRU" TargetMode="External"/><Relationship Id="rId475" Type="http://schemas.openxmlformats.org/officeDocument/2006/relationships/hyperlink" Target="https://news.google.com/rss/articles/CBMitgFBVV95cUxOUWNJTjdVYk5UYjI1QU1NZnoxVW5QTVZqNjFkQVlKTENnVkFELWREUTRQV3pNU3V2cm9aN1BhRS1PZ2RLUVZBV01vMGNGUEc4NkhMXzJURUJoNjFubkFZa2ZUM2RiMkVFME9hYlBudW9mWGhCLXd0M2hBWHdzQVIyUHZFRl91R21tZ1I2SV9ab1dVMDFhYWtGR3ZXWHdzSC" TargetMode="External"/><Relationship Id="rId640" Type="http://schemas.openxmlformats.org/officeDocument/2006/relationships/hyperlink" Target="https://news.google.com/rss/articles/CBMihAFBVV95cUxQTlB6VXpYV1FUd2hQTlByNGFLWi1EWXVTVlJJUG5TcHlnRndJU2M4dFphWFdPSzBVTjZ5NHozQ0ZZS1NSQ24zUUZseWkwRDBIS2dZenBlQjVTSXR0Z2tkSHRyTWlMaF9mby1WYjFWU3dnSlQxT1ZRTzU5SW1peHc1bnhYTmc?oc=5" TargetMode="External"/><Relationship Id="rId32" Type="http://schemas.openxmlformats.org/officeDocument/2006/relationships/hyperlink" Target="https://news.google.com/rss/articles/CBMivwFBVV95cUxPNnh4WEZTOEFBQUo1TmMzeGNFQ1FPaDQzY21NY0lpMjZJM2tiazlCSG5nb3BsdDVmaHVnc0RzbWpZZG1tUDBJdmNJN3pBcFN0eDdRTTlmZEt2YmZtck1Nc3ZzZTdzd1Ftb3FPNzVHcTFXQ2cxTGdXZHppeTlFUU5lSWxKY3ZmYnFtVWl6eGxueXFGaTBoVHd6WjUxSU80Wk" TargetMode="External"/><Relationship Id="rId74" Type="http://schemas.openxmlformats.org/officeDocument/2006/relationships/hyperlink" Target="https://news.google.com/rss/articles/CBMinwFBVV95cUxQdHhzazA4ZXgwcFBybTd6QWMyaTBQbWFBbzFwc3hlVDdRM1VmcTdKNnBXRGdRZFcyX0N0N0p4MFpmOTdubE96ZzVlSzVjYm5OaEdKaGxlWFd6ZF94MmczYWw2aTJRV1NnSXBjWmxTeEV4RExjbW1TZzBSeUdtSGRseml3WWU1c3hrQzNWTTUxWm90bG90RmVsbU9ib0dXTT" TargetMode="External"/><Relationship Id="rId128" Type="http://schemas.openxmlformats.org/officeDocument/2006/relationships/hyperlink" Target="https://news.google.com/rss/articles/CBMilgFBVV95cUxOeFpGbFhjYkdJdVVPQXFfaHZfdE1CdVA2b3FQaENnMUNxTXNHOS1GbTZQREZWYUdiWkdWamlrYTNOcDFpVEZ1QlUxSDY0cHpEWkFad05sWFEwTlV0ZGNQUGtxWmFFNEQwWXdYc05aaDRBcVlHVndqa2ZYam8zMkptajVqbmdBMTlrVXFKcWxKOGNpLUFRdXc?oc=5" TargetMode="External"/><Relationship Id="rId335" Type="http://schemas.openxmlformats.org/officeDocument/2006/relationships/hyperlink" Target="https://news.google.com/rss/articles/CBMiT0FVX3lxTE9DVFRmTmRoSDlOTTdkRmlOS0FZSFZ3OFF5RkcyREoyS1I1NnpVR3FleTJiMlpfLWJmckJsdFdoY04tTnlRQ3pVQUgzNHFxemM?oc=5" TargetMode="External"/><Relationship Id="rId377" Type="http://schemas.openxmlformats.org/officeDocument/2006/relationships/hyperlink" Target="https://news.google.com/rss/articles/CBMixgFBVV95cUxNMXBlTVJqR3lwRWJHOXNkTDE5Q0lUOFFHeWI0bzNNYzc4ZGstcFZNWFhFaEY5dURZeUltRm5YSG91SEg4UXktbDl4MklFcUlsTVN5b1pheVJRV2NKRnFOcEY2Qk44ellBRnQ1akFtLU04TnAtc3A0VnVLbDhmSExJSWJnY3V2TkVuTE92VzNaZjRPRFJ4VWRiNlNFZlZtdk" TargetMode="External"/><Relationship Id="rId500" Type="http://schemas.openxmlformats.org/officeDocument/2006/relationships/hyperlink" Target="https://news.google.com/rss/articles/CBMikAFBVV95cUxOTzRTcGdabmFWY011Sjk3ZVVGNE5DX09rRHp3MXJ0Vl9BRWZ1SktHV052ZHJjb1lJa09pcWpZVW5qWkttRHprWXpwemxnekhyd2ZQVS1yRC1BQmdFQlVrTUZoaDdrazlESDZCcWY2bWU3Q0E3bHVrclcxdF9WTXRrbFJqZ0RMLVZRZ2JyZUc1Q08?oc=5" TargetMode="External"/><Relationship Id="rId542" Type="http://schemas.openxmlformats.org/officeDocument/2006/relationships/hyperlink" Target="https://news.google.com/rss/articles/CBMingFBVV95cUxNd2FTR2VVcnNyQXoyWndTa205TWVDOTZhTTdudU0yWUlPMERDXy0zVnRlSHgtNkJRWGJyTEtqUXl0WHZjeUNKYzNWdk5ZeEtnYmZUWjJKbmVfaVVtOTJ0QlhYOWcxSVVabFBKQUtZVF9wM0M4WUU5RXBQT2JRZXZwd0NOWUd1aUoyUC1rVGxyS1g0V3Jvbm5sU1BxX3Fmdw" TargetMode="External"/><Relationship Id="rId584" Type="http://schemas.openxmlformats.org/officeDocument/2006/relationships/hyperlink" Target="https://news.cnyes.com/news/id/6636795" TargetMode="External"/><Relationship Id="rId5" Type="http://schemas.openxmlformats.org/officeDocument/2006/relationships/hyperlink" Target="https://news.google.com/rss/articles/CBMiaEFVX3lxTE9NZ2RVR0VfTUUyS2lzbmVEaWpmb3BsUWRyWjBkRko3WnJvVllhZlR1NVdwUG9VVmo2bnJZMDdVQ3RMTUNsckp0YWg1bnFqZ2dRMFNkbzd6akU2SDYtQkJyVE9ZRThBdjhO?oc=5" TargetMode="External"/><Relationship Id="rId181" Type="http://schemas.openxmlformats.org/officeDocument/2006/relationships/hyperlink" Target="https://news.google.com/rss/articles/CBMimgFBVV95cUxOWTRzTUdzbjJra083TXJXOHZ6XzBBNXExclV2cGd2TFIxS3pMaER4dGVRR3VUeWExc3o5RGo2OExBSjdGNTJCS0JwWjV4OE1EVXV2dnh6bmpyR05zLTFJRXpPTlo2R3ZXY3Fjd2ZMS0toY3EwWWxMZGZBV0ZXUVdDbnE2ckFPMi11V1JtS0lDdHFYRWtscUwwWVVR?oc=5" TargetMode="External"/><Relationship Id="rId237" Type="http://schemas.openxmlformats.org/officeDocument/2006/relationships/hyperlink" Target="https://news.google.com/rss/articles/CBMihwJBVV95cUxQMnlBeGFWNUMxdzBaSzN3NlJDZWc5OVBtb25fZk8yWFZ2Mi1EanhjLW9neVFtaFhwVEZKY21SS1pUakdRQkx4cEhmZlc4V0s3WjFxZnQ2ZnUwYXpvRWxJWDdfdlEzbHZoM0xtUVFfMUoybXU4WTlQUTlncnFiWG15TGpQWFQyM3hva29sTWp0b0JQbGR0MHdiWXJnU1RTLX" TargetMode="External"/><Relationship Id="rId402" Type="http://schemas.openxmlformats.org/officeDocument/2006/relationships/hyperlink" Target="https://tw.tradingview.com/symbols/NYSE-HPQ/news/" TargetMode="External"/><Relationship Id="rId279" Type="http://schemas.openxmlformats.org/officeDocument/2006/relationships/hyperlink" Target="https://news.google.com/rss/articles/CBMiiAFBVV95cUxNY3JtRmZZR3psaEZ1UE03STI0TzJGd2pfeWxSU1BoMmZvZ2JSZUZXcEpMcXhhYUstZ0htRnVia3JOQnZuekxwbVVUOXo2Z0VqM2JjeFFkbWtOSXgxOXdKbGpOUkRheHJxa3VDeUtmajZYV0dTYW43aWhuZ3lwWEhsbGY3a05yRFhk?oc=5" TargetMode="External"/><Relationship Id="rId444" Type="http://schemas.openxmlformats.org/officeDocument/2006/relationships/hyperlink" Target="https://news.google.com/rss/articles/CBMisAFBVV95cUxPeE1fN0dMcjB2Y3pKYzJ4ekh6ZjRBTkVVWXBXLVd5NHhoUWhvYWlYVUlMMExleTl1N1V6a0tGX0JPVFdMRVRaSUhLLWlMQlh0Q0lEdFYwV0NzUlM0WlRrQUk5WklkYWt0U3pRUlp2ckNzcWhJUWU1ajNBTEdIX180dDFxMFYxWEhPOUZJbFJDcnZieTdPY3pURXdwS2FYYj" TargetMode="External"/><Relationship Id="rId486" Type="http://schemas.openxmlformats.org/officeDocument/2006/relationships/hyperlink" Target="https://news.google.com/rss/articles/CBMi8AFBVV95cUxQajdRV0x5UTg0RUdnODNldEtGUEVrMXpsdnFSTTF6NThUWDB1ZUh5dUJweFlpY3JJUXdaeHhoWU9TbXJTb2Y3VTJNRmViU09SYkF2emZiMFp3Mm9QOC1LSE53NTVYTDA0YXBKVm51ejhseGNleFpGRG93NnNXOUpjaEd0TmVyQm1IRVplenVzSlB1d0hVZWFrN1JyUHMtWW" TargetMode="External"/><Relationship Id="rId43" Type="http://schemas.openxmlformats.org/officeDocument/2006/relationships/hyperlink" Target="https://news.google.com/rss/articles/CBMimgFBVV95cUxOcDRIU0piMVh1MjZJOXRQcThLLUs0eUhwQlB1Sng0Y3FFZFJNdVMwN2hHeFBzc1ptb0lqcGpRLU5kX3F4eTI5cm8wUU5fd3dyejV4alFNWXdmTmZ6YzJ6VXpTMnBMYUJ5QnZVUmgxQVZhemZWX1JWUFE5Z3ZZU3F2bU9JUXVCMGVkcUJKNkhjbWNrdWFhd3dqdmJR?oc=5" TargetMode="External"/><Relationship Id="rId139" Type="http://schemas.openxmlformats.org/officeDocument/2006/relationships/hyperlink" Target="https://news.google.com/rss/articles/CBMi2AFBVV95cUxPaXBDb0R1SWRKampnWV9NTUx3Y0lYZUlDUmpfbmx1TWtIeGUyeWVXelpaZ1hoZHRTT0xUSGhfbUpncmR3dEppakZPUVdJeGZhZ2pCa1NGTk9DNDc1emlzN3ZiemVLZVB3U3BJWUtrSWdXVWxTZVJQdVV1cXNjM19oSHNCMlMxaUY5dU1COWg1VFhoeWhMbmlLRnl3RjJnTz" TargetMode="External"/><Relationship Id="rId290" Type="http://schemas.openxmlformats.org/officeDocument/2006/relationships/hyperlink" Target="https://news.google.com/rss/articles/CBMiqwFBVV95cUxNUFQ3d0ZzaXFKdkZ6YTNGVF9GY0RGTlFWMER5a1BGbjc5R2dPMFlUMjVVQ1A2ellOVWxELVlVcWgtTFpKMEQzcUVERy1vdGVaNEl6QjYxT1BlV19zVmVhSGg1bTNtaFRRNUxTRVZJSlduOUpDRmJkN3VSM1A1SE1lSnROUUFNVTh5UkZ3eDlyMVJhblBpSnF5QVZfci1OaH" TargetMode="External"/><Relationship Id="rId304" Type="http://schemas.openxmlformats.org/officeDocument/2006/relationships/hyperlink" Target="https://news.google.com/rss/articles/CBMirgFBVV95cUxOMXBaTUxRTVRaaEh2ajRtZWxDekFLVElmbi1oVEw1eFJyUDg4NG5TNGxTZGw1eUFSTWhTbHVERXU2R2p1YlBFRnZhcUFXSG9vQWhPcVFxN21jdDJaMFRLY0lSU0x0YUtBREl3UXBYaVFXZmNtNmdfVGhkUmt5bnZJOTg3eTBOdjlUdTNaRTlFSGQ5YTdLcjVwWnVkLUREN2" TargetMode="External"/><Relationship Id="rId346" Type="http://schemas.openxmlformats.org/officeDocument/2006/relationships/hyperlink" Target="https://news.google.com/rss/articles/CBMilwFBVV95cUxQUUJQQUVhaXJra3ZCVXVpdU5UT3JWU0lhOU5ETG9rbjJPM1RUbVBheE4teWZSRFJmRkU5N3dnWFlaZjdjSjJNSjAyTVhMcHZjUTdjSEZadmlnUkRvODd0TlJhVzFNYTRBX2Z2MnZXSFk2Sy1ZUDJoamg2SmpkVTFOMmRiVElPWThSb1ZEcG0tTGpMNDVQUS1j?oc=5" TargetMode="External"/><Relationship Id="rId388" Type="http://schemas.openxmlformats.org/officeDocument/2006/relationships/hyperlink" Target="https://www.gelonghui.com/live/2710110" TargetMode="External"/><Relationship Id="rId511" Type="http://schemas.openxmlformats.org/officeDocument/2006/relationships/hyperlink" Target="https://tw.tradingview.com/symbols/NASDAQ-KLAC/news/" TargetMode="External"/><Relationship Id="rId553" Type="http://schemas.openxmlformats.org/officeDocument/2006/relationships/hyperlink" Target="https://news.google.com/rss/articles/CBMiW0FVX3lxTE1hN05Bem1EOE5iRFdlalphNlZ6TngzMVd1MjRObVdDUUtldTJNZ01nREZFRkpnczN6aHZZMDh1MFlDblNSQ0pLN0JYSThDX3NWR2ktVWFCWTBPMFE?oc=5" TargetMode="External"/><Relationship Id="rId609" Type="http://schemas.openxmlformats.org/officeDocument/2006/relationships/hyperlink" Target="https://news.google.com/rss/articles/CBMirwFBVV95cUxOVDE5bWpnTU9PcC1LeFhwR0RGSG14T3JkSTlWM2lvRENZNHltVVpOX1E4cGRwOGVVNklYeEgyRnRhM3VhSGY3cF80Q1VDaTRJM2R0RzhXa1FZY0F6M1NGNzBodWJLLXRNZ2FrLU9TbVV1VlQ1THhzZGlEclF5alhtUUlSS2VKZGtLSkZhUjFpMGhCcG5KZDhrVjB0d3daMU" TargetMode="External"/><Relationship Id="rId85" Type="http://schemas.openxmlformats.org/officeDocument/2006/relationships/hyperlink" Target="https://news.google.com/rss/articles/CBMikwFBVV95cUxPRnVrVExqQ0pNWmhOR2U1VkZMVFpVMFFrZV9tVFloa1Bub3NnQnRSRGc2ME5icmt5SXNxNXRhT2VjRE5JdGlkLWxsRWNLbWV1SENjYUYzNEN2UE5GSnhqQXV4aXNINVdFV2Vyb3RrYTlCZks2MFhmU0U4Z01xaVhQeGM1bGN6QW5PVm9neXNJclFaUlE?oc=5" TargetMode="External"/><Relationship Id="rId150" Type="http://schemas.openxmlformats.org/officeDocument/2006/relationships/hyperlink" Target="https://news.google.com/rss/articles/CBMirgFBVV95cUxOaWc2ZTBXQVItX3JBbGVFX3J3dk9fVEpfN1FEbzBxVE5rQWJQVGc4Nnl6QnFTVTcyekJHVkNNZUtCV25EeTZYTDROVjhscm5yUXhLVFVWWXN3ZEc5Q0dNRjdRMHh4cVZkV2R0VUVVZnZ1cXUtQW5Xd2E2bGRQQjZvWlM1OWNralNJd0JvV1dWbE5VVnF6VjNtUFFNUW84cE" TargetMode="External"/><Relationship Id="rId192" Type="http://schemas.openxmlformats.org/officeDocument/2006/relationships/hyperlink" Target="https://news.google.com/rss/articles/CBMipwFBVV95cUxOdWoyNkM3ckZ6WFZMcVk0RkJSZVlqdVBnTU5jNjNOYU91aUdfMmhvRzJfbFBCSXFFNEZxUjZ2dGxqaVRGbk8yVG5NZUtsN2x6TWZGWXBRUjZMclBJY2QyNU5mRC1wa0E0SFRmTmoxVjkxRDRTQ2FoX3RVNkVoUWNEQ0R6TXc1RnFDMFF5M2RIdUp6dDNWSklBWGxCelhXUG" TargetMode="External"/><Relationship Id="rId206" Type="http://schemas.openxmlformats.org/officeDocument/2006/relationships/hyperlink" Target="https://news.google.com/rss/articles/CBMijgFBVV95cUxNTDgxTWhIWVp6N3pZcWFNb0pmc01NMmh0TlNMWjZiNm50YnFMN0dMZ19Hb2hyMzVaRDRTWkJTVThZZDNMMGxUeEdoUFFvNGktQThiWGtSTTE5dVhuQmJkVUFmY2dNV21CSUw4bU1GcTFKYldvYUVNQ0xraTJtbDU5aG5ldmQ4S3phbjVTNU93?oc=5" TargetMode="External"/><Relationship Id="rId413" Type="http://schemas.openxmlformats.org/officeDocument/2006/relationships/hyperlink" Target="https://news.google.com/rss/articles/CBMi7gFBVV95cUxNSXQ3VnM0Vk9UZ2duajRjWkJJa2tmRVU2eHhxcU5RdHp6eW96dkh6bWFoWklCYmFFLXFiMkJUd0hGaHlfb1pRblFQakVNRGVqTm9OR1FmWFNhQnotaDRpRzlqNkNYbUNNaUg4RElibWhYRFlZTkZtQ0ozZnV3S1hfN24yMlB3akVTQ0dWQk9hbEVOQjJuVktTa19oWkV0d3" TargetMode="External"/><Relationship Id="rId595" Type="http://schemas.openxmlformats.org/officeDocument/2006/relationships/hyperlink" Target="https://news.google.com/rss/articles/CBMiugFBVV95cUxQdXBWOVBEM2h3aGpjRkQ5NnlUNWEwVFRuWmN3R3NHem9UeFJvWmtRc3pRRnRkVGh3azhBQkozYkM3Q1FoVlJXNzliM0tJT1BZZ1hDeFhaNXE2X3hYZEY4SmhPdU4zQXRfbnhialZlRGFZd0lzdnNBUnhfTnRwSmhUSVdGRmsza2tLaThCSlJNOGo4VDB1U0VnRnNsenlOTn" TargetMode="External"/><Relationship Id="rId248" Type="http://schemas.openxmlformats.org/officeDocument/2006/relationships/hyperlink" Target="https://news.google.com/rss/articles/CBMirgFBVV95cUxPUmJjaEc5ZW93MFFVY0tnUmVZQ0REMlJ2YkY5YkgyVm16d0kyRVVnNFZ3dW9UYmJ1aDQ4MXFvMHlfOURQVll6ajN4Nm90ejhQT3dHNWdqbmc1RTNqWEh6SU9PQjlsVDZjbWZzaXExRVR5Qzg2ZU5RTkZNbW9TWlJ4SjBsRUVwT3VUdlpiUWNobEtCMUJpNlo0NFQ0VENsZE" TargetMode="External"/><Relationship Id="rId455" Type="http://schemas.openxmlformats.org/officeDocument/2006/relationships/hyperlink" Target="https://news.google.com/rss/articles/CBMikAJBVV95cUxNa0xheUhaS1dWSzFZS0NXbUwyNS03YlkzRnd2ZXo3bW1LM3huUjZUdDRncG9LY0lHVEFKeFFHSTFzbkRtcElKQ2tzZjl6V1pXOVUyenJ6UGlVTXdsc0VqamhrWFBkUW9pZFBtSk9VRzJxbmRGVGJpRU8xaEE0SlMzanNDMmI2RjUzQ2FqX3dNWWN5emduYk5GbXlVUHI1UW" TargetMode="External"/><Relationship Id="rId497" Type="http://schemas.openxmlformats.org/officeDocument/2006/relationships/hyperlink" Target="https://news.google.com/rss/articles/CBMickFVX3lxTFBzSWU5aDViMFhfYTZKLVdZSDBScEQydGtjZTN5RFd4aXNvLWRDVVpfUDcyZEJEWVE0U3lwd25lWnFheExMc3Y4Z1BVOGhwSWR0emdVYnZwMzZ0SWM3SjRhTHNaV0Nfa3ZIVUtxMENtNVc0QQ?oc=5" TargetMode="External"/><Relationship Id="rId620" Type="http://schemas.openxmlformats.org/officeDocument/2006/relationships/hyperlink" Target="https://news.google.com/rss/articles/CBMiyAFBVV95cUxPSktIaU1fcUFMRzNCWm1CRHdvX2RHREJGLXZOeE1kYjlST2ZfcWVGMURfcG92OEJIOHFONENObTgyWHVlUVBmUFQxYXVZMngtUEpYM3JOTy11eElaU1pmdk5TVW5rdmE2WDdhYzQ1MmcxcnFlMVNIb2RfZ01ydnpheGNVbHFXTFZ6aUItbUlNRGNnMmVHTEpDblU3R1REWn" TargetMode="External"/><Relationship Id="rId12" Type="http://schemas.openxmlformats.org/officeDocument/2006/relationships/hyperlink" Target="https://news.google.com/rss/articles/CBMimAFBVV95cUxPMjByVURZOGVMVzAwUVNaa01tNlNVMTE0ei1JWllyc3NibWc5N1RLNnJJbGtDOXd0bDVUalZ6bTdvbmhFQ3NZVzNJcDJmZHFINGsydUZiTk1PcE5nYllrS2J1TS0yOFp2WVFyZldkcW02NHdja3ZCX0hsclBralNlUXNfVFV3Z2F0YVo4cmgwR1BkdjNyUjlDUw?oc=5" TargetMode="External"/><Relationship Id="rId108" Type="http://schemas.openxmlformats.org/officeDocument/2006/relationships/hyperlink" Target="https://news.google.com/rss/articles/CBMipAFBVV95cUxQUmtmNFpzVm9GQzlPZVVVZmJSbGd2bi03cG12cEdXTnpJQnBzQ0QxUk4wODFUT1ZPXzlTcnFNOHprSlZJbGhUR0dIZjZ5U3R3MV9SU25OWTI3ZElLTUdFR0JYcnJ4VWNhNFo3WVh1TlY5aXJDY2pvcjl1Q0FBWDBEeHlhdWZaNUh2WTAwb1M4T2I2bUpUQlBTS2hPV3lSRX" TargetMode="External"/><Relationship Id="rId315" Type="http://schemas.openxmlformats.org/officeDocument/2006/relationships/hyperlink" Target="https://news.google.com/rss/articles/CBMigwFBVV95cUxNQkRTdkZhTnRvb2dWU1NHbE43WlU3a0hGLXRZNmNROURDOWRKRGxISHpIMWtmSEp5X1YxZ3dFcHZJRXB2Y1pOdjI2Z2xOLVBjUTR6VzVvMEJ2UXBhZkN0eXY5d1NXS29QM003aFJTWUdiVlJkcEpaaVlEQ3poVFNpc0VQcw?oc=5" TargetMode="External"/><Relationship Id="rId357" Type="http://schemas.openxmlformats.org/officeDocument/2006/relationships/hyperlink" Target="https://news.google.com/rss/articles/CBMixAFBVV95cUxNNFhNT1o2RnZCWEo4QWlxTi1VNjNKNDh3VnBvOTdwUkkxblVGU2xGZ3dxOTh3b0FEdmRkaXh0Q3hyMkk5UnMxVWVLS2lIX002SS1mMUg4ZGd2NzJwY0hCaDA0b1NPOWZfRllOOFpQbUJSSy0yWmh4bHRCYkVDR1J6c1JvaVFab0cxTHlrbENtX0I2Mk9iT05HZDVPeTlmX0" TargetMode="External"/><Relationship Id="rId522" Type="http://schemas.openxmlformats.org/officeDocument/2006/relationships/hyperlink" Target="https://news.google.com/rss/articles/CBMiwwFBVV95cUxPX3N3OVFtWjJuWHRxSmVNU21oa0NqNUU4QktleWM5T3lsNE1Ra1Nna2xYVDM0eURqSmNLSktBcm1MNi0ySmI5NWw3T3pxNlFIbXhJa3RkczRxblo3WmJaS3dSQ2Z6d0JsWXVrX0cySzIzc1lmdHNFT1hPZkg5SXk3emtGNVl1LXhPVlY4Y1VsNlN2NVVnVi1iZThJUGRzMk" TargetMode="External"/><Relationship Id="rId54" Type="http://schemas.openxmlformats.org/officeDocument/2006/relationships/hyperlink" Target="https://news.google.com/rss/articles/CBMi2AFBVV95cUxPZ0VWSEhDLXpvam9LRGh6QVNQa0pHdVFYSkdlTnM4SGRraDFSaml2ZFEzZDk0ZzBPTWh5bVNqZ2x1aUd2NUl3UjdqYkl5WU5abS1maHY0SXNUOUlaSlZadk1hUFRXQVZBSzdjallSX0dBbmZXcHJMcEp4WUVRR0Q2VDFwRXRMUV9PenlRaXdvRnFnek8xZXpWT05uYzY4dm" TargetMode="External"/><Relationship Id="rId96" Type="http://schemas.openxmlformats.org/officeDocument/2006/relationships/hyperlink" Target="https://news.google.com/rss/articles/CBMimgFBVV95cUxOTFY0dkxpbHZIc3NjWUFqUDRNLTVNbkJydlU2OGNmcW53TlNRelVwZGZIQlE2Q0ZwZVAyZTgyT1RRbmVkd1d5UFpmZVg5c29MNlVaeVRNRW51aHRqUC02WTdpTFptWWJSQ3VPRU9pNWVsOGRhT1pfbU1SMU9EeDdEU3ZHWGlJQ0dCUmFNMk02aEotQXVpVlphYnBR?oc=5" TargetMode="External"/><Relationship Id="rId161" Type="http://schemas.openxmlformats.org/officeDocument/2006/relationships/hyperlink" Target="https://news.google.com/rss/articles/CBMizwFBVV95cUxPSy03OHpHNE1WV0pXbk5KczdkUU9MRmZMZHZ0S3otSnd1OGoyTVUwLVYxMHZzUS10cGNxLWtzalM0UlF4OGhxX1FXb2s2R3VfcUxuMDNFbUh1SUNWRjdTQmMzODdDdnBNV01ZMGlscTJ5T3IxZlZZWFdRNEhqWE9qSnFNTGhWZzRqTW80M2hSSUYzQmlmZXlvTlVNM3FZZj" TargetMode="External"/><Relationship Id="rId217" Type="http://schemas.openxmlformats.org/officeDocument/2006/relationships/hyperlink" Target="https://news.google.com/rss/articles/CBMi4gFBVV95cUxPZnJrQkxBME93MkNsN0VPeVJuaEloZy1aSnNyaE9hMVFvRUc1cFA0OFN2X0tkLXNVT01Xb082cUdtZXNWcHc1VjA5QXNwX0VhNGNMbWxzcFZBdDhqUTc3UW5qYjNEeWVTQzl2TDFwYWs2b2xlQldOVHJ2YUx5QnEyT1phbEdZd1NrbEs5N01YaTUzbHlhRjlOVG1xd2VRQ3" TargetMode="External"/><Relationship Id="rId399" Type="http://schemas.openxmlformats.org/officeDocument/2006/relationships/hyperlink" Target="https://news.google.com/rss/articles/CBMitgFBVV95cUxPajUwZ0VwQTI3d3AtNVJaankweDZFX21iYThTb2hpUjBKWTZjSFJOME50R2hKLUhvazFSWFAwOXVGMmF0WVBocG94NjFjcWtSUmZVX0dsR2FHeFJfbVlfRVdiX0g0cHNEOVBoZE9JcFdxUFpHOTkwYmM1cWNfWXg3YTQ3WHhPOTJpeFMtOFBhRHhUSzdxZkNLWHU4bVFDN1" TargetMode="External"/><Relationship Id="rId564" Type="http://schemas.openxmlformats.org/officeDocument/2006/relationships/hyperlink" Target="https://news.cnyes.com/news/id/6636765" TargetMode="External"/><Relationship Id="rId259" Type="http://schemas.openxmlformats.org/officeDocument/2006/relationships/hyperlink" Target="https://news.google.com/rss/articles/CBMiuAFBVV95cUxPQ3A4N1JzSXJaNGJzUjBOMFZfVGVQbmYxMk1uSFdmU2dUcmpRTmY4Z0Zkb3Q2UDZoek9OTFJWRlRKRmVCb1dxcTZKMGlNSzdqQUhWY192cWs1dVFpRmptZ1ZFX0FfNkJBeUtINXVBNWpsdmN1YlpWYkFsX1ZSRHhVRkE1UmRVb3pEMkttR2VxOTQ1N0JEVXBfQ1J5Nm9ZTU" TargetMode="External"/><Relationship Id="rId424" Type="http://schemas.openxmlformats.org/officeDocument/2006/relationships/hyperlink" Target="https://news.google.com/rss/articles/CBMi6gFBVV95cUxNWmxOWXBfLW5FOFVTRjNRcUQ1Wi10c1JSdENjLXJmbi1qZnBjbHdXZmNHeG9OdVhjSVBmWklzcUNxWmFFazhiRXNJZm5Eeld2X2NMc0dlX2ZFZG9MRUd5SnFMZGEwUENBU2paVm9BNlNESmdqQkV0aDM4N3dvWk51d3ktQW80Y0ItdWZUZ21ocVZ2cW5ZcFBHOHppQjIxMG" TargetMode="External"/><Relationship Id="rId466" Type="http://schemas.openxmlformats.org/officeDocument/2006/relationships/hyperlink" Target="https://news.google.com/rss/articles/CBMickFVX3lxTE0zVndLMVVxd24xT1VNYVNlZF95LXlXWkFQdmVZWEtxQjhrR2lBSFRKc05TMmJnUXFYUmtaVnVkYm1randvWWJGWjI2bTRwajBMSkVsZnduRzIweFBoUlNzSFZkMkJueS12T3JhTnpxaGtMdw?oc=5" TargetMode="External"/><Relationship Id="rId631" Type="http://schemas.openxmlformats.org/officeDocument/2006/relationships/hyperlink" Target="https://news.google.com/rss/articles/CBMiswFBVV95cUxPYVc2NWI0elVRd1RWRVhhOTIzRFp1bDFNVk1iWk5wYWZUb1YwWGhOS3ozM0FTRVo0dnJQbjZZQllTRDU1WjljdVY4TGhJV2VJNEZnMEVxelNxSlRTWDZHS1BkcVJUOW9lcmxrc2hRUTlKRFEyX0Nvc3doQTBaM29DZFd1MDdmOTR5ckNCLTNYYWY1S2JQbjB5U1l5dmRVS1" TargetMode="External"/><Relationship Id="rId23" Type="http://schemas.openxmlformats.org/officeDocument/2006/relationships/hyperlink" Target="https://news.google.com/rss/articles/CBMilgFBVV95cUxPNUVuMF9LcEVmNW10UFR0elo3Y2syYzdOaWZuMkh0N01EaW9oNVg1NmpTWk9xMjRESnVNcnBvTXZ5eXZBWFVEOEFXZHlkNjdybF9xSFlERUtrd0hJalhLSkxwbFZjZDlSQUxnOFZDVEdCeHBSLW1aZmlsNjNMX0ZRQzdKRWZldDZpenlsV0FqVFlxUkhkMnc?oc=5" TargetMode="External"/><Relationship Id="rId119" Type="http://schemas.openxmlformats.org/officeDocument/2006/relationships/hyperlink" Target="https://news.google.com/rss/articles/CBMiW0FVX3lxTE5ibndZQXlhcWZ3M0U2RERJQ3ROdkV6aXpQUnVvMVhOYXJSN0V1dnpQUUhiXzY2T2FYUXhudGtNREhWemo4amwxTzNicEZGQkNCNmk4VEJhRzhXNjQ?oc=5" TargetMode="External"/><Relationship Id="rId270" Type="http://schemas.openxmlformats.org/officeDocument/2006/relationships/hyperlink" Target="https://news.google.com/rss/articles/CBMipAFBVV95cUxQN05KSG1TN1Nsckc2b3dQSi11TG80Q2MxajQ3cU5BMVV2eWJBYWNpVjJGc1lTRnZxcnZWVE83SjBpOTBjQ09JUEczenVYUXNNMXQ5aVZKZHlVZ0dGMHk5cjFxOWFTOTNWdUhMQmhXOW5FUS1yRlVUZnk1VUdHNHUyWEhxUzd6Z0lxc2V4cWp0SHByUmNxRWFaVDVUUHlpZT" TargetMode="External"/><Relationship Id="rId326" Type="http://schemas.openxmlformats.org/officeDocument/2006/relationships/hyperlink" Target="https://news.google.com/rss/articles/CBMirgFBVV95cUxNNGJlRTZkeWtNdF92SEVfTnlZcWw4ZVhEck9kU1ROeTBYaWtyYlExemtubVE0dUd6bGdCNGlZdnBaZEVBMG43Q09oeTg2ekFoUTM2SHpqRWNJQ2F3RUVGTWlqTW95OWxIbEh1UVkyNy1wSkNOWk9YdXBOWmQzNVloVGRZWnloMEpqY1l2V1VGSXkyNWV4dTc0WDh4WF9wRT" TargetMode="External"/><Relationship Id="rId533" Type="http://schemas.openxmlformats.org/officeDocument/2006/relationships/hyperlink" Target="https://news.google.com/rss/articles/CBMilwFBVV95cUxNS0s3YXJsQVNHNFBJSGVFUVMtOWwwVlE5UzN2c2V2OFVKOU1UZHJfT0c0Y1dXUHFWdFI0R2JBcGg3ZzJBUmZBSmF6ZHBvS3NyMWp0NklKQWxiTFFYZzRGSmNicFZzTFk0X0lrcFpWZ0VIcFd1Zi1UUVpMX2NlYzJmVEUxTVJrODRzblZvX25IRV9tajluWlBJ?oc=5" TargetMode="External"/><Relationship Id="rId65" Type="http://schemas.openxmlformats.org/officeDocument/2006/relationships/hyperlink" Target="https://news.google.com/rss/articles/CBMimgFBVV95cUxNcEZXQ3RsLUtTR0EwQWdEazVOWHlVT1dIYVVIMFJ5RHkyc19kUzhvZVVsRUV3dVZuSGdVT2lpRlZwNW9za2RkTGVTVjhiZWNzRERReG1GV2ZIQldQd0dJYUthTkFMNTZVejNjRi14cFRnUzA4Mi10STRXVUFyNHh6Q2lXRWRndXV1WFhIS2s0SWJOdEM5a05oOUNB?oc=5" TargetMode="External"/><Relationship Id="rId130" Type="http://schemas.openxmlformats.org/officeDocument/2006/relationships/hyperlink" Target="https://news.google.com/rss/articles/CBMinwFBVV95cUxPdllabkRDVW9XSlJlNlo4bU9NRGRXeklDWnlHNXZmQjRia2Z3bnM0eWxGMS10X21xZ3FNd0RyeWVvSFU2VlFGcW03Q2JyMnBscEdtdDlObF9ocWJYZEdkQ25FSWFSZGphdy1EdE16aHdjVFp5ZktIMnhsVWJRUHFzaFpGbk1rOWRKLWdHMHliNFBvZ293SHd3ZHhQUU1uWk" TargetMode="External"/><Relationship Id="rId368" Type="http://schemas.openxmlformats.org/officeDocument/2006/relationships/hyperlink" Target="https://news.google.com/rss/articles/CBMiYEFVX3lxTFBZLWVvZmg5YXhKZW5OM3hSZU1sNjBRd0RSRXJpRHRwTmZyV2RYelJucG9CMGlFQVhvUWNKdDBxOGNoWFJTWng0NFNZTHdicHYtY3JhVlpSZjBxZWxwR2xMSw?oc=5" TargetMode="External"/><Relationship Id="rId575" Type="http://schemas.openxmlformats.org/officeDocument/2006/relationships/hyperlink" Target="https://news.cnyes.com/news/id/6636752" TargetMode="External"/><Relationship Id="rId172" Type="http://schemas.openxmlformats.org/officeDocument/2006/relationships/hyperlink" Target="https://news.google.com/rss/articles/CBMiqAFBVV95cUxPWGRQOWJnVW9OOU9FZ29ZRGczX09LdFdwSG4wVzNHcTVjWmRIdkVURFZmbG5DOXhnMGFGMzctYnZ0QUpKQWo5WS1Qd2RZZFZlZDZ6VzV1Q3NrT0lEMldoZjF4bzZRdlF5NzVZbWMxMEVaWmYzRXVuRHVMcFJfaVlPUUtaMzRKQ01YU01LVEJGU0staFhvNlVOV21HQnFRTT" TargetMode="External"/><Relationship Id="rId228" Type="http://schemas.openxmlformats.org/officeDocument/2006/relationships/hyperlink" Target="https://news.google.com/rss/articles/CBMirgFBVV95cUxPc0x2QXl4OWNRQlE4M1hnc3ZSbTRCX1dyVVFYeERqdVctbHdueXZHMm4wZ2thamwyMVlQQi1KT3BZUXRoXzFpcWc1aV9BOVRZLTJRWXA3LXY0TjhwUnpDbTB2QXhhQWtWdExVUFJoZnQwU1ZYVTJ3Si00WDNXOG83d1RMVEE3aXVQcy1RcXRXUzNUeFRhU09CUVFHRmc3UU" TargetMode="External"/><Relationship Id="rId435" Type="http://schemas.openxmlformats.org/officeDocument/2006/relationships/hyperlink" Target="https://news.google.com/rss/articles/CBMiggFBVV95cUxOVXZwdG9YVHNoczdMVnV1S1RXeXJmaWJ1RDVMUVhvaThtM01VSFdXYUlQREpfUWxwUVNubWZkQXlUcVFCMHY2LURZT2ZUSEpWbXZTTEhpNU5uTE9aM0FhTUdZZDZGS0h5eUgtLUNlSG9GQnNVZ1lZNHJ1MldpOVJBbGFn?oc=5" TargetMode="External"/><Relationship Id="rId477" Type="http://schemas.openxmlformats.org/officeDocument/2006/relationships/hyperlink" Target="https://news.google.com/rss/articles/CBMijAFBVV95cUxQRWxxRV9TdUtBbzFKaWNmLVV1TmRINlRVNmFhUVNTNFp3bzRnektMNndwcERXV2JuYTQ2dUltN05paWJBaWJJS0pEampBLWk5cnJEVXpxcjk3RDRqVVV0NU94M3JEQkFSdjR5Q0pNSlM1cHkzeWNyR3kxd1llcXB2b3htdEtndjNud0Focg?oc=5" TargetMode="External"/><Relationship Id="rId600" Type="http://schemas.openxmlformats.org/officeDocument/2006/relationships/hyperlink" Target="https://news.google.com/rss/articles/CBMipAFBVV95cUxPbFoyeDlKekNKSVI5TU5PdXRMWGpES1ViX3k0LVNCVVpITVdOcjRpMXlHUE9ZU3E4blNLbVBnRldwZVlTZEV4NURaclBUQWllM19nekdoV1o3TmVDR3I1WGwtQ1FuRFNLV1NOcDluMFBNOVg3YUh6NTdhX01hanFVVjllRC03WTREYWdBSzJtVGV0OEl5MkpJX2NwUG5vNV" TargetMode="External"/><Relationship Id="rId642" Type="http://schemas.openxmlformats.org/officeDocument/2006/relationships/hyperlink" Target="https://news.google.com/rss/articles/CBMiqgFBVV95cUxNNXdkSjF6bWRENURHTDJoWnloQjZFTEFNT19NWnJQN0pXODVpYkxsdDNkUWxQTnNwMU9DQnJEUWJtRzN3SGF4amdpbVI3bzFzNG5FcmZxa05ZX2dQQk51emE5LUdzc1F6YkNjVEEyU3FmRHA4emI3VnBQbHRMSnlNYUhmOTFPY3I2ODZfWWNMOGVIYkJQNXNQaG9iNUk3aW" TargetMode="External"/><Relationship Id="rId281" Type="http://schemas.openxmlformats.org/officeDocument/2006/relationships/hyperlink" Target="https://news.google.com/rss/articles/CBMipwFBVV95cUxNeXhzNEdYazJ2Q1MteUZ6SlVyVXZDbHJNVGpaS0txR2hiaUkzWDIyaWVibkg0MGdtVDNZRERWU0w2cWJUdVE2bERZUktEVnV2b1FKUVNFUWNOaHBDS1RlT18tZV9nSmNBeXBRUUxISWZxWUxIdVpYSEZZNC1fdE9aQjVSODl5a29NRjVrT1hEdzlsNENsYnl2Tnc1SW8zbF" TargetMode="External"/><Relationship Id="rId337" Type="http://schemas.openxmlformats.org/officeDocument/2006/relationships/hyperlink" Target="https://www.gelonghui.com/live/2608097" TargetMode="External"/><Relationship Id="rId502" Type="http://schemas.openxmlformats.org/officeDocument/2006/relationships/hyperlink" Target="https://news.google.com/rss/articles/CBMilwFBVV95cUxPNVpmV0NGOHlYZWtiU01zdEdCLURrcWlhM09jYXNLVFJFbDhYNEV2aXdDdHVaekhaTjU0NmxnYmhpQVFldlRNYlQyTnBlczVMTFRCTnE1blNqZC1BclF0LTlUX18xNWR0MFFkcEtkT3VTMlBpc0ZlVlpidi1veDZHOV8wTzVHamRPdXQ5eFdtZ2trSlFHd3lZ?oc=5" TargetMode="External"/><Relationship Id="rId34" Type="http://schemas.openxmlformats.org/officeDocument/2006/relationships/hyperlink" Target="https://news.google.com/rss/articles/CBMie0FVX3lxTE13LUFGVmlUcU93aGxwNGctbUl0eHBLODkwU1c2LWxMY0xYdW12Qi1zSlJ5QVZMbmdlX0VSamtyRlltaXJfTlQ5T2NabkRRR3JZVlFzRHN6ODF6VTRPMHg3WkNOT2tRZUdNek9MbmVodXlRME5kWlF5QUZaYw?oc=5" TargetMode="External"/><Relationship Id="rId76" Type="http://schemas.openxmlformats.org/officeDocument/2006/relationships/hyperlink" Target="https://news.google.com/rss/articles/CBMiiAFBVV95cUxPeFhEN2xkdjgyb0U1cjcwZ3NBVkRwaG5EQzU4aEFBdFlwV0FrbXdESHpBVXpvbmdad1BObDItekdKX2ppeVp1bG93WE81MVhDemdzcy1IX2pwNlptcWVabVZOSENNaDV4bFR4LWtlaDM4Q0tXWVptZ0JZYlJxNkxDXzR6aFFpem9R?oc=5" TargetMode="External"/><Relationship Id="rId141" Type="http://schemas.openxmlformats.org/officeDocument/2006/relationships/hyperlink" Target="https://news.google.com/rss/articles/CBMiywFBVV95cUxQOGZsMUNFNWxFNUpIQUNRMzU5SjE2ejlyTVFqeUpyS1NPYWptZ3BtQ2M0WlZEQWp1d3Z1UWZ0U0NXWXV1SFF5cXJMczg3UzNSVERtazlScHNVLWgxbTFhZjZJMERBM3lOalhvbkpRU2FjbFpObkxnRDFTRHFZbmVpVEpvTkYxVHdvcFFOdGVpTjhKY1piZUoxa1ZEMzV3Nm" TargetMode="External"/><Relationship Id="rId379" Type="http://schemas.openxmlformats.org/officeDocument/2006/relationships/hyperlink" Target="https://news.google.com/rss/articles/CBMi-wFBVV95cUxNVDl3Z2V6SmQwNlhqSF9tSk5rZ2w3LTVPYktUV3FBQXZhRUNVNWJ2ZU9BRUFlT2FJeUZZQk9VcHIwLUNKdUpNTEZuNUZBMTF0bDFzT095SmRMYXgxSHNyZHh5OFFIQ3ZtamJrZlFSYnp2ajZCMTA5WGNpbDBmRy1TbjA5WC1NbWpaSExfUzByOUtHZ2J0ZlpLX1BYQ0doOE" TargetMode="External"/><Relationship Id="rId544" Type="http://schemas.openxmlformats.org/officeDocument/2006/relationships/hyperlink" Target="https://news.google.com/rss/articles/CBMia0FVX3lxTE5DN185NS1ENEhhTG9KOVNCZnItdm5mQnlnWnc0cUtLS0pSVXFPc0M2Zmc1WjBUT2VLcmZkX0ZvTWVMTnlNQmxPSkJ1UlVCWTR2LTd0aTV4UnJselhYWUp6N2lHSGdTR3Q4SXN3?oc=5" TargetMode="External"/><Relationship Id="rId586" Type="http://schemas.openxmlformats.org/officeDocument/2006/relationships/hyperlink" Target="https://news.cnyes.com/news/id/6636784" TargetMode="External"/><Relationship Id="rId7" Type="http://schemas.openxmlformats.org/officeDocument/2006/relationships/hyperlink" Target="https://news.google.com/rss/articles/CBMivwFBVV95cUxQWWpiYmhjalRIbzRzWmk4V2NJZ1d2V2Q2LU1VOW1sYTQtNzJzZy01LU1QOVdrODJad3dZbi1BdS1hWVBjb3Z2UEhmVVY4bXpYTkJENG9KUElfLXp5ZXB4Tl9fX2ZZelFYODB5OTdnQ1VUb3BQNEJOZndHVW0yY0R1TmZxQkZIaXZBUWNkdkxUWlNabXRDSk0wSEF6QmktR3" TargetMode="External"/><Relationship Id="rId183" Type="http://schemas.openxmlformats.org/officeDocument/2006/relationships/hyperlink" Target="https://news.google.com/rss/articles/CBMihAFBVV95cUxPZjNvZzFIWHVRZTVYWm9pdGx3bkVtQktmbVhQbEhpSzk3clhRSDB0WDBocnhmWFI2WVlYTnUxZ1QzRHVZdDhKN3lrcHNaTkI3ZHRWcUozd24yR1lhOURlRDVNeXJFdHRnS0J6VFN3eE04X25QaFl5SmNqXzUycnF2emx4UzY?oc=5" TargetMode="External"/><Relationship Id="rId239" Type="http://schemas.openxmlformats.org/officeDocument/2006/relationships/hyperlink" Target="https://news.google.com/rss/articles/CBMi5AFBVV95cUxNTXhjdWlJOFc5VFRIMlpja2FtaWNxeW5JLVF6WW5jRWU3em5qcnVZaEljTlR2S2piLWpCSEtCYVBENTkyUE1Nc0hHektBWWloMGpCdmt3NXpfSUhza244cHNaRzZVcWdxX0o3cUl4OHNMVmlvdkwwbXEyb2ppNzhZY1B3eGpibmNlYXNrMkNWVlhuT0hzazlQMUF6TzBsN2" TargetMode="External"/><Relationship Id="rId390" Type="http://schemas.openxmlformats.org/officeDocument/2006/relationships/hyperlink" Target="https://news.google.com/rss/articles/CBMingFBVV95cUxOcmJjLXhGcVVobTJZeklXWkVLZnFtLVlLbjZoXzMxSlFRZzItMmRDOFItTVhQSGZycW1jd1pfcDREeWNsU0FlcmtMN25mYXZjOEJRaks2Ukt1SjYxM1ZzYWJDRGVEdFBwX3hkRFNtWHgwY2EwQTh0bEN2TmZVREdpbFp5dzNfdmRQRlc5RnNNQjlxaDhYLVAzUGhZbGVpUQ" TargetMode="External"/><Relationship Id="rId404" Type="http://schemas.openxmlformats.org/officeDocument/2006/relationships/hyperlink" Target="https://news.google.com/rss/articles/CBMicEFVX3lxTFBzbEJnSTd5RldTRGViY2tRNlZWVjVfclJoc3RXUXhya0Jva3hCb3VDNzQ0OTBHa01Scl9XOXpUQmRaTnMwejg3eE1ZS3BOaW9MX2QwdXFpNGNxMUdLQmdfamh0UWxkOWtwWC1ZSnpTTFM?oc=5" TargetMode="External"/><Relationship Id="rId446" Type="http://schemas.openxmlformats.org/officeDocument/2006/relationships/hyperlink" Target="https://news.google.com/rss/articles/CBMijgFBVV95cUxQUjl2VUtfVFZfOE9ZQ3VVUW14MmFhLXpTUmxRbE5LV1dCQnRfRWJNOXVvTFBwc1IzM3dtdXY5Nmo3NDY1MVVxeFBlOGs3ZkdhM0hFempZN0VzWjNFYnhnVzJ3NDl3bDJHcHZja3hkVmcybzA0STlVZDMteGpzaVFOUXVCakhuc2lWZGFRMGhn0gGTAUFVX3lxTFBoODhKMk" TargetMode="External"/><Relationship Id="rId611" Type="http://schemas.openxmlformats.org/officeDocument/2006/relationships/hyperlink" Target="https://www.cnbc.com/2026/10/24/amgen-imdelltra-lung-cancer-data.html" TargetMode="External"/><Relationship Id="rId250" Type="http://schemas.openxmlformats.org/officeDocument/2006/relationships/hyperlink" Target="https://news.google.com/rss/articles/CBMiswFBVV95cUxPTmRwYURYN2FvaWkwVUZGUDJtZGUyUWUwalB0ejkyWnd2WTNhR2NXWkFmRlFZUmo4ZnlPbHgtSno0c1ltRjFxUEJkT3NacERsZzNXdXVVOGE4YlZRcGsycmlEVGZqR0p2cGlCWVFyMzhsTXpmX3gyaC1wWHFUMUJDUW54WHM4a0padkdiNFdKeGU5M3pIUWRHNjRtVkUyVG" TargetMode="External"/><Relationship Id="rId292" Type="http://schemas.openxmlformats.org/officeDocument/2006/relationships/hyperlink" Target="https://news.google.com/rss/articles/CBMikwFBVV95cUxOb0VfRzgzUDFna2lFcF9jczNZSEdRYnFXbUJMOW5KLWpxZFJ5QzVFV3RlWHNOLS1HYmtqeWljVDlOVmVqczlLMTVuR0hQZTc4Y3BMeDl3b0cxbHZOU1dRbExObzR3ZkFkVWpnWTluQk9TY3BjV01IRkcydmh1U3F5cktmb1hpdWFVaE15dFV5MTB1bGM?oc=5" TargetMode="External"/><Relationship Id="rId306" Type="http://schemas.openxmlformats.org/officeDocument/2006/relationships/hyperlink" Target="https://news.google.com/rss/articles/CBMiZkFVX3lxTE90dm1nWTNuR1dCeVJkcXp1SVBvMlpMTVQwUmJ3US1UYTBwbjY1b1piazlVRE8yVWZsQ29xOW85Yk5nbXlJWVU5RFhjTDhyZDBjSndja1g5bUx6cXgtVVNsdzlsRnJTZw?oc=5" TargetMode="External"/><Relationship Id="rId488" Type="http://schemas.openxmlformats.org/officeDocument/2006/relationships/hyperlink" Target="https://news.google.com/rss/articles/CBMitwFBVV95cUxNLXZSX245U1pxS1hBeFZCV1Q2LTdxcnNwUlRMSXl0aHlwNS1ENTVSQTVCaFc0TmV0YW5SdlVvSUNpMkttMHVWTzBWbVNWRzJKeWIyVDFDUjhPSXZLMm1XbFlwbHJIY2FlVXRRMDM3N21rbjlGM0ZMYXAyQzhDX1dEclRBRmxqRjhDcDRfbTRUSEhMaGljQUlWbHNkUmtzc1" TargetMode="External"/><Relationship Id="rId45" Type="http://schemas.openxmlformats.org/officeDocument/2006/relationships/hyperlink" Target="https://news.google.com/rss/articles/CBMiowFBVV95cUxON3dwUkMtcC1ndm13RGFxODNkNTVWczNaVnVLT1RsbktUaUx0dzB5TE9UemxBdExsWFRZdDFxMXQ1ak1HY0VQMERaY1UzSVU4S1p3Qmo4eElGZ3NwcWgxYmZQaVdvSDRPb3BoYkw3OWp6MGxzN1FEQXlsaHNXTHJFVG1UOFptUDhDX1ZodWdDMTJzM0pldDJyWW1uZTQtMk" TargetMode="External"/><Relationship Id="rId87" Type="http://schemas.openxmlformats.org/officeDocument/2006/relationships/hyperlink" Target="https://news.google.com/rss/articles/CBMinAFBVV95cUxPcklWUHk3Nm44SEEtcE1NZFlEa1pFXzZlajhLdXExLUpLcUxDeGRsM3FoeXN2VDB4dkpMNk9laUkybUFSRVM0WnhQa3ItWG1aTXg5OGVReFFKSWo2V2Q4M0ExRmlqY2hUTEo0UjQtQVlXMDNLVGtuMWZicFFXVUNTeVdHOVJNTk1jV19sN0VMcmFibXIydzdvak5TQ2g?oc" TargetMode="External"/><Relationship Id="rId110" Type="http://schemas.openxmlformats.org/officeDocument/2006/relationships/hyperlink" Target="https://news.google.com/rss/articles/CBMikgFBVV95cUxPdmhZLVF0MThrUng3ZVdlSUU3Zk8yMERjTDF5N3h3cXREQ1p6UHdRNlpoWm0tRWFLdFhud2dFMW15dEgwYVN0aTNzQjNsZUZKR2pUT3pGczBMWHA0WERvQnh4X0Z6UGZaV1huSFpJTUdUYUdINmtPNEt5N0VKZ19qVjFUVG9CSjI2YThMMkptcWluQQ?oc=5" TargetMode="External"/><Relationship Id="rId348" Type="http://schemas.openxmlformats.org/officeDocument/2006/relationships/hyperlink" Target="https://www.gelonghui.com/p/6916154" TargetMode="External"/><Relationship Id="rId513" Type="http://schemas.openxmlformats.org/officeDocument/2006/relationships/hyperlink" Target="https://tw.tradingview.com/symbols/NASDAQ-SMCI/news/" TargetMode="External"/><Relationship Id="rId555" Type="http://schemas.openxmlformats.org/officeDocument/2006/relationships/hyperlink" Target="https://news.google.com/rss/articles/CBMijgFBVV95cUxNZ3FUbGZfNnBRM1BmUFd3TDQ5OUh5WVo0ZTZUUFBySlc5azVkQ09ERTJfU2hCbEpuazdvcERpVWhwa25wUmxmaS03X012TG1mUURJZU13RDFRa2wyWDQ5eXVzc0FTTzVJaEhDdXpSUTFLTEtkaFpuUEYwcGVXWUtPMEZKTUVhQnkwSi13THJR?oc=5" TargetMode="External"/><Relationship Id="rId597" Type="http://schemas.openxmlformats.org/officeDocument/2006/relationships/hyperlink" Target="https://news.google.com/rss/articles/CBMi2AJBVV95cUxNdlZoQzl3LXJScGNVbVBNdzQyZjhCWFB4WUdNUnhiNTdFMGZLSERoaUFuTGRmODdKMzl6aGE4SU9aUUVtT1hnOHlWamtNWERBb0pYWU5mNXg2ZERnV1ZQM05HejB1UW5Vc0VwbEJXcmRhWV9PSW5maTdaWF9CUUc4dnJhd0NWQy1BalVhemxmZFB5SU94VmtfdUxBcnBjN0" TargetMode="External"/><Relationship Id="rId152" Type="http://schemas.openxmlformats.org/officeDocument/2006/relationships/hyperlink" Target="https://news.google.com/rss/articles/CBMihgFBVV95cUxOZER3ZzhjRXExd2N6dXo5RUFXUFJmbzJxWnF4VmN3WlZ0RmhxZ29oNlZnZUxwc242Q2FxdFo0eGVpYXIyNlhpYUpVd0YxQXhOOV9iQUM5ZVBFREdRVUg2QTItZFhNdEFtQ25aYk1VVFF0LTRZd1FSd3RSamJ2Q2x1VDV6cEJPUQ?oc=5" TargetMode="External"/><Relationship Id="rId194" Type="http://schemas.openxmlformats.org/officeDocument/2006/relationships/hyperlink" Target="https://news.google.com/rss/articles/CBMinwFBVV95cUxNYWc1QkMteGVPUGhIT1VLS0FRWkpQemQxVVkzWVl2dmRrRGphSjlXVjk2XzJZUDJOVjE4ZXVfYnV5a3V4WmEzU2VGd0RYV3hyU0JXcGVpSHVOVXJGa0hsdmFPMUlZTnpDdUVxN0RIcTRsU2h3Y3FkNHBWd2Vqa3FSVFphXzVTbDd4YV8ycjBHNFFycWhRSFRWNl9qMTRPUF" TargetMode="External"/><Relationship Id="rId208" Type="http://schemas.openxmlformats.org/officeDocument/2006/relationships/hyperlink" Target="https://news.google.com/rss/articles/CBMiggFBVV95cUxNWWZPU09wSmFNdzNuWEJzZzEzWVJlNWppaVdocjBwc3k3SXhiLVIwd0dwWFRQU0IxbGV4VERoY0pzSHZZUlFhZEFYUDFYZ0NmeVNpZ3FKVGFEeHlNR0lmNHlYMi16SDJCTmpBTEpwYnUxN2V1a0szd01Td3hpTDdTWFZ3?oc=5" TargetMode="External"/><Relationship Id="rId415" Type="http://schemas.openxmlformats.org/officeDocument/2006/relationships/hyperlink" Target="https://news.google.com/rss/articles/CBMi1gFBVV95cUxOaUJTT1hqd1lwQmlIa2ItYnRDNFVqdk9YendqeEhHejRibzVJVTNHZTU1ck4tODFERzUzVEFSSGloNlR0NG1Oc3hYNmRXWTdMVnowaktYR0ZUQTRsUDlvelZXSEdqdUxaTXU4WnRYeGdDNUMtZ05uZlJFN0UyM3Z2WjhyUFhJVTV1LVc1SV9OV040X3RvSnVTc2l0MEd6VG" TargetMode="External"/><Relationship Id="rId457" Type="http://schemas.openxmlformats.org/officeDocument/2006/relationships/hyperlink" Target="https://news.google.com/rss/articles/CBMi0AFBVV95cUxNNVQ3a3pCZFFfS0hxZ250cHB4ZGtZaXFrU1RnNFBQTVVzX0JBT19PeDc0dXh1bmFkSWJNbDNRa2h5VlB6XzkydVkxSk9vb3NaNlktYVVTX1J3VlBvLU5rUDVkdXBQMVM1TUxFYlV0UjBVOXdONTN6LXF6RVVzV0x0aExKMUxMTThRSld3V3hqNWpsNW9jS2NNYzcwaVJFaX" TargetMode="External"/><Relationship Id="rId622" Type="http://schemas.openxmlformats.org/officeDocument/2006/relationships/hyperlink" Target="https://news.google.com/rss/articles/CBMikwFBVV95cUxOcFRGZkkyeWlDWnUzR1NmNVRQZ1FUbnhtNV9BcEo0eXJ5dkFhVEhfenhLZm5wYmw4bE1jLTRad1dLMVFvWndlWmtNNDF2d0xHY09ieGJINVBhbnhsM282ZGdxVnB1WXVJdzBaMlcwRXBRdTAwUDI5UlBmaEkxMll3cjJPM1VQcWZRWjhLa2lULWFCLWc?oc=5" TargetMode="External"/><Relationship Id="rId261" Type="http://schemas.openxmlformats.org/officeDocument/2006/relationships/hyperlink" Target="https://news.google.com/rss/articles/CBMi6AFBVV95cUxOVWo2SU1IWVhIRFJfM2hSd25aM1hLb0VDYmpxaUNCWS1iTzFHT0JwNC1QNWN4blI3TFhiZjVMeEFSUUpxcmpDdG42aEpINmlYOGF0Zmk2TnRCTGJoNnpnSnZPa1Z6U1ZqQlVsbUxFQ1JaZXBQT3ExNFFtVEJXRkttdnhyVlpHbzI4MEVCajBvc1ozWXhReVVfVHNnOTFQVk" TargetMode="External"/><Relationship Id="rId499" Type="http://schemas.openxmlformats.org/officeDocument/2006/relationships/hyperlink" Target="https://news.google.com/rss/articles/CBMie0FVX3lxTFBKR2ZQVUp1TFJvODE0MkdjWU5IRm9TTXAxcFJXYWdIU3ctcmVzRFNEN29qLVR2MW1qaTZoRUE3Qzd2Tk9UVUNwblNUblozeVpLdFA3QjNFZFZTcXkySDIzT0lmdzVfUXRxaDJ1RUNreGhabWRWYjh4bW1CVQ?oc=5" TargetMode="External"/><Relationship Id="rId14" Type="http://schemas.openxmlformats.org/officeDocument/2006/relationships/hyperlink" Target="https://news.google.com/rss/articles/CBMiwwFBVV95cUxPM0JBN2FMTDMwa01hZmJhcWdrSlVBc0R4U1ktNnl0Q2hXcWx1MGE4ODZTQ3B3M0lkRWcwbERadlIzV0VXSTB4cDRWei16QTlQaGMwd3h6WDBkTi05UUkwaGVoSFI1aEdPbi1BOENRRExkZlB4Nko4bHRfakt2dW5uMDk0YlFpV1dpLUlUR2Nzbm1nRVh4c1VBRGhDREItb1" TargetMode="External"/><Relationship Id="rId56" Type="http://schemas.openxmlformats.org/officeDocument/2006/relationships/hyperlink" Target="https://news.google.com/rss/articles/CBMihgJBVV95cUxPdEFVMDRjMEhVSUNmTkt4b212bkw3cmpRY0NOMG5HTjh6U0VWZnBXNmtnS1hkdjJURGVjUTBCNHI1aUo0WjVrTW5tdms2VWFyX1lxS3JxV21ldGI3Y1M0LVpyeFIwUTRvT3cwU3dqQm1TZm9pR3FOcGdaNk9PLW9VaWYwVHRHQ3lpakhKLVFnWXZKSzcyUVpEaHctenVHdW" TargetMode="External"/><Relationship Id="rId317" Type="http://schemas.openxmlformats.org/officeDocument/2006/relationships/hyperlink" Target="https://news.google.com/rss/articles/CBMisgFBVV95cUxQNEN5cGFwM2VXLVlfVEpvWGsxSzYtUjR5d1JPRTJCd0ZLdjdJRFl5WlBrS3dEcmRwb19NZTBYSms2emdHYTZqdHZYUk5OWmVRWURxSHJEZkxObDhjdllEOTU5bUJXZ0tiUWxNQkhmclRkYjgzV0Rwb0dCVWpBODhZbzZpMWhFSEY3NVVuSHpCZ0pXZlFRVEpnaHFJbU5Tbj" TargetMode="External"/><Relationship Id="rId359" Type="http://schemas.openxmlformats.org/officeDocument/2006/relationships/hyperlink" Target="https://news.google.com/rss/articles/CBMi-wFBVV95cUxORkFvOUJpcDVCYkF0UlNlb3dNVTB2b3p5NllFbHVkYk5kQVlScWpBemY1aS1pNU1aMFNJRjZKMFkwXzF5cEdQZktpeU8zOTEzUDF0TDVkUEt5T0NiQ2RITzhmQUtqMVRnWlRJenB5VnIxRnNjbFBtVXVNSHVuVVhZcVFhZ1NIXzRMVEo1ZWMtRUxUWGQzamJvbi0wZ0s5LV" TargetMode="External"/><Relationship Id="rId524" Type="http://schemas.openxmlformats.org/officeDocument/2006/relationships/hyperlink" Target="https://news.google.com/rss/articles/CBMipAFBVV95cUxPVDU3bmFjMDVYaGZCR0RDNVE0VExpNnhienZ4TERNMFVXbTVMZ3V3MDhST3dja05KaENjQjIwVXc0dlR1bnBybHMyVGk3dDh0dHVOYnFoN1B4d3QwZmZDb0cwWktUNFJMOFg0VTVFUzdvYTRtYmZCWXZNOXVidFYwVUtDMWtibXNRWmNzQjg2X1hxY0ZMSHowS1ZtWFRMUE" TargetMode="External"/><Relationship Id="rId566" Type="http://schemas.openxmlformats.org/officeDocument/2006/relationships/hyperlink" Target="https://news.cnyes.com/news/id/6636791" TargetMode="External"/><Relationship Id="rId98" Type="http://schemas.openxmlformats.org/officeDocument/2006/relationships/hyperlink" Target="https://news.google.com/rss/articles/CBMimwFBVV95cUxORDA1M0V5STZJYnZjTzdCSVdPQkhvSS1qa0J5VThsVkFHbnNUaUdScFUtQmZLSkxJT0VSS2loLTZ1QVVaUjM4VkRqRjJicTk1b3BjeFBVZFE4QVE1bDZObTJZQm40Y2NyQW9XYXhNdnRRMXd1dUNJS05Yak5JdkVHS3BYdXVYNHFyMGtkM1doQ1dPclhQT1VZbTV6Zw?oc=" TargetMode="External"/><Relationship Id="rId121" Type="http://schemas.openxmlformats.org/officeDocument/2006/relationships/hyperlink" Target="https://news.google.com/rss/articles/CBMinwFBVV95cUxONWc5MzhsakRxR1ZrOEQxZDFPQ1lhVXBmYjBha0VsZi00Y05PMnZkbFN3NUc4UEJvYnVOa1JubnZtMTIyNUhOMlJjM2Vmb3ppV3RDVU1DUlU4S0pZbnUtWmNCd296c25GZXdiT2Mzc3hzVjE2SnU2Q3RWUjlaNXdoRzVnd3hBVm5STGU5ekx4SWxNNTV5RmpvYlFpQjRveV" TargetMode="External"/><Relationship Id="rId163" Type="http://schemas.openxmlformats.org/officeDocument/2006/relationships/hyperlink" Target="https://news.google.com/rss/articles/CBMioAFBVV95cUxPX3FKVkVYNWJGQ0xzMm1NMEowZ1VDeVZodFBNSmIxNnEtT1JCY3dTNXpDTGppREpqMHdlM3VHTUN3WDdjM1BHM2UtSjJ4QTM4M1l3LWhBcURGWGMzZzk1Z3RoTEJ2Ry1RcTUxYjZrT2JvZTdrckNBZmdGNWNRek5kMUFTbVJCOEV0M2NqWFBqY2tDbERUTnpKQ0FUaUdxZn" TargetMode="External"/><Relationship Id="rId219" Type="http://schemas.openxmlformats.org/officeDocument/2006/relationships/hyperlink" Target="https://news.google.com/rss/articles/CBMifkFVX3lxTE9IVEVZaURqaGpmbGJmeElpUXFhMFpBX1FNZkxtSUJ3T3JtZ0hzT1IyZDF5RjROLXpTbG1HSVFuM0x5NWNNX1hweUtFVzRhNWVmSE9YSUFjSXB0cmJjMHRyXzd5WnRDNW1yeHRHWGNNSmxfczZ0N0ZHcDFrS2xlZw?oc=5" TargetMode="External"/><Relationship Id="rId370" Type="http://schemas.openxmlformats.org/officeDocument/2006/relationships/hyperlink" Target="https://www.gelonghui.com/live/2635509" TargetMode="External"/><Relationship Id="rId426" Type="http://schemas.openxmlformats.org/officeDocument/2006/relationships/hyperlink" Target="https://news.google.com/rss/articles/CBMisgFBVV95cUxQTHBUaHllSGZ6cFVXQkotWGw4bjZDV2dYZ3o3YTlDaFZLMTdkLXBDTHk0TDhIY2w5c21pZ0tqakZuMkNoSWlPelI2bGpXMnphaXlIRnFFQUZ5TG9lYmVDSjlQQTFBMlVNQS01SFMyQ0ZEd1RtY3RIUUhZQ2JfSkVVbUVncjZRbDIzNUhINHlaUFJoeEUyelc3OE1ZWXpnaT" TargetMode="External"/><Relationship Id="rId633" Type="http://schemas.openxmlformats.org/officeDocument/2006/relationships/hyperlink" Target="https://news.google.com/rss/articles/CBMisAFBVV95cUxPTVQ5R3RwMjRmUjc4R2RyMjZZeW1UVlBYSjk3MmFvRnc4Z3NqNk9PR1ZtLVNHMG9JcmQzVFZWQ2l5Tk8xWmVXNWFqZzZKSEtUbHpCMWF2UEppQVFfYjhpeTZlOE8yd2JJVXZXY3hWZWRYUDJPaFhxWFMwcFBEN2VocWxVa3hlMmF1UHpRbHBSUUhaOXY0SG1GREVMUmRFVU" TargetMode="External"/><Relationship Id="rId230" Type="http://schemas.openxmlformats.org/officeDocument/2006/relationships/hyperlink" Target="https://news.google.com/rss/articles/CBMidEFVX3lxTFBhdUFlaWxXLVJIZDVPNnYzNGQ3ZDN5SW50N3kzOHNBR1AtM1pJbHFnN3RUczVEWWlGTDlidGhETXVVWjgzYVZjNDZOUkU1WWxLZm5lSVNVb2JmTjFRUVhrZmFPXzNtMmxSS0p2YmdjS2ZTR1g0?oc=5" TargetMode="External"/><Relationship Id="rId468" Type="http://schemas.openxmlformats.org/officeDocument/2006/relationships/hyperlink" Target="https://news.google.com/rss/articles/CBMirwFBVV95cUxONGVFZEI4OF9jSVdIU0NVU08xRnFuaUtBMXR3NkNBOHlRUEFsc2szb1VfODhDeXB4N2pQTFctUnZzV2xsUHBfc05BenVYYkFhRGI4RGozdjZWbV9VX0prTTJpTEh3RWF4WHBoTnJfb281M0d2V1k4UF9VbERjcnNBNzV0VDVKOWxaQUJFUG5Ock9OVER2cmMzR2tnbFRkQk" TargetMode="External"/><Relationship Id="rId25" Type="http://schemas.openxmlformats.org/officeDocument/2006/relationships/hyperlink" Target="https://news.google.com/rss/articles/CBMid0FVX3lxTE9rSWRFVkFsaU5sT2RJWXZ1TG1lemxlQWx5Skp4VkRnOTJPWnIxLThmNDNheXIwQ0dndkFCdmpwdGo1SUhHa19lLVhudHZxTjhjSXRnWERHNWZ0aHBEYXk4RUZ3bGo3cXc2SEFoT2lSWWVVWm1tT2Jj?oc=5" TargetMode="External"/><Relationship Id="rId67" Type="http://schemas.openxmlformats.org/officeDocument/2006/relationships/hyperlink" Target="https://news.google.com/rss/articles/CBMiugFBVV95cUxQM1lqYjlwUVpXUkNzV0VpNlh5YjNlb3lpNnczMGxZVzZfMEJ4V1hseWFzaDVVRmluMlVnMDhBRV9yRlo1UjVrTVFCNGh5WTdzeTJHMnlSOWp0d2EzRUVTdDN2Z3lJd1JUVVctZ0hBbjN1ajJOZ1JXUzJSUk1MWjJub0xkSzlfVFNlbFlFY2FybkhTRm5PR3FYMHBSaFRLNW" TargetMode="External"/><Relationship Id="rId272" Type="http://schemas.openxmlformats.org/officeDocument/2006/relationships/hyperlink" Target="https://news.google.com/rss/articles/CBMisgFBVV95cUxPOXh2WXJaeU5GQTBXVEp4UXNEZG1zZWhhWnNRWnFINkx1aU9DUkJBdTZsVXRMVXFCVk16NWlDb04zWXJWYjcxMGd0Sm1pbWNQNk9jSmQxN0xzUmJtWVNrYWNXZlJZd0JZSWJ4c0kwUWctTHp2cVRrUF9OejJMcllzTDVrLWswbjVQcHZJUXI0dC1iZzY3eWRlMnlON3NJSj" TargetMode="External"/><Relationship Id="rId328" Type="http://schemas.openxmlformats.org/officeDocument/2006/relationships/hyperlink" Target="https://news.google.com/rss/articles/CBMirgFBVV95cUxNcmVPbUNGYlZaS0F5c1Z5MGdlX0RDSkdyUEJlbExKdTAxREx5cmc1U0Utc1F3c3lyOEkyeUNfUmloU2ltNDF1QUpFdVpsMmNMUnJRcl9UZFZvNXYzaTVLXzYyem1EQU1XYzBZcF96SXlWYnlZS1F1Z0dBc0hOU29Pa2otN1A1Z0U1ZjBWenVacGs1RUlwMS1lN1F6LUFBOH" TargetMode="External"/><Relationship Id="rId535" Type="http://schemas.openxmlformats.org/officeDocument/2006/relationships/hyperlink" Target="https://news.google.com/rss/articles/CBMi0gJBVV95cUxOMzFhUEtyNm9YNHpPOGRETW0xU0EzXy1PckFJTk9jdFpSbXJIbkVvaVZRNDJMUi16UjRvLVVjMzFoVWZ4aDBFTjZPVmhqem9ndkJWT0hvQzd3alBSVXhTbFB3NVhIVDZTc1pGZzhKNVhGamd5enB1WGJza1dndkF4UUdWa0JfaUhmWjYzVGpBR2RqV2c5Nzk4QVh4bXUwQU" TargetMode="External"/><Relationship Id="rId577" Type="http://schemas.openxmlformats.org/officeDocument/2006/relationships/hyperlink" Target="https://news.cnyes.com/news/id/6636856" TargetMode="External"/><Relationship Id="rId132" Type="http://schemas.openxmlformats.org/officeDocument/2006/relationships/hyperlink" Target="https://news.google.com/rss/articles/CBMinwFBVV95cUxNTDZRSEtpS3N3OGNHX2FHZEhBMlk3TlJTRGl6bGFhRDVna2tjeW5KZHd1S0w3cWRrNmhwWWdZb2JQcjBZVGVPVU9DRlJBTFlxTGNWMDdxY1oxaFBsVlpSZmhMTXAzWHJrdm9YUEZHYjFCQWV0ZFMxalJsdllzOHBGaXNrUy1NTXltd0pwYWh3b0VjVWRFaTB5SHVOUGFkM2" TargetMode="External"/><Relationship Id="rId174" Type="http://schemas.openxmlformats.org/officeDocument/2006/relationships/hyperlink" Target="https://news.google.com/rss/articles/CBMipAFBVV95cUxOeGdTcDRTQWVRQ1NqcWZ2ZkpVemtWOE0yaGlpOVNjVXk5d3ZxSjh6elJ6WWNyVTROWlBaUkVfTlZRX1RJeUhTdW50NGtwaEZ1VncxSi13cVRBTm80NlVudkRoR2RwbUZkNXhaLWhtU29vT3I2bmNOV2ItQ1BvVHNtcDVUYmZtZHpzd1h6eFNtcXl2a3Rkbm9VcGUyR1ZsR0" TargetMode="External"/><Relationship Id="rId381" Type="http://schemas.openxmlformats.org/officeDocument/2006/relationships/hyperlink" Target="https://news.google.com/rss/articles/CBMitAFBVV95cUxOQzIxajhEb3JBS1d4MG9BNlFpWkwtTmVHaVZrc1FuOWszejdqbzdDVl9Ka2ZGLUMzRU45bUxfQy1DWEFvVy1oczhLUHFVaHh1VE84d0lXY0pPdnFzdlRYNmhVbnlhdmo3VEJEMnhDbldubVZGb0lvUmlacXE0R2c1YXlCMi1MUnZtMTFXaFVEYXZzRHpCUWVNeDNtbmZtcz" TargetMode="External"/><Relationship Id="rId602" Type="http://schemas.openxmlformats.org/officeDocument/2006/relationships/hyperlink" Target="https://tw.tradingview.com/symbols/NASDAQ-GOOG/news/" TargetMode="External"/><Relationship Id="rId241" Type="http://schemas.openxmlformats.org/officeDocument/2006/relationships/hyperlink" Target="https://news.google.com/rss/articles/CBMisAFBVV95cUxNcHVxenIwSGJJMGp4eW4wTFhjbV9sdGZmZzlyNlFzdGtIUURMbUF5LTU5SUlYQmtaN29QZGFKV1h3c3kyUDBQUW5xdTdXMVVGNjgtQmxSbEFvM3FzSHh4dVRGelktNGdKbWtHZ2RWOHkxSDJBeU1FSnRZRHZfT3NvVjhFZ1htOGJSR050WWRuUGQ0QTB5YVNyX1dPblIyZn" TargetMode="External"/><Relationship Id="rId437" Type="http://schemas.openxmlformats.org/officeDocument/2006/relationships/hyperlink" Target="https://news.google.com/rss/articles/CBMirgFBVV95cUxPY1hMbHAwSTFfTC16SGZqWUt4OHM2WHlWN1d6bHh5S0tZRFZQdUhNMGJaTDZtVHJXaThrTGd4d2djUHBrSDdib0VLSnYydm1uT2o0SDJyVk9INjc2a2x6a3BTS2RoX2ZQbmFMOWtiWHFNbHNfT1k4Q1RCWWtXaHdxWFVEMy0tcVM1U29oODlITkM4RnE5X1lhVTJ0VDIwdD" TargetMode="External"/><Relationship Id="rId479" Type="http://schemas.openxmlformats.org/officeDocument/2006/relationships/hyperlink" Target="https://news.google.com/rss/articles/CBMivAFBVV95cUxNSHVNc042bjFPcmNacmpBRDhJZUVMaEk2clhXSnk5U1pvWTMwN0pqN1hxbkdsMEhHc09LMEdVRlhwMkdmUDlOTXZZYUU3SzlfSTRsVTBkcGtOaVI0R1cyNVo0ZXFLV0NuSWR5U2lJNndfWjJfYjloVGtNNU5KdTRsWFRJd2RaUUVwUzFmb0xhdkU4Y1NhbXdSd2ZxTmJuY2" TargetMode="External"/><Relationship Id="rId644" Type="http://schemas.openxmlformats.org/officeDocument/2006/relationships/hyperlink" Target="https://money.udn.com/money/story/11162/9837009" TargetMode="External"/><Relationship Id="rId36" Type="http://schemas.openxmlformats.org/officeDocument/2006/relationships/hyperlink" Target="https://news.google.com/rss/articles/CBMimgFBVV95cUxQWmZCSHlxcmIwTHVHcUZ6TjBPR3hiRTkwYmNlRzlvdlVZWWxSckR0NGhlSlMxTl8xOWZ1Z2dlVFd1TS1YS0lWbkpOY3Y5X2JpdVk1YkZQekVGdTN6X2FpaWhKa2VRQTltYnVIa0s1Wnp3SDZNcml0Z3FRaTFDUERGVkktYS1Wc0tYTDB5RVhwQzR4SDMzTVlnS3Bn?oc=5" TargetMode="External"/><Relationship Id="rId283" Type="http://schemas.openxmlformats.org/officeDocument/2006/relationships/hyperlink" Target="https://news.google.com/rss/articles/CBMihgFBVV95cUxNODBUMFYxaW1DWU9EN0EyN2xkSDZxVVJGbklDOXQzTVVEYTRCU3hKMVBKWWs5QkRBTEVJZ2RKQVpCeVV3LUpKamlGblh3VzRqLXFUR2VPVnFtODRZX3hSektSb3VqamVPcWtiUGRLNVdXR29CTmxrVWp3WDJtdmZIRS01S3hlQQ?oc=5" TargetMode="External"/><Relationship Id="rId339" Type="http://schemas.openxmlformats.org/officeDocument/2006/relationships/hyperlink" Target="https://tw.tradingview.com/symbols/NASDAQ-TTWO/news/" TargetMode="External"/><Relationship Id="rId490" Type="http://schemas.openxmlformats.org/officeDocument/2006/relationships/hyperlink" Target="https://news.google.com/rss/articles/CBMitwFBVV95cUxPb05KZmRqeVN0eHNrZU00ME55NFVOZzdXM0ZDQW93VGE5WFZlbFBXbFd0MDI1S0FHZWhBbF9zSVVJbGtyUHQ3bkRfMVJENWxMRWJPQzFJNWhNTDFSdlJkZzY4bE1Vc1NYNUtTQnNycGJDLWpYRXZHRktZN2xPbF9Oc2oyVlFacjJqazVkMlhOQ1ZJOHcxRWlSWks2WFdXdH" TargetMode="External"/><Relationship Id="rId504" Type="http://schemas.openxmlformats.org/officeDocument/2006/relationships/hyperlink" Target="https://news.google.com/rss/articles/CBMipgFBVV95cUxNU0Y5eFg5dFNLT1pheVFlU25jX2hJNlloU2l6Q1JEcEJrOGxEa0VMdG5SbC1iWDU4LTBUQ1JEcGR4NXd0MmVlWEZLeFd4TFdaMG9iV19XSldfbF9BRHc0V1k3SDJYRGh4WDkzY3BhOF92OG1yMmtoYmJIWGU4UTZzU1o0RExXSmNLeUYzOVV0OVJuNkFrNEI0czdITU1pYn" TargetMode="External"/><Relationship Id="rId546" Type="http://schemas.openxmlformats.org/officeDocument/2006/relationships/hyperlink" Target="https://www.gelonghui.com/news/5330363" TargetMode="External"/><Relationship Id="rId78" Type="http://schemas.openxmlformats.org/officeDocument/2006/relationships/hyperlink" Target="https://news.google.com/rss/articles/CBMi1gFBVV95cUxQc2oyZnRNTFBHYURCaW9Td0ZnM1FPdlR5RFJucS1VWlhCWEpSSEsyUWo3ckUtWkhXekZjenBMcFdUOWhtOVZjMURuWUhyV19iSWZjT1FMWExnTDUxUXJWOHZvM1Nib1VnaGJGNGRsVWw5RlVJUkwtQUY2dTBtUTV2LVdSSW1sdjVHX0pQQkhfcUFwbjg3Qlo2S05mbjJfYy" TargetMode="External"/><Relationship Id="rId101" Type="http://schemas.openxmlformats.org/officeDocument/2006/relationships/hyperlink" Target="https://news.google.com/rss/articles/CBMijAFBVV95cUxNcGw2YkZuTk9leEZSZXdhRVNRdFdBNjFBQXpnVFNzcVp5Qk9pNzUxdzFvR3dpMldJbEdRNTRLRllfaTJ4ejY0QmdUM213WkVyanMtZ0xXR0hRV0hmRlI1Q0EweUdBY0hrcm1hcTZPX1ZKd09NZnlQQndobkFvcS1aNHRFLWhmQjd5Yk5tZw?oc=5" TargetMode="External"/><Relationship Id="rId143" Type="http://schemas.openxmlformats.org/officeDocument/2006/relationships/hyperlink" Target="https://news.google.com/rss/articles/CBMiW0FVX3lxTE1SMjhxXzc4YkxZd0hsV212aWhLTmstWWhNNUFYZ29IcjdibUVxWGJiS0ljY1NfMVNneS1DZG5jRUVvcFA4azlvS1hwQ21Ca1hLOG1ITlFfQWNDU2M?oc=5" TargetMode="External"/><Relationship Id="rId185" Type="http://schemas.openxmlformats.org/officeDocument/2006/relationships/hyperlink" Target="https://news.google.com/rss/articles/CBMimAFBVV95cUxPX0xkaWdEWGQtVm80VmhmNThqb0E5bEw5VDF4UmpaMnp1cWRxVHJnZGFwdUIwbExSOGhMaGhTdXBLUHVqOWdhemNRQTZtTGJObklMUXNyZGpzcUllX05tYmhJd2VnRkhWRWVuZ1liSzRPMUtqcUZyMWs1allOdUdHZkJBQ1FWbG9GSkxNTUNpbW5lc2I4T293ZQ?oc=5" TargetMode="External"/><Relationship Id="rId350" Type="http://schemas.openxmlformats.org/officeDocument/2006/relationships/hyperlink" Target="https://www.cnbc.com/2026/10/07/constellation-brands-earnings-beer-demand.html" TargetMode="External"/><Relationship Id="rId406" Type="http://schemas.openxmlformats.org/officeDocument/2006/relationships/hyperlink" Target="https://www.gelonghui.com/news/5305827" TargetMode="External"/><Relationship Id="rId588" Type="http://schemas.openxmlformats.org/officeDocument/2006/relationships/hyperlink" Target="https://news.cnyes.com/news/id/6636775" TargetMode="External"/><Relationship Id="rId9" Type="http://schemas.openxmlformats.org/officeDocument/2006/relationships/hyperlink" Target="https://news.cnyes.com/news/id/6572755" TargetMode="External"/><Relationship Id="rId210" Type="http://schemas.openxmlformats.org/officeDocument/2006/relationships/hyperlink" Target="https://news.google.com/rss/articles/CBMijwFBVV95cUxPZ3NmX2ppMnhnNmY4RzFzZFlnZHZWMDk0VlVSWmt1NEM3bkRYa01ISENEeHV5QzRvSjdJM2NtNTM2Z1B6endUZk5NVEdSUEVRa0djSVAwU1U0cXVkMTA2U2pQVm55d3VtSXV1ODVKT2hEbHFtNk5kaHVmQ3FzQnNhenZFV05MWGhuTUVBeUlVbw?oc=5" TargetMode="External"/><Relationship Id="rId392" Type="http://schemas.openxmlformats.org/officeDocument/2006/relationships/hyperlink" Target="https://tw.tradingview.com/symbols/NASDAQ-WMT/news/" TargetMode="External"/><Relationship Id="rId448" Type="http://schemas.openxmlformats.org/officeDocument/2006/relationships/hyperlink" Target="https://news.google.com/rss/articles/CBMimgFBVV95cUxPRHN6VDBLdTdLTEFpTG5sTTdEN3hvcHJfOXVQY1o0RVU2NE8yTXFleFMwT29YZTdzRk0xc2JYRDZERDg1QVlrTzFkVlBXNWtLOGo3MzFJOTdjZ1hFeF8xMWg5VW5XOENtVEdUZUg3MUF5QXFWSnRJeVl3N0owR2ZacEF2eTVPRmZvSlpVaWY4OFhoZXQyaEZJbnFR?oc=5" TargetMode="External"/><Relationship Id="rId613" Type="http://schemas.openxmlformats.org/officeDocument/2006/relationships/hyperlink" Target="https://news.google.com/rss/articles/CBMinwFBVV95cUxPeGlMd3JGRnFabFBUMHU5UXRCVGwzVkFfVWc3NmZHLVBONmhGa1hxeG4xdWtLdV9Dd1JtWTJ5WTZleGVPMllXRzE1VzFhVFhKV3VmNjJ3VlI4VHJGNEVwclVidzZ4b2NvWFNfbFJuMHBrUm1WWlkzM0pPNUpQU3p1MzdRcDVGZUxfX0NUZ1k0OTIwQ21DM1dnUnpjWmE1c0" TargetMode="External"/><Relationship Id="rId252" Type="http://schemas.openxmlformats.org/officeDocument/2006/relationships/hyperlink" Target="https://news.google.com/rss/articles/CBMi5gFBVV95cUxPbXlST2RyYmpKR09DQURMSGpqd0dpME9zRW9LTnJuaEJYenZrd2t3ek9MOHgtY1RuV0p1cWdsX1FPV0trWFNWczlNVUVtSmdINXdybVlyeS00alFLXy1RR0llNl9IYW9Ta21BbVZxcGVBLVA3ZVJSNF9kSUU1UjFIRDNxOUNjVXprQTlGRXZyUzVldWFwdlZDamlTNkJwdH" TargetMode="External"/><Relationship Id="rId294" Type="http://schemas.openxmlformats.org/officeDocument/2006/relationships/hyperlink" Target="https://news.google.com/rss/articles/CBMiswFBVV95cUxQclV3bXdFRG0ycV9zZ2VtRU5kYVc1U2R3TElWR25nTFN0cDVKZVNvRGFJaWNIZW1fd3VGa3ZuN0tONmtqWXRSTXBEMVBNMnFKMGlzcjhOUnN0bnlSWGFBaUNkcnl2all2anp2T1dwNHB4WkJwRy1WdzhBemkwOGN0ZjNsUTBxcEs5VFBua25qTGh3Y2hWYmQxVnNKemNNNT" TargetMode="External"/><Relationship Id="rId308" Type="http://schemas.openxmlformats.org/officeDocument/2006/relationships/hyperlink" Target="https://news.google.com/rss/articles/CBMigwFBVV95cUxNakZlaGpiN24weldfa3dGZHFieUpHaVZBeldjZVhuX3BNRDJBZVdEVGhsSHlWa1lQU1dfcDhwNmpWb2ZEd05yeVowUlBGT2RaLWtydGRIUmlGalVjMWpoeXNDT1pzOTdkaVFFeml4TTZpZ1B4VVlhcDRxaURDc3BwWE5SNA?oc=5" TargetMode="External"/><Relationship Id="rId515" Type="http://schemas.openxmlformats.org/officeDocument/2006/relationships/hyperlink" Target="https://news.google.com/rss/articles/CBMiowFBVV95cUxPekhkbVN5QzZCeE9UVUg0WkQzTVdUU1lNdGF6RHhqaXBabVN4YkpnS1VlRXBoMmlRVVFDYlJ5VE1CalYwa2p2TzVNem5LQXBjdXN6S01KUlBLaENQbHNSY3VtdjNkS0loYkM2LTVMQW4yYkZneW5jTkw1QXJSYVdpb0h5WmI1U2U4NTRQcEpiVmZ1OVI1N3lna0dGRDUtUk" TargetMode="External"/><Relationship Id="rId47" Type="http://schemas.openxmlformats.org/officeDocument/2006/relationships/hyperlink" Target="https://news.google.com/rss/articles/CBMiqAFBVV95cUxNLTlVenVGa2N2NVdkbHpVYzdiQXFLR1Utc1hOYk1naG9ZZjliTVdyRG9hUU85LUhlQmhUX0Z1cXJMVzFGX3ZJUUhpbDRNbExlRExXd0h5MzY4STdodWQtQ0FRTWdWS29iXzZVTWk1MkxZcWswZ0lfd0haTUtrcTRWWl9TM1FuM05vWERFaG51dXd3ZTV6OTJkTXZmTkhYY0" TargetMode="External"/><Relationship Id="rId89" Type="http://schemas.openxmlformats.org/officeDocument/2006/relationships/hyperlink" Target="https://news.google.com/rss/articles/CBMisgFBVV95cUxQM1U4MjNFX3hFWXE1bGVfb1hSTDFEZ0FfOURDdERGV05iRHpScXRLb254VEV4QmxtU3JPcDEyM2V3LVZlS2s3TXFNbUVpekZKMTNGTWZNNTRZakZidFY3TFZrUE80UW5MekZITEo1elRnNXRHWENDM3V3UU1SRGZaN3c3VWUxZjJieVh4UWtqbUlqQnNYQThtWU5rczBhNz" TargetMode="External"/><Relationship Id="rId112" Type="http://schemas.openxmlformats.org/officeDocument/2006/relationships/hyperlink" Target="https://news.google.com/rss/articles/CBMiygFBVV95cUxOWF9VTTdVd3IzLXFrUG91amtWd0VQX2hRT2R2MlVGempDU2hPb2ZRcVpqUGd5Q1hTNlVweHJKYkswWVJUd05pTkpvWmZQQW9JNE9IWDZxREEybk1mWXFFM3VfMnB6cWYxRjN1d1dGeHFNLTNvRkhRWUZpMXI3eWgtZDlReGJEQ0hVVnV5VWZzeE5QM3NJeU5BZDVtamRDNk" TargetMode="External"/><Relationship Id="rId154" Type="http://schemas.openxmlformats.org/officeDocument/2006/relationships/hyperlink" Target="https://news.google.com/rss/articles/CBMirwFBVV95cUxOdzhLWmRnMWtfRlhFbVE4SG51WFprbFRmeWpPTWRjMlZ6cFBRRTQ5QzRKdjFCMWlBUEU5ME0xUmlwQzBmQXJJZ2tlZ1RmVnp5emttZHlGRE0tdnR2MkczQlE1bDg2dlRVWlc3d2tJUFZFSzBsZXJYZDluRzA0MzVvUGpFVHVTdkZXYUtUTlZDNkhITkpPRkl0SFdYS3BHTG" TargetMode="External"/><Relationship Id="rId361" Type="http://schemas.openxmlformats.org/officeDocument/2006/relationships/hyperlink" Target="https://www.gelonghui.com/p/6083323" TargetMode="External"/><Relationship Id="rId557" Type="http://schemas.openxmlformats.org/officeDocument/2006/relationships/hyperlink" Target="https://news.google.com/rss/articles/CBMi3gFBVV95cUxOLXhWdnNlakg3MTBnYTM4Vm54alpvenJ6SEVqUmgyNTlXSENFNEJ5UHFieUJGOVd6dEpaamc0WGx1MVZWdzZCRXIzR0R2MS1hcFcwWWdFbURhMFJpSDZzam9sVkNaajB3aHZBa1NQMTlEaUtFMlBOaHJsaENYeVg2a3EwaEs5QS1ocmNGUW0zeTNFRjhqZTMtTGZKZlZ0c1" TargetMode="External"/><Relationship Id="rId599" Type="http://schemas.openxmlformats.org/officeDocument/2006/relationships/hyperlink" Target="https://news.google.com/rss/articles/CBMitgFBVV95cUxQbjZPWXBjWHpTUDI4QVFxaGdfZjJleExMdEZzSHkybFpybmlrTmlpZE12blBzdkdBU3NVcml6WDNjSUNKVTFESUU0RGZuMGpTa2xhcHg3U3BmcFhJSDVPNmRJMnh2X21welFGZC1BaV9qVlVLWHI5ZnRnYXFEX1poV3JXMkI1TGM1QTZqX21ocGZtOGpSTWRYbGhULW04RV" TargetMode="External"/><Relationship Id="rId196" Type="http://schemas.openxmlformats.org/officeDocument/2006/relationships/hyperlink" Target="https://news.google.com/rss/articles/CBMiywFBVV95cUxObWVrbUVDdnF5RF9yWk96VU1lZEExSXY3cXFCY0pCQXY5cU5UM2lZeDlLbHpvbFdrWHJxa3BmQ25FNk5NSzRPdUU2cWdRa2RPaXQxSE1MTE9nVVRhRVhZVUlfY3Y3cHVjekhlSXhyOHhrWjA4QkNtZ2liMXNkc04yRHl1aVRiQmRiYUhnSmpsVFVDa0JSVk1HXzdtaVNDTH" TargetMode="External"/><Relationship Id="rId417" Type="http://schemas.openxmlformats.org/officeDocument/2006/relationships/hyperlink" Target="https://news.google.com/rss/articles/CBMi4AFBVV95cUxQOWNid0JMN24tNWo3bXduX0IxaEpYYkdPTUZrQ3ZkSUFjNWlKX19kektxNG81c0ZaeWV0VXFsVU0xNXRxT0V6WXVydmVJcjhnZGpoMktBRG53dzNxenBiQTRhdHowVHZKeU56aDJxQ2pUdTdGVjhLS3UxMjlIUmFEdjllZFVXX0M0aXkzZVhneGtwZllweVRtell6UlpaZU" TargetMode="External"/><Relationship Id="rId459" Type="http://schemas.openxmlformats.org/officeDocument/2006/relationships/hyperlink" Target="https://news.google.com/rss/articles/CBMikgFBVV95cUxOcHB0ckl2ZmwtekRfSkVjakJNbVBQNkVQMGkzN0tkdUNINVJiVmZ3OENTbG4xT2dQRjFWS1l1LVRzZjk2N2l0cUR6VUt5SzYxS3pzc3otSXd2aW9lNENSVWRpbFMyVXhWWjk0WmlTWlJwNXRQLWI3VDIzRlhTM1lIdWV3X3JFZFcxbUpVM1owbFBTUQ?oc=5" TargetMode="External"/><Relationship Id="rId624" Type="http://schemas.openxmlformats.org/officeDocument/2006/relationships/hyperlink" Target="https://news.google.com/rss/articles/CBMitgFBVV95cUxNTDBMcDZnenpoWUtXbU9XQ2tPazhpWXVOUklldExYUnkyRGdWdGFhcGRaOE9VU2ZPRy1aUEdsM2czMi0zdUhJVEJKV1ZnbnRDdGUtbWJRQ0V1VHMta0U4Qm0yX0E0TkphaXhZUkI5MWVyUUN4Ty1RSXIyTS0wLW9hSm5zUzNMOEkyOGlCTEFzQjZVSWhLTFZKX0RLcElDem" TargetMode="External"/><Relationship Id="rId16" Type="http://schemas.openxmlformats.org/officeDocument/2006/relationships/hyperlink" Target="https://news.google.com/rss/articles/CBMisAFBVV95cUxPa1V0VWQ0dGdCX3ZjNDdwYzdWdWF3YUNvWXoxU0Vrc3lVbEdlR19CMDVJWDhlUHpESUoyOUZYUnpfWlF3YS1PZm1Dd2FwMzMyMWtJOHZxMXNmOVpGOXV2N19lT0JJQjNrX0Nrb2FFbVVyclp1OUxlQXI1VUpvVEQ2MXppd3FKSUpSZ2EwTzRfNG4tTWJCVmV6SXN0X1BBVU" TargetMode="External"/><Relationship Id="rId221" Type="http://schemas.openxmlformats.org/officeDocument/2006/relationships/hyperlink" Target="https://news.google.com/rss/articles/CBMi_wFBVV95cUxQQVI2QnRuYzlCaDBtcDhSVkN0d1JrQjhERFV5eXVZTGtHNEw0Y3JzdHJrZGo2Y1JZQ0hMSUoyZkdiYmVseVpDOTQ2cVpDTy1ETXptazdpdV85bTNmeFhzS3hmOVJ1dGxoQ2YzaFNmSzBDQ05wc0ZFR2daeEdyWTFlQnp4TWVXZFBsZ19MeEtqM0EtMm9iUjQtWWlRQk5odV" TargetMode="External"/><Relationship Id="rId263" Type="http://schemas.openxmlformats.org/officeDocument/2006/relationships/hyperlink" Target="https://news.google.com/rss/articles/CBMilwFBVV95cUxNQzVSWjBoeGtVX2lKWTQ2UVFOSmxteFdDeEl4US1naFBJazZwbTdIRWFuNDVvTnEtTG8zYkV0aFl5WDM5a2xPdVRYZVc1RUQ5SjFCbzFaWjNXREkyLVNqbU5hY29ZYWJrSVM3UEdQbTRmX0prMTdXTnIwX0syNi1mU0lkMXZRTTMzTHRhemZjZDc1c0RrOUVR?oc=5" TargetMode="External"/><Relationship Id="rId319" Type="http://schemas.openxmlformats.org/officeDocument/2006/relationships/hyperlink" Target="https://news.google.com/rss/articles/CBMiigFBVV95cUxNZnZuSjVHRm8yWXhjbVdlSEtwTTQyZVl3a1JmVDFJZnpDSXVFcDd6WUxsbk1Oci03Rml2S2N0UHRZQS1nZHFvdXJuemFuY044QTVVU1dyZkdwR0g3dlI0ZWZKUlQzR0tLalFVRDl0RHRrQ25YVENXTC1TdTM2dUFHV3dVWVl6eGw5Umc?oc=5" TargetMode="External"/><Relationship Id="rId470" Type="http://schemas.openxmlformats.org/officeDocument/2006/relationships/hyperlink" Target="https://news.google.com/rss/articles/CBMi3AFBVV95cUxNTXNvREY3UzJxS0ZXNnRQUy1XUGVneThKNTFMc2N6OXV4RGZRcEE3UXJjNzBHU3h1a1NqQnVMMTlRcEFDY3I3eFk3ZUlnVWJURGJUeFNoTjdGTEZ0QmItVlhENVpJMEs0Ymp0Sk5lUlNLNUc1SlNlNW0ybC1jZjR6Z0tiakJFYmMyNGVCenNGTW8tOFVrdGFVOG15NlhURT" TargetMode="External"/><Relationship Id="rId526" Type="http://schemas.openxmlformats.org/officeDocument/2006/relationships/hyperlink" Target="https://news.google.com/rss/articles/CBMiiAFBVV95cUxNcWVSd2VKR3ZETnd3dHhPaE1QM2JJakNFN2ltTHhlQ1NaQU9jSW5BSUdiNl9IWXg0eDFHUkZRYnBHTDVaanE5aVRlSFlmQm9iN3NwRTFzRUJNYUZPMzg4OE0xbnY4Q3RFcWlNVzY1QmRaNGtiTVBrV0Qwdm85TGphakxTNjhwU09f?oc=5" TargetMode="External"/><Relationship Id="rId58" Type="http://schemas.openxmlformats.org/officeDocument/2006/relationships/hyperlink" Target="https://news.google.com/rss/articles/CBMi7gFBVV95cUxOd1p2bjkybHktQ2RmSlM5dUp3dmNiNFpZZ0JoWEt2VjY3Vi1LWUhkSmlxNkttdFRDMkZ4SUkxSnltZXh6MjdtTy1HalZ3R3lHcFU1X2tNUGp4cFAzV0Y2TC1VTzFqanNIVkJOQjJCSXZMb2k5bWwwcnIxcHBYSmdWdkVtcWU5aUVaZUg0dUxBcnl1czRMd3JXSVBBejVvUj" TargetMode="External"/><Relationship Id="rId123" Type="http://schemas.openxmlformats.org/officeDocument/2006/relationships/hyperlink" Target="https://news.google.com/rss/articles/CBMiqgFBVV95cUxPU21PM280NGdCWXBfVndlTXEzTGRoUWNLME9RbmZmVWVpYllwWlNKYjFfb3BDT2FGaE0zbFVmSHdnRlJOYS1rUV9fMVNvcmJ1V0JFNmRPWW10Y0VyQXRwNTZWVzNOUl9PYkRHQS1tTW5UUm5CdmhYUEUtaGNDMmZYcE9lR0NDWGp3dUFDeXVaeXRiT2hnanR3Zmc5WDB6Q0" TargetMode="External"/><Relationship Id="rId330" Type="http://schemas.openxmlformats.org/officeDocument/2006/relationships/hyperlink" Target="https://news.google.com/rss/articles/CBMipAFBVV95cUxNTU41RDRtU0JLQS1IbnIwU09BX1hIekVEYVNTaEZuUUo3aWdPRjA1ZlFaOFItLWljbkh6QjdmU3RRZmtXS3gxXzNiVXZtdDQzLWNkSEUzVDQySlZCY2JJYVRicWI0Q0ctRlZRc0hkejRqSkZFcE1DOVB4M3h2M29CUlM3NmU5X0w3anV6MGl3LUZYeHROQTRRemdKRTd4UV" TargetMode="External"/><Relationship Id="rId568" Type="http://schemas.openxmlformats.org/officeDocument/2006/relationships/hyperlink" Target="https://news.cnyes.com/news/id/6636786" TargetMode="External"/><Relationship Id="rId165" Type="http://schemas.openxmlformats.org/officeDocument/2006/relationships/hyperlink" Target="https://news.google.com/rss/articles/CBMiqwFBVV95cUxOdi03VVpYeFRCRGk0d1RxSVNTRnVwUXZGY0FoZGpONm1Da3pOVjRCU2hwcF9JMDRRX3pibDF6eWlncWQ0eHF2ZFdSV0loTk9NM082UFR1OFAwOFp4aGc5Z2ZNSnEzQXBOM0hwcW1IcVFoZUdUd2FPeXVLbjNUUzN3ZWpvbGZCWncta1FOYWtmTUEtaTBlNkR2bzVkNDZien" TargetMode="External"/><Relationship Id="rId372" Type="http://schemas.openxmlformats.org/officeDocument/2006/relationships/hyperlink" Target="https://tw.tradingview.com/symbols/NYSE-UBER/news/" TargetMode="External"/><Relationship Id="rId428" Type="http://schemas.openxmlformats.org/officeDocument/2006/relationships/hyperlink" Target="https://news.google.com/rss/articles/CBMi1AFBVV95cUxQbEt3clUxNGV0N21mdUxzdlNKZ2Nxc1JoUGRPYjlxSzFvTkdkTU1uUk84WGxDWDBPdk9HVG9uTTVGcWpKNFoyclhmVlczUGtPUE1YRXNSYU1GU1VfbU1QQk1XMkd6V2M0VnpqX0JnRTc3NV9FVFpxMmFkVWVoODdIVmJoakt6M0hKMWJkSGdHaXVSV1k4VVd1Ylk2c0ttM0" TargetMode="External"/><Relationship Id="rId635" Type="http://schemas.openxmlformats.org/officeDocument/2006/relationships/hyperlink" Target="https://news.google.com/rss/articles/CBMiY0FVX3lxTE1aTS1iN2ViVlpRMFhsWEdyQjVVcWFiSnpXNEtfMjN6cnNEeFNZaHZBM1ZMc0Q3enN0bVpPVXZxWDdCTGhwdXJjSUp3QXdwRWJBbTNyRWNCNkdIVEJFQi1vUzhuYw?oc=5" TargetMode="External"/><Relationship Id="rId232" Type="http://schemas.openxmlformats.org/officeDocument/2006/relationships/hyperlink" Target="https://news.google.com/rss/articles/CBMi2gFBVV95cUxQd2NQU1B5dnFUc256OU9RbllXRlNnOGtYTTlueFdPOEFxUEV5UmhQU25RalBJSmRlNmJFa2E5MTlmZXN4Nkh4ZjFBR05MZXBDYXRDcU5MWFRlNk1sNHZUTW0yVDh2eHh5UW82dXYtOFhjX3Q0bmF0Qy00a1ZKSE9ZU3FXUlBaNjIyaUxDaFdyckdYaGNxRVc2Qk1nLTc1Mm" TargetMode="External"/><Relationship Id="rId274" Type="http://schemas.openxmlformats.org/officeDocument/2006/relationships/hyperlink" Target="https://news.google.com/rss/articles/CBMi0wFBVV95cUxPM19UaloyVkNEREU3Z2Z3VmdCRi11ZnBndnl6amtZR09mbS1JYTN5YWJvRU5QVnhfelJxMllqYVlRa29obXlxYXZNWnlrbVM4V3ZEWkVLcHN3cmtsRmRpY1ZDVEVHVFhSOHBFY2VrX3pZMjBfdGwycEMtcndzMzBmNFlubi0tLTFpN1J4WE1zRmdfbFdOZWdpLXdBTC1sbz" TargetMode="External"/><Relationship Id="rId481" Type="http://schemas.openxmlformats.org/officeDocument/2006/relationships/hyperlink" Target="https://news.google.com/rss/articles/CBMisAFBVV95cUxNdW1JOXlFeV9jVm9YdW9PVUQwSHBHalQ2cFdKcS1pVTIxdW5SdzhrajRuRFhUeFdJRURXS0szOWZCZXJaNnRndEpDcFpUdTJKUldRV0p0ZDhyeDdCbFFfWGU3RWFnLWFIVjBpMzByU3BsRmxDTE9oN1VocnBtV2d6WVRvOHpMZEFYRHVfMExIRFByY2lsbUxDSUY5QU5Kc0" TargetMode="External"/><Relationship Id="rId27" Type="http://schemas.openxmlformats.org/officeDocument/2006/relationships/hyperlink" Target="https://news.google.com/rss/articles/CBMijgFBVV95cUxNSGlaMkhFZWFObEtxVWo4MFdxSTBkZFJJWFU3Z3BKamRKa0VqRVBmWV9LY29pSy1YV29icjJwLWppRnVXZEMtMUFabGpRX2NYMGNBeHpvdDBDdFZZa2ZxY1dyaGFqcklCeUx2T09TcUFXWVVEUUltdGhBeDNlSzUteEtBMjFndVgxRllaZkhR?oc=5" TargetMode="External"/><Relationship Id="rId69" Type="http://schemas.openxmlformats.org/officeDocument/2006/relationships/hyperlink" Target="https://news.google.com/rss/articles/CBMimwFBVV95cUxQZ0RiMkJDOWdGMXBkclRMZTlGbC10YUdZWVhVbkUyaTd3alpBLUlmQURKSVVybW52RnFaZFh6VE9Ka2RkOTJDR3U5T1Q5bllScm0zbDc4SS1vYTR3YXh0VmpHSVpIREhiNDl1NkYxLUZJR1hvTXZ4LUdJcVA4WUdfTHNfVzlabnhlSlRTU1RuV29aUHJLT0UxQ0xUMA?oc=" TargetMode="External"/><Relationship Id="rId134" Type="http://schemas.openxmlformats.org/officeDocument/2006/relationships/hyperlink" Target="https://news.google.com/rss/articles/CBMi2wFBVV95cUxObmRlakNoOGdRbVFjQ3RPTmVjRVlMbDdPODdySWc4Q0R3VnBZdkk1cU52S3h1c3htblhqQzBmamgzbGpoZUEzRjNNdnMwaVZ5VG4zT2tFVERVLU55c0ktZG90bWgtTFJOaGg4bmxPdW5FcVNmdV9nNm1IYmwxcVd4b1JHN3U5elRYSDJ3bGRwNjZoMVZFVFE2cEx5WlNQaT" TargetMode="External"/><Relationship Id="rId537" Type="http://schemas.openxmlformats.org/officeDocument/2006/relationships/hyperlink" Target="https://news.google.com/rss/articles/CBMivAFBVV95cUxNb3BSbEJKZ3ZoRHcwbURvdW96Sm1iS3I5WXNSOWRTdHZJaC1GVWJYaVpuWHVUVVdwbGE3QlVrdlg3VGFrS0tpX05PM3FDVzFpX1FBcnJGT1dmZmxJQ2V6NTV6Uklsci02dFlvNFl1cUVjeDNmNTFjMFJqdEpBcFlPX3otemVOcVlQckNDT2pfZ2lCODZlQnQyWENyZThHQ3" TargetMode="External"/><Relationship Id="rId579" Type="http://schemas.openxmlformats.org/officeDocument/2006/relationships/hyperlink" Target="https://news.cnyes.com/news/id/6636766" TargetMode="External"/><Relationship Id="rId80" Type="http://schemas.openxmlformats.org/officeDocument/2006/relationships/hyperlink" Target="https://news.google.com/rss/articles/CBMiowFBVV95cUxQNHNDbXhLdmNyRm9vSkIyc3pIWktqQzVPNDFvRW9ZNmxJa2Nyc2RIMktqY081NS1kd2NBSmtPdUdET1QzdFFLYmtoS051NUQ0d0NQMnRTZjAtd1pQNlJZTWlzS0hiRzM4aFltYkVhWjc5am5kYlA0SDlLUGNFMkhDWTctNW44cHBMWVdTSTJfd25hMExma3ZkM2gtMFNTZG" TargetMode="External"/><Relationship Id="rId176" Type="http://schemas.openxmlformats.org/officeDocument/2006/relationships/hyperlink" Target="https://news.google.com/rss/articles/CBMivwFBVV95cUxPWG5BWmZXUmM1eUFLNlgzbnFSby0tNndlYmRFN0c1ZW53Q3BkZ3lwbElQdGpILU1rV2hrY01qSDN5TlBhWWVWX1R4RnVyWUs0Y2NzOU9OcktleVBaYlc4Z3M3T3dqOEZSU292QmZ4ajVQM1lucG14bmtGU3FRakJ1ZFk1YnlDNXNZNUFGd2VhZUZkQTZpb1R1cUNGakFHR2" TargetMode="External"/><Relationship Id="rId341" Type="http://schemas.openxmlformats.org/officeDocument/2006/relationships/hyperlink" Target="https://news.google.com/rss/articles/CBMijgFBVV95cUxOLUI5ODQzalJscUdBQllfbVdCdUFFOXh1UmFBenBVdUN3RFRYcDR3ZkhzN2l4ZTg5cmE0TWsxRDVOOHpUNE9sdW5lbUJiSEZpN3Vzck9MNk85bm9oRHdBbTB6clVUYXdncG5mSHlaU2dCMUloQmdncVRnQjg3d05mVHVkV2t2SC0xYzZITFBn0gGiAUFVX3lxTE1uVWtZNW" TargetMode="External"/><Relationship Id="rId383" Type="http://schemas.openxmlformats.org/officeDocument/2006/relationships/hyperlink" Target="https://www.gelonghui.com/news/5293277" TargetMode="External"/><Relationship Id="rId439" Type="http://schemas.openxmlformats.org/officeDocument/2006/relationships/hyperlink" Target="https://news.google.com/rss/articles/CBMi6AFBVV95cUxOYkVDUEpseUtQaXJrNmd1UnNYNG5IR3cxdTJKSUVMSkNuOXlXWHgyS1puNlFjQV9PNS1aYkgzbXd6RlVEbGdNbE55TWV5WUNTSV91WFVYMnVTSWt0ZG1jOWh3bld1bnpNdEcyTkx4a1FoVTlXTkY4cTV3WUdrdE9hbWkwLVlZd2l4anZpZFk2b3dtVXZ0VVBLRWt4LXVUZm" TargetMode="External"/><Relationship Id="rId590" Type="http://schemas.openxmlformats.org/officeDocument/2006/relationships/hyperlink" Target="https://news.cnyes.com/news/id/6636942" TargetMode="External"/><Relationship Id="rId604" Type="http://schemas.openxmlformats.org/officeDocument/2006/relationships/hyperlink" Target="https://money.udn.com/money/story/5607/9834025" TargetMode="External"/><Relationship Id="rId201" Type="http://schemas.openxmlformats.org/officeDocument/2006/relationships/hyperlink" Target="https://news.google.com/rss/articles/CBMiiAFBVV95cUxNTFdXaGc0UjMyZ1JmeGxYN2hTUVlNTkZrRHVGanJWMzJha01BbE96MWZHVDVDejU5YjNaWVBwVzZtcGZneTBuejlqS18tMFZZbVFYcjE4VnM2U0ltOGNQcHlUYU1QZjg4Z0VzUldmLUxGd0tLTTg2eVpiblF4RmgwdkJpdnBsSF9H?oc=5" TargetMode="External"/><Relationship Id="rId243" Type="http://schemas.openxmlformats.org/officeDocument/2006/relationships/hyperlink" Target="https://news.google.com/rss/articles/CBMi8gFBVV95cUxQbEdPNVRrREFlMTB2TVRESzdibkZreTNJSlRtQlZ5YXNxU3QzbTRQeFRuNDlCMDJvNS1vdExzRXVwTGdKdTd2azAtaVd1aTRUNVF2NWM3SGVlcVdTS3lDc0tIRWNQOS1oWkFDcEJiN3ZremtQdjBxRDNKNkI4Zllic2hzYU00UE1SOC1pcFIwTU1aWjc2dDlYdXdQV054Rm" TargetMode="External"/><Relationship Id="rId285" Type="http://schemas.openxmlformats.org/officeDocument/2006/relationships/hyperlink" Target="https://news.google.com/rss/articles/CBMihAFBVV95cUxPdXcwaWZQeUlobGZmLVJLRmRyajk0T2RkOWdveWVJUzBWYURHTm8weFYyaTJvWWNzb191WThuc29kQTV0b09Ka3c5Y0tGZTQ2Zk9LQnZ0WWhDdVFfMDNSMVRmTXg2Sk9jenJlWVpvR19ReUpmdmNiY3VxMU5HVHlTNVJ2V3I?oc=5" TargetMode="External"/><Relationship Id="rId450" Type="http://schemas.openxmlformats.org/officeDocument/2006/relationships/hyperlink" Target="https://news.google.com/rss/articles/CBMilAFBVV95cUxQMlA0R0RKTHlFbW0tZ043eUlvb2lOOGE4eDRXN2FMaGV6Y3htYmt0a25kV1BuTTh3ODNpM2p5bTl4c3NaQ2dBeDYzU0d5dHpCdm1HT3RncjJPNFh3bXJPWnJabDd6YkhJOTNLWDdpd0JVTUQ2RV9LYWtObmZ3cUJQU1d0Tmlqc2JCSjZpMHRmd2t6a3BR?oc=5" TargetMode="External"/><Relationship Id="rId506" Type="http://schemas.openxmlformats.org/officeDocument/2006/relationships/hyperlink" Target="https://tw.tradingview.com/symbols/NASDAQ-VRSK/news/" TargetMode="External"/><Relationship Id="rId38" Type="http://schemas.openxmlformats.org/officeDocument/2006/relationships/hyperlink" Target="https://news.google.com/rss/articles/CBMijgFBVV95cUxQNmZzMmIwd094Q2N6S1RjR3hSU0l2MWt4a2NaTjNnakJENTNObndsYWp2bXN0X2U4b0JwUzNKQWdIUGo2ZC1oWlgtalRYb3dwMDVOc3RQclFGX0c2TEx0a0dVbm5WOC1MN2JwQ3JTTFJGR2JuaDB6bDBLX2xyQUlzSG5KQmwzVTBDTjZwNXpn0gGTAUFVX3lxTE1yWmdIS3" TargetMode="External"/><Relationship Id="rId103" Type="http://schemas.openxmlformats.org/officeDocument/2006/relationships/hyperlink" Target="https://news.google.com/rss/articles/CBMiekFVX3lxTFAycGVUSi1oUHJoSmdLS2ZFYVE3WkdjRlh6dDljOWdfcnZabXVNUmdBZ2xLNzBZSkZ4NHlWeWRvaWhrSmxHRjB4ZjVxNjg4S2NvQ1V2eXIwdWZuT0pDU0QzbVJMOTFsX25ZYVY5OUFzWnpDVkxiV2ZyYk9n?oc=5" TargetMode="External"/><Relationship Id="rId310" Type="http://schemas.openxmlformats.org/officeDocument/2006/relationships/hyperlink" Target="https://news.cnyes.com/news/id/6630523" TargetMode="External"/><Relationship Id="rId492" Type="http://schemas.openxmlformats.org/officeDocument/2006/relationships/hyperlink" Target="https://news.google.com/rss/articles/CBMiuAFBVV95cUxPZVpMM3g0c05TanNBUEFReVBjUjQ1WTN6SjdsY2NzdUllbE9KZmd3TnZXaW4zYXVsOGZDdEFYZ0RrZGlmWkx2OW9aRy16SVpWUHdYMFN4cVhjYUtHRmRwRHE5YWtHVDlaTlJHQjAtQml6RV9XQXhFVkc3U0hXWTFLd3p5N1lwWlROLWItT0hSYnFXeXZmR245U0kyTlBGdF" TargetMode="External"/><Relationship Id="rId548" Type="http://schemas.openxmlformats.org/officeDocument/2006/relationships/hyperlink" Target="https://news.google.com/rss/articles/CBMicEFVX3lxTE5QMnJYamxHajNDUWxNQzlJSHY5dEtma0NLbjFod3BjV1FNV2w4ZkkyRG5HNktDVWtyTHNPeGMxV1NGb0M4MDJVZDJkbVhCc21GT1ZIbUtTT0ZtZElHaVpMREJpTFJNcGFENlY0M3N1al8?oc=5" TargetMode="External"/><Relationship Id="rId91" Type="http://schemas.openxmlformats.org/officeDocument/2006/relationships/hyperlink" Target="https://news.google.com/rss/articles/CBMizAFBVV95cUxNNDV2RWY3QU14cjQtbDRWeTRUMU51cG53bUtjWkprcTBtNXNUTGtzV1BvWXpGTEI3SmJLRWMzMDB0dm9mRnBfcmxyWjlETzNYSnZkeU0zY3EwRzNqWlRRRWNVai1HNTJpQVhxUVluZGFBUUhqeXk0VXoyQ2lXT1ZQUHowcHgxV3dvNWh0RUlGTHd4NUhvYWZfSi1RXzBmWk" TargetMode="External"/><Relationship Id="rId145" Type="http://schemas.openxmlformats.org/officeDocument/2006/relationships/hyperlink" Target="https://news.google.com/rss/articles/CBMimwFBVV95cUxNOWpHUVUweW1aQnlqSTJVa0ZxZFNWTy1HTGRnc1VUWXpnMkI0TUFHbXJUblB6Y2pPM3FFVHBTajZfOTk1Z3g3b2JPQzlJa1E2Q2N5b1d0MEMtSlJlNUJtUlNWclVaZk5XTl85dWxXb0xtbVpxOThzV3ZuTjR3TnRpZDlWN0VSYS1BTEh5U0phSDR2QXNFUXlFc3VFTQ?oc=" TargetMode="External"/><Relationship Id="rId187" Type="http://schemas.openxmlformats.org/officeDocument/2006/relationships/hyperlink" Target="https://news.google.com/rss/articles/CBMiowFBVV95cUxOeXU1bWFLTnIxYk5BeWREbWJkYldUY2pJY0JHaE5Gd0dIMDRKb0pIMmdJMXRGaUNtSDBkUmdDNm9sbFVTMWI1WkdzeV9LLWtnYlNESkk2TVJNMWgtTkVNZ0VLN1BvUmhsRkdKcmRPN1Q1WEgxWjdkbnlSekdhM0ZLOTN6Y0FJNW5YbEItWEZiMVRaZVh0dGJURFpyalZydX" TargetMode="External"/><Relationship Id="rId352" Type="http://schemas.openxmlformats.org/officeDocument/2006/relationships/hyperlink" Target="https://news.google.com/rss/articles/CBMiqAFBVV95cUxNWnREUnUzd3ZmOG9rYkVtWHdsSC1YYy1rNkRSVFJOZWJkbzB1WmdQbDlFUV93S0FqMG1UOFBDYXBUWERyUS01STlETy1HanB5Xy1kN2s3VGVucWhHcThncGI3SjlYMWtfbG5HeFBhMUxsRl96UDhwVGRIQWlYd0lHR1pCeWxqMzBva29Cdk1DbW1aVEozbzdLb1gzLTJ1a3" TargetMode="External"/><Relationship Id="rId394" Type="http://schemas.openxmlformats.org/officeDocument/2006/relationships/hyperlink" Target="https://news.google.com/rss/articles/CBMiwgFBVV95cUxQQ0F6RWZxMENISjlXeVdxMkZQSVotMF9BLU91Ykh6UFIzZ0FEdFBzZ2NLUmFzcld5ZHlEdUVnMFY4eVN4SG1DNmhBRGdROU1jTXdVR1JHSndDcXRxc01GTVBxSWJLbmUtZnQ5ZjF3bXd1MWx2WDdwX3FISk56a0V1SnY4alNZbUZCVjFocWM5enQ5WTM2NmYtZVZfQ1Q4RT" TargetMode="External"/><Relationship Id="rId408" Type="http://schemas.openxmlformats.org/officeDocument/2006/relationships/hyperlink" Target="https://tw.tradingview.com/symbols/NASDAQ-HAS/news/" TargetMode="External"/><Relationship Id="rId615" Type="http://schemas.openxmlformats.org/officeDocument/2006/relationships/hyperlink" Target="https://news.google.com/rss/articles/CBMi0wFBVV95cUxPV0lZTEh3czJZUVR2ZGF2TDM5eHFERW9vWGw2b29ZVmh5cEZaQkRPQzJVQTZFeXgwTDAya29zUWhHWUlEdFlnVFJQMUd3YmJFNXcxazd3dDdiRHMzMWZla1dGZnRfVVg5WTNLMlR5SklMYnpIN2hpSTV1UzcxaDNvaWE0UEFFdzhtUmUyS1R3RksxcDExQnd6TzNLN056MU" TargetMode="External"/><Relationship Id="rId1" Type="http://schemas.openxmlformats.org/officeDocument/2006/relationships/hyperlink" Target="https://news.google.com/rss/articles/CBMicEFVX3lxTE5yRllaXzF6LUhVUVltX2ZvU054UTZuM1BvZ3VnOXVsT05ESEVlYmItLUV1dUx0YzhuUDVnUHhIYXdpb01zYTFCLTBTRTVwUU9QR3FDc1JXdGRZUk5TVk9xOHZQZDdxWjNYblVEV1p6Z3A?oc=5" TargetMode="External"/><Relationship Id="rId212" Type="http://schemas.openxmlformats.org/officeDocument/2006/relationships/hyperlink" Target="https://news.google.com/rss/articles/CBMiowFBVV95cUxNYmFLanlKS1FnelRCYzVKc3RDQzJMaXRrdUNwMHNSeWNkMHlOTUlsY2F6X1h5M2dMOTdHR3NhRDNLdkdXNjlxUkRMY01zX1pqRlFXTVpiUGRtWVl6bDRUOTZ5YmkzdDhiRFFUX0tNWGdUb1A5MDRjNjllUEF1bzEyelIzUm9jWWtCOS16MFRiZ0xrMEpfWkNVeFZ6a2NTMj" TargetMode="External"/><Relationship Id="rId233" Type="http://schemas.openxmlformats.org/officeDocument/2006/relationships/hyperlink" Target="https://news.google.com/rss/articles/CBMiW0FVX3lxTFAyT3hmdVh6ekN0ZTBpWHk1emRrbGpsMWZhYnlzX21yak1KTGFSaVQtMkE2V1NnUFpxN3I0Zko4MEYxcGJ1N3BTUEE1UWRNOEZGZXJ0RDlCUDkzYTA?oc=5" TargetMode="External"/><Relationship Id="rId254" Type="http://schemas.openxmlformats.org/officeDocument/2006/relationships/hyperlink" Target="https://news.google.com/rss/articles/CBMiqgFBVV95cUxOWGRBT3l0Rld3VkhwcVhJa3JFWUNScmlveEJoRnNpd21sQl9TUHc4Y3ZTbWdLR1FXcWlCQjYzM2pLS3RpZnF4eWZrOGJneGVfMW02bm1PNGxiZVFrMUdCdjhndDFQYXVzVVpvX1BuaU4tS1o0LW40LXN5aXV6d0ZjVlhNNXlLNGNJWWk2T0czUUx6R0FmM2hWVEtad2NIbT" TargetMode="External"/><Relationship Id="rId440" Type="http://schemas.openxmlformats.org/officeDocument/2006/relationships/hyperlink" Target="https://news.google.com/rss/articles/CBMitgFBVV95cUxQbm9DRzA4R0EwM1dFNnhhSUMtVU5GemhCaVdDWEp6N0RmQVZKUUU5cW5ZYVlqUEpGVTJNTGs2X1phdWZNSGNJeFlfZGk1aGtVaW1KQWI5MFpvSFRWdVFuV05pdUdwRmloNElMc0N2anVIQUJWMGFTeklpNlJIS1ZyNDhUR1IzR3c4N0ttUGtIVVRrTkFGS25JYkN0M1VOYX" TargetMode="External"/><Relationship Id="rId28" Type="http://schemas.openxmlformats.org/officeDocument/2006/relationships/hyperlink" Target="https://news.google.com/rss/articles/CBMipAFBVV95cUxOX3FmYmZTSGlYTF9yX0VhMl83NjVXTVRWd2ZLOU1DUHB6dFpPMUNXSEFINHhJY1FlOHpxMmJFenRUbElyWlRxNXQyTmVyMURicGNmX3g1UkwzVm5MUkVjeG15OFJZd1l5ek4zMHZYRG1MdWJwZmw5ZFJYMURtdEp4WnJCbXZBaFVObnY4d29wSEkyazRTd1BMVXBrSklkS1" TargetMode="External"/><Relationship Id="rId49" Type="http://schemas.openxmlformats.org/officeDocument/2006/relationships/hyperlink" Target="https://news.google.com/rss/articles/CBMi6wFBVV95cUxQTER5U0VSYzJ1ZUdkVU5jWVBYTE5tUzRBaXpDWjlNMVZ4dm1YQmJHMUU3Y3JXRUpqaklvYTVPY3JaMVpuMy03VXBBVTdTbzJXX0FNME16UFk1Wnc2U1R4LTVObEQ0Q1l0NGUzRERhZDBhTEZSTzBScmtUZEJKclRCNXpaNUF5VXZkSFpLMTh3MHFBV3M4UzdkdmJrek5EOH" TargetMode="External"/><Relationship Id="rId114" Type="http://schemas.openxmlformats.org/officeDocument/2006/relationships/hyperlink" Target="https://news.google.com/rss/articles/CBMipwFBVV95cUxPcEQ3cHdEQ1FLNDZ0SzFZWkxjYmJMaERUR2ZMeUxXZXVOcl9sSlRQNHMtZnVHeXVtdXBjdWVUSHZRWDZkVzV1cWcycmRlMXA2WUpCRXVRbXhscjU1SUpBbEZjMWdxZFViLXRTdTRlWXAtamF0N1BsZkdHZmlKdm5MdVZIOVhsaUZhems0Si1sZWpoRXVlcTQwSGY3LTkyQW" TargetMode="External"/><Relationship Id="rId275" Type="http://schemas.openxmlformats.org/officeDocument/2006/relationships/hyperlink" Target="https://news.google.com/rss/articles/CBMilAFBVV95cUxQUFlqRlVjc2RJSVdvX3N3VXcxc0JIeGg5N0Jsd1hQOUtUSE5sbE5nMk9KVFo1ZG1POXozRHRVbWV4YVNDNnh4N085WHoxVkhkN1o2d0MtSWotWU1qQkptRUl3QW5aNnpyeU1oRmJ5RjlGclU2M1RQQllXY3VHNDRLWTg2S290RG1Udm9JSXhfd0p1c0dm?oc=5" TargetMode="External"/><Relationship Id="rId296" Type="http://schemas.openxmlformats.org/officeDocument/2006/relationships/hyperlink" Target="https://news.google.com/rss/articles/CBMijgFBVV95cUxNdHFXSkE4ZDJpdkVUQVpTVkk1YkZ2MTcxcHhVWEVHSEJzRmMzbkRPYXAtc3Nha2VUM2lHcXdEMGtIWkpBZnpJVlpZQ2Ixc0VPZWxRankwZG5zZFZsNHZ2S2ZhN1BrZWJjNWlIelJvMUUtamtMcG1kNWt3VXJnR2xjbEV2Um15QzRMVVhUQjh30gGiAUFVX3lxTE9aRVZHLW" TargetMode="External"/><Relationship Id="rId300" Type="http://schemas.openxmlformats.org/officeDocument/2006/relationships/hyperlink" Target="https://news.google.com/rss/articles/CBMi1gFBVV95cUxPZ0ZVTmxXTGt4bF9FcXBSV21aMFVuR1BETXRTaHdWNXQxVnIwanpWckhtRm83a2tOTEpKLUYzNUROY2xBbE9FN1dhSFBXeHhaVkppRk1ua2Y1WVczUk5CQ1ZNSGV5OWF6Z3A0MkVITGRtbjFBZ2F1ekJFSkNFSlcyY185UlBOZm1uTHJ6TVNseFowNU80elJCMnZCWDA2Vl" TargetMode="External"/><Relationship Id="rId461" Type="http://schemas.openxmlformats.org/officeDocument/2006/relationships/hyperlink" Target="https://news.google.com/rss/articles/CBMimAFBVV95cUxOZ2U2VERlNWpYSENWZXk5dFZBOGVraDd3WWJCSTNGU3ZyTHVtVlRzY2xLQXl1cGpwVUpuZnpRZlN4aXN3UmZ3Q2FSQmxEX1ZhdTFyU3pTUGhoM3hPRTlFOVBPdi1PRDB4a3NINTdWZjh6dHdKV2xBQnRPNHVaTmNpN29oZkZtekpXN1JYbzI3NUp2SWpud0tCNg?oc=5" TargetMode="External"/><Relationship Id="rId482" Type="http://schemas.openxmlformats.org/officeDocument/2006/relationships/hyperlink" Target="https://news.google.com/rss/articles/CBMinwFBVV95cUxOMkQzVTJiVzlmdXZNWkpybjhzR3pYQVBVdl9PVjRVeG9VYjRuZ1pnWVo0Q0NVckxzc2FNUEVZdVV2Y2VvRGkxZXRmSjRqeDRaTi11ZkF4cTY2dXBaYVdFWU50QnlwT0dJSWdpRW1BdEtndGxqWG45dTJtVUdYZGJzWXIxeHFyb0VQUE1KWWg3ZXpEVEJwLXZueWhaZHNqZD" TargetMode="External"/><Relationship Id="rId517" Type="http://schemas.openxmlformats.org/officeDocument/2006/relationships/hyperlink" Target="https://news.google.com/rss/articles/CBMiiAFBVV95cUxOYzdHZUZLdG9RUWMwbDU1Ry1TVFJiVTFzSFgyLUJfSGRkWFpZOTZfekN5M2hqQjc2eVB4SElrM2EyNlFLTjg5NjRuU1VGRWYxQ1FaanhWb0tJVlhxXzhucWgyekxpM0dDM3VLSE45VElqVjllOHlYV0lydVRxOTZnVHhyVTBrZ18z?oc=5" TargetMode="External"/><Relationship Id="rId538" Type="http://schemas.openxmlformats.org/officeDocument/2006/relationships/hyperlink" Target="https://news.google.com/rss/articles/CBMiigFBVV95cUxQUlNsN0NJNVhkeEV4MHpEYW9fUWk0anVmZW5pMDlzeEFwb2dKeE5hd2Y4N05ZZW5GMzIzUkVfWHVKU3lVSzRGSGo4UGRDNEJVR3djV0JESWp5Q3VZNnNkc2xNQUNIWHJNNDZ3bHZINDBMaThaRWwxdUNOYmhhemdqckdKeXdPNjU3Rnc?oc=5" TargetMode="External"/><Relationship Id="rId559" Type="http://schemas.openxmlformats.org/officeDocument/2006/relationships/hyperlink" Target="https://news.google.com/rss/articles/CBMic0FVX3lxTE85V19iTkFNcWViYWJpTjdqemJ1M09DT1c1VmRjYTIyTktLZngyNjlHa2FmTDJtVUhrS2M4RUc2VG9HZzM3c2x0WEZKTXhUNlV0VmhuWW9kWWFscVd0a1NaTmFzVkVtRXBTQl9ibnZTT0hzbWc?oc=5" TargetMode="External"/><Relationship Id="rId60" Type="http://schemas.openxmlformats.org/officeDocument/2006/relationships/hyperlink" Target="https://news.google.com/rss/articles/CBMimAJBVV95cUxQaldzY2hfY1k0T3dwdDRRUDBidDh0Wlo4NTdGZnhUSklYRHVkbW1idk93Z3Y1ZzJ1MVNfWjE3TWM1TkNaTHA5aUtMcXRGdE4xbVlxal8zczhBOWdqdHJucDhfRlJRQW1OcmhBd29qa0lxT1RuMmtROUFfWk84aG1jdng1X3E4ZUtMeld5em9jSl9zTXJneDNmUV9uOEV0LT" TargetMode="External"/><Relationship Id="rId81" Type="http://schemas.openxmlformats.org/officeDocument/2006/relationships/hyperlink" Target="https://news.google.com/rss/articles/CBMimAFBVV95cUxQUlAyRXByNEh4ajhtUW1RenliMk5GZmROblg3bk41NE8zZ0tFWkVJbkVrdVpjSjBuczdvci01ZkwxbHZjX2FpRkFLQU5adzV0emhqRzFRQk5iSndhaGdzSXp4WmdNX2VHWk5kS05fWC12bG1VYmNWVXZjcFMwbVFPLU5LS0hxeF9PcDNRMEdKU3JNT29SYW1MeQ?oc=5" TargetMode="External"/><Relationship Id="rId135" Type="http://schemas.openxmlformats.org/officeDocument/2006/relationships/hyperlink" Target="https://news.google.com/rss/articles/CBMi3wFBVV95cUxQM0NVeHRMVUhYQzcxTHE1RWR4c1BlOXZLa3VxYjZSNmhYci1ZamtvNGRDalktNlhmM1kwOE5IMmZUR05hWXMtb2lEUnN3S1BZNFE4c2s5emM4NGVnMlRXaFpQWm52S3haY191RW1KSEVwUGNJVTJEVmk1cnZhQmV1eE9VM1MwLXQ2c2pqeC1wZ1YyYnFMUmg2MFZ3Ri1aU2" TargetMode="External"/><Relationship Id="rId156" Type="http://schemas.openxmlformats.org/officeDocument/2006/relationships/hyperlink" Target="https://news.google.com/rss/articles/CBMikwFBVV95cUxPckdjQVhwQV9weXk2YWU5d2hqYWdBZzRjS3NMbG5rQTMtcmo1MlJsU1VBdTY3WFFwOGd6X0N6c05iSGZPajQ4dElrUmcxcUxvRlBfUHZCdF9mUWVhekRPcWdmWnRUQnZkUWpIWWt4ODZkdW9PS09mY2ZQZGZHS1UyWDVTRTJ1R2hTakNualNxc3ZTRzQ?oc=5" TargetMode="External"/><Relationship Id="rId177" Type="http://schemas.openxmlformats.org/officeDocument/2006/relationships/hyperlink" Target="https://news.google.com/rss/articles/CBMitgFBVV95cUxORzFoeTI3MGpFYXJvTDRzam1ObXZVY1dTOGp2NW1WaE5leFRsdFhLMDNyOHhjSmxOVWJuZ2NCTDNONjM1WU1TSlpVaE1TZVczVmFSYUtuOVh2X01lWVlkbEdocUlaaHJfa0VlRzBiUFdFanBsbEh5WkJJeWNwejdjQVVVbzRMWlREeXdNdF9MYmgyaDdTQ0ZwUjQ2SUI3a0" TargetMode="External"/><Relationship Id="rId198" Type="http://schemas.openxmlformats.org/officeDocument/2006/relationships/hyperlink" Target="https://news.google.com/rss/articles/CBMigwFBVV95cUxOemJ6dnk4R1ZJUmsxT012U1RvQmFvMVpoWTVoRzFhNlR1UkVfVXl0ZHdzZERxeW1sSjNxRm10S3c4ZkdueGotemxUT1cyeEFMLTZrcGMzZk5EdmhUY0JZUmFVVkczRjlrR1l2aUZkdTdULTR3RVFjUnB1Zldya2d4YWJrNA?oc=5" TargetMode="External"/><Relationship Id="rId321" Type="http://schemas.openxmlformats.org/officeDocument/2006/relationships/hyperlink" Target="https://news.google.com/rss/articles/CBMihgFBVV95cUxQX0gwNWt4Q1I2OHRRbHVsT1QxV19FZlVuQXNoR0VORk1PcnI4ajBONWNmUWtUWkg5c0xCT0xmMFlTZERybU9ITHc0a2w5V0xVVjdQN21XVlRxWHFkd25OSGsyenc2al9ubW1IZjRsU0dXRHlNUzNYNUxoYUs2bmRWTXV3aW1Jdw?oc=5" TargetMode="External"/><Relationship Id="rId342" Type="http://schemas.openxmlformats.org/officeDocument/2006/relationships/hyperlink" Target="https://news.google.com/rss/articles/CBMiswFBVV95cUxNN1g2QmJPSjM4RGNlSFFkSmxheU0wQnp5UkVWSlpRU3drc05lMG1oQmZrRVZUbnlaaUNGVlBfd1ZSQ0V4YkhnYVh6dmNJVnZIUXRPek5VRlVfZDZocGNfTVRzZkNpMjhsWXhvNVdrNXo1UjRDbC1lZlVrRnM2TG03M280R3E3SWF0SzhBVHNPZGx6aVdzRnlRTEtYem9CT0" TargetMode="External"/><Relationship Id="rId363" Type="http://schemas.openxmlformats.org/officeDocument/2006/relationships/hyperlink" Target="https://news.google.com/rss/articles/CBMiW0FVX3lxTE9YanZhOWFhX1BLaFlpVDFpUXpBbWNBdUZXUWlhOE1TMC1TcGw0WkhzM3FnaFJFMmxxWUtDN0pHc2F3eEpSZ3A2OEhRUVlHRWJDTEpCQmh0akZQd2s?oc=5" TargetMode="External"/><Relationship Id="rId384" Type="http://schemas.openxmlformats.org/officeDocument/2006/relationships/hyperlink" Target="https://www.gelonghui.com/live/2698307" TargetMode="External"/><Relationship Id="rId419" Type="http://schemas.openxmlformats.org/officeDocument/2006/relationships/hyperlink" Target="https://news.google.com/rss/articles/CBMiuAFBVV95cUxPZVVDdVFvOFgwTlFpVnlReUhHSXVnZVlBekRIMnJrSnZhUllUbzEwSWtRbEh3djRtZHZFT0ZMQVNLa3A0S0R1cEVwaEFvZlJfajlaNzh5TU9DNjVxazk3dmxxZDcwdkFIQlpnUk8wZnRybTZ4S203aFhobzhPMW9KbWd6RXFUbTVsYlhaZVM2QndDY0M5cXhUSjFZZi00X1" TargetMode="External"/><Relationship Id="rId570" Type="http://schemas.openxmlformats.org/officeDocument/2006/relationships/hyperlink" Target="https://news.cnyes.com/news/id/6636798" TargetMode="External"/><Relationship Id="rId591" Type="http://schemas.openxmlformats.org/officeDocument/2006/relationships/hyperlink" Target="https://news.cnyes.com/news/id/6636989" TargetMode="External"/><Relationship Id="rId605" Type="http://schemas.openxmlformats.org/officeDocument/2006/relationships/hyperlink" Target="https://news.google.com/rss/articles/CBMilwFBVV95cUxOS0JnUml0VTFqcjdudFhjaW55d3M3cnpzMjFDby1iODYyUFJiZzN5TkExMFhHVEFjb0JjRDFuSVJEaE03MWUtdkJrcXN6LWRtS01WYmtFWHI5U0Y5dFhqbUdXYS1KVkJhdE5CY2tQN0thdC01UVRUeWJLVlNUY2VKa0NMSXlka0p5MFBzZ1lxa3hydU5tVVdF?oc=5" TargetMode="External"/><Relationship Id="rId626" Type="http://schemas.openxmlformats.org/officeDocument/2006/relationships/hyperlink" Target="https://news.cnyes.com/news/id/6637035" TargetMode="External"/><Relationship Id="rId202" Type="http://schemas.openxmlformats.org/officeDocument/2006/relationships/hyperlink" Target="https://news.google.com/rss/articles/CBMitgFBVV95cUxNbzI2VDVYZzR3di1tSFFrRGx6NUNOTTRzQVpiMDY0aHdrRkstc0NJdF91MEw1SlRCcl9KMjBUM1IzalhnMzVMdVI4eURESjNuUzNJcm1HRzNkbE5acGNiNExKVkV5YjhtZFN6cmkwLVNCZ2Q4Y0JyMmNWNG5KOUxEWml6Mmk4Wk1PY1NlYzZ0YzBaWFotSVhsb3lTaVh5U2" TargetMode="External"/><Relationship Id="rId223" Type="http://schemas.openxmlformats.org/officeDocument/2006/relationships/hyperlink" Target="https://news.google.com/rss/articles/CBMirgFBVV95cUxOU0hLMUZYY1p3QXdZcGRTSVAzRk1EOHFYSnFOMTl3MlFEd2pLRm94akxPM0xCdzdsUWczRzZpckFRSWVXVGp3eWdGb0stZElKSTlWb2lFVWZxZ2hjbHctdVZ3QVpnXy1fSkM4UzZ1YUlDSFNWNy01YnJsSGcxSmtzdzhvVkZBZHNkeVc3Xy1fa3RiMlNpc01tX0VPZF9KQj" TargetMode="External"/><Relationship Id="rId244" Type="http://schemas.openxmlformats.org/officeDocument/2006/relationships/hyperlink" Target="https://news.google.com/rss/articles/CBMixgFBVV95cUxQOHkxSGVRQzdhLUtGMl9CQWlLM05OVklfYk5hXzczZ0I2ajVfUl9RcDhkX19MLWhfWTVENHJmR19yXzZaNXVmZDQ5UGRUVldxNnVHTUpYM1BpUVNScXhzNmJxaENzNm96WkFqOXNpZkFYSjB2bFJ2eDdtM1lMSFBHWW96MU9zRDhmZm5XNEpGR1NWRHJJUk1DdF9nVzNBVV" TargetMode="External"/><Relationship Id="rId430" Type="http://schemas.openxmlformats.org/officeDocument/2006/relationships/hyperlink" Target="https://news.google.com/rss/articles/CBMitgFBVV95cUxQTmhWYlBjRko2Uk9vSy1SZUNoaC1PcGk2R05iN0p3cFNKVFFjSmpNYzFXanl5MGszYWRhZEllOWQ2bERKYUhyQzZDX3lsOXR4ekZTaXR3UjJaQ2czWFJOejF5VXkzMktfcnB3ZTBlY1FNWnlUWEVkLTdIUXNHU2xJRWNHRkpCSHFjcmpjN2JVNlhmQWVZdDQtTUhrTXpXT1" TargetMode="External"/><Relationship Id="rId18" Type="http://schemas.openxmlformats.org/officeDocument/2006/relationships/hyperlink" Target="https://news.google.com/rss/articles/CBMizgJBVV95cUxQUjhIcDJRZjJGcWNLeDNUSXRKZ0h3TmpaNHhGakpJY2hCRVd6UV8yVWJzZThLTU5PSW1zZlRPeDQ5RzZmcDZuSkVGczdnT1NzdTNpcl9QT3lYNUstOFVGdVdqdFpWMjNWRV90dVFDOS1WOEpPMUM3OENyaHV3dTVxNTNrSElRckI2VFNQOENaR3RiU3JLV0V0X1VKaHF1bD" TargetMode="External"/><Relationship Id="rId39" Type="http://schemas.openxmlformats.org/officeDocument/2006/relationships/hyperlink" Target="https://news.google.com/rss/articles/CBMivAFBVV95cUxObWF5aENQWlRlT1JWb0VzZkZPLVZIWUJKV2VBMTh3ZVpENFVzUFVObU5CSkI5LUwxeVJJOUVQZ3VJTEgwR3NDQWFUbjNSbXJxV3c0c0FYcE4yczMwQlFZaHNObFVtNFI5UGJXNFZYRUtZd1lBZ1M2b3Z3VEpVZlJKU3BWQWFtbjI4bjdkelFsWmR4TVMwWDd5eWFfNE9LcE" TargetMode="External"/><Relationship Id="rId265" Type="http://schemas.openxmlformats.org/officeDocument/2006/relationships/hyperlink" Target="https://news.google.com/rss/articles/CBMiswFBVV95cUxQcVROSG5mWndRSXdmNjRuUFo1Q1hHLWJqUWNPZkt1MV9SRzd2MWZQMHdWMEpfSldQQkVlQ2JPLVBNbEE0bzM1ZkNIRi1kQmJhU2dNdGgzVVM4M3BSYU5BS2N4eUJITndmdmtTR2xmZDdGN0VxSTd6ZVlubDlXNmJGY1ZJQ05GX05xUjJhWHVRYlBLQTI2WEZkT3U1VDAwc0" TargetMode="External"/><Relationship Id="rId286" Type="http://schemas.openxmlformats.org/officeDocument/2006/relationships/hyperlink" Target="https://news.google.com/rss/articles/CBMilwFBVV95cUxOVDhuT051bGZhNlNqSHp2V1Z4MU02aUFOSWgwc2N1WFpKUGQ0QUJhNk9rbFgwLUd2bDlfRC1mX0o5LW5VZDhsM1hhSF9iNjRISDU0S1p6bDVCX3FWZXRMbUlSR0ZjTkFJcW5tQklrM0VsRHJUV2k3ejlQSDltaG1Xb3h5UHcyWFpHbEd3UDRiQlUya2NYZFRJ?oc=5" TargetMode="External"/><Relationship Id="rId451" Type="http://schemas.openxmlformats.org/officeDocument/2006/relationships/hyperlink" Target="https://news.google.com/rss/articles/CBMilAFBVV95cUxONUdoVEFFZ0NxZlJYaGp2QzhlWHhORGcybmFrTE5VQWlCaGFDdHpQXzVsU056enZzWHhNbE9USVIwRkhsZmJDUzdlVFZ1R2lCSW1ZeFN0VDJtVzQyc0Y1NHJFa2Izb1ZhSWxRcWFoQUNETXVrUlBsXy1xdTN4NTFkVzRsVEN4bGo3N2ZpaFRhTTN0UFp6?oc=5" TargetMode="External"/><Relationship Id="rId472" Type="http://schemas.openxmlformats.org/officeDocument/2006/relationships/hyperlink" Target="https://news.google.com/rss/articles/CBMipgFBVV95cUxNa2hlUWtBSWtrUk9JZEJOQXNHNTUyNVNjREVlaDNPZF9QYm5rSlk3TnZmci1pWTdwVlZhOHpwMkxzdDlHcGJxZWNHS3dYOGlFWExVNC1YYWxVSHFERmVsZThNODZYUlJ2UDNIeS1JT0VPVUoyYW5KNVJ4b3hJcXp5MWN3ckZHR2V5NFNFSERnUmhGaDdJOERGTEdaLXNlUz" TargetMode="External"/><Relationship Id="rId493" Type="http://schemas.openxmlformats.org/officeDocument/2006/relationships/hyperlink" Target="https://news.google.com/rss/articles/CBMirwFBVV95cUxOOGFaYUFLYjl0c05BSF9qT0czS0J0dlRMUmQ0eEtGTHl3NTBuaml1Qm05YTJ3THRTYjc2OXpCNkNIWlFmLU9iUU1mNVFvM2FZWjJpN21DTnVLMFZuNFlhLVQ0S1BXb0NiRTcxSGVaQUg5WElMMG53S0hGTUFQUGc4VHN6RmdDR0lZTGV5NVhpdE5NdWJJQ0JyY0lwOGM3UG" TargetMode="External"/><Relationship Id="rId507" Type="http://schemas.openxmlformats.org/officeDocument/2006/relationships/hyperlink" Target="https://tw.tradingview.com/symbols/NASDAQ-VRTX/news/" TargetMode="External"/><Relationship Id="rId528" Type="http://schemas.openxmlformats.org/officeDocument/2006/relationships/hyperlink" Target="https://news.google.com/rss/articles/CBMiigFBVV95cUxQQXhDOGpZb054SmlrVEdRLUdPNmMxWEhWc3Z1Um9vLWVXZnBrdVJYRWpWSTRaSG1YNC1xcjBnemZlZGEzOGo5NGhvRllmcHRPZm5RMFpQSWdRX1NWRUEzNFpsUzNBclZDem1aT3lYMHpYMHU3NUlSZ3g0dVNBVDJHeDYzMVRHT2FZVEE?oc=5" TargetMode="External"/><Relationship Id="rId549" Type="http://schemas.openxmlformats.org/officeDocument/2006/relationships/hyperlink" Target="https://news.google.com/rss/articles/CBMitwJBVV95cUxNV0R6R2djbEY2U1VXMTZBQmhyRUQxUnotMnU0Sm5Sc2FuNFNORU94cEFldGtvbzJCTDZ0RXp0aVpsd2trOFJWS1VxdXZYeFZwblpZQWpJOXRfSzdkc29jQ29HTW1KV19jZXFaNEJjWFA2cXl1eFlqOEk1dGZaZ0VVSEVDdldYOTA1bDNndFc2b3Z4WHNTS1hXc3paczJwZl" TargetMode="External"/><Relationship Id="rId50" Type="http://schemas.openxmlformats.org/officeDocument/2006/relationships/hyperlink" Target="https://news.google.com/rss/articles/CBMi1gFBVV95cUxORjRudzVvUzN2VXI4M1BKSW5UeWpCcnpXRl9fX3BDaFZvSFlKTE5pUWRORlA4NU5uRkd1Y1F6TUVPSVFwdWRHNjNnVEd3bXJqOTl4Y0lrQXFEQndhWnRvR21YYjlSRFdyaDU3al85SVhybjJqZGlIMUkzc3NpRm1nSFJ4UEY5XzBSQkRUUjEwcTdZb3MyVl9pd0loRmdRNF" TargetMode="External"/><Relationship Id="rId104" Type="http://schemas.openxmlformats.org/officeDocument/2006/relationships/hyperlink" Target="https://news.google.com/rss/articles/CBMiqgFBVV95cUxOZ0VMTWduSGZGLXpkUXVlXzFQam1LZ3N2XzNjSDN0a1JlaTNtSDJUS21IMFVWV3FwSFNVUEpsOFpySWUza0I2blZpMGFndVdwT0lhX2VsWUdyaE5GY0ZHLVdnTTQ3dWE2cjZFZFF0OVBmVGdVT0ltVEd3ZXZUSjJ1TUk1d29EbTZnOWoyT3IxNWhPMXczSlEzVW5LR3diel" TargetMode="External"/><Relationship Id="rId125" Type="http://schemas.openxmlformats.org/officeDocument/2006/relationships/hyperlink" Target="https://news.google.com/rss/articles/CBMivgFBVV95cUxQUW1JX2lMX280SHhGclZrYkdIcnNaR3dNYW5NVTdlT3dqLWI2ei1EdlE4RzdCRnVuc1lWUGctakdSNnN6V0owc0ZsWlZMQkVmcGxNYnBBV2g5R2pTSVF3UFVPRzVscTFPY2NtZlJrRXpTVURiRFhMZmdtV29OU0VKV202dFk1S1ViMVFsM0xWNmtsQnRpem1jdlVtS3hoQk" TargetMode="External"/><Relationship Id="rId146" Type="http://schemas.openxmlformats.org/officeDocument/2006/relationships/hyperlink" Target="https://news.google.com/rss/articles/CBMihgJBVV95cUxNM3dlemhmRGZTaENtNUdFRmRMcG85MzBwbWhUMXA3MGVTSDRUelV3UEhqMlg5RnlaYTZpUUxTVkNOblJIbVVDa3RyajVOZTlGaTZIT0tuY04waHJycjNYdDNtckV5R2ZPV2N5cFlqSFpuS1BfMnU5eTNjZTZyNF9pSlZEaFJ5bTBzMzBKNUtPblZ0SVk3ZzQ5MVNjSnFGOD" TargetMode="External"/><Relationship Id="rId167" Type="http://schemas.openxmlformats.org/officeDocument/2006/relationships/hyperlink" Target="https://news.google.com/rss/articles/CBMipgFBVV95cUxOdjBZZnBlaWVsVm1SZ1Mxb3JLX3RZSUItQTZ6U1QyQXpKZDZQd2o3UjJtUFg3X0E5VGNyaUpNM0dVdFhQaTJ0QTVJSWR4ajV3OFktMGdneloyOFItQXVLUnI0WFJoVWJrTkl4VVZOUlNUVFZjRGRXZXhxUlB2MjQwWWg3ODNtSUJZMFJRZUF3Z2h1dW9nTHdTbmM1b2VLUF" TargetMode="External"/><Relationship Id="rId188" Type="http://schemas.openxmlformats.org/officeDocument/2006/relationships/hyperlink" Target="https://news.google.com/rss/articles/CBMiuAFBVV95cUxPenhodzVjUlgwS3RwUG5ndVk5S3dxN2Qxc0ktQ2VDVGE0WVVoQW1VUGNUM05qakZ2ZTRmZ0pnTHY2MVVpSmJ2RWdDNmFyY3lyM0RLS3RwQTRmbkdSQWZBRXgyMWJlVG1ybUhJT2JmcWtzTVFpM3hxcEI1SjlNcnplQUdjUDlGS3V4a2pGZXhNNWNXcHN3WVdkT1otOWZkNH" TargetMode="External"/><Relationship Id="rId311" Type="http://schemas.openxmlformats.org/officeDocument/2006/relationships/hyperlink" Target="https://www.gelonghui.com/live/2711082" TargetMode="External"/><Relationship Id="rId332" Type="http://schemas.openxmlformats.org/officeDocument/2006/relationships/hyperlink" Target="https://news.google.com/rss/articles/CBMikwFBVV95cUxNN1lCWVdFSGNnQjZLUjdtdkpmaFpRTDg3ckFkTkU0VGFqUW4zY295NmdQbzB5a29ra3Y4YkNweFN0TGlZbUFmYmN4b1RHZHB4UGRYMnJ2ZHVKSUtaekxCdE9QaktuSFdreVhuZGhDcWdZcDBFZ1BIUC10U256NzhGUDdiakp1YmUwOElTQm5xRnc4NTA?oc=5" TargetMode="External"/><Relationship Id="rId353" Type="http://schemas.openxmlformats.org/officeDocument/2006/relationships/hyperlink" Target="https://www.gelonghui.com/live/2709310" TargetMode="External"/><Relationship Id="rId374" Type="http://schemas.openxmlformats.org/officeDocument/2006/relationships/hyperlink" Target="https://news.google.com/rss/articles/CBMimgJBVV95cUxPNVhaTHBYcEdabkQtbm41eWR5T2dZODFaX1ZrYTQ5Y0luYnh2NTU1THFOWmE1bmEydGVYTVdvUlYySTdMaXRiQUFyS0JRTFNHdXJtRGRjTnl4TDVVcHBvVFczRE1MaC1PemVYd1FlRlktWjNYUDhKT2FlWGg0WTJNcERzSHB0SkRyaC03R3YwcGZwTXdsSVFHMzdOY3lRb0" TargetMode="External"/><Relationship Id="rId395" Type="http://schemas.openxmlformats.org/officeDocument/2006/relationships/hyperlink" Target="https://news.google.com/rss/articles/CBMi2AFBVV95cUxOUnd4NlphQnNDV1c5X0xlSW9rQmd2bGRDX2xPMi1HT0RzM1NpX0xhVDJkTnNQX2hoQ0xoNHFyc29JNTAtaGlDaFo4ODJMU1ZJRk80bEs0bDR2Nzk5U0c4WWRVb09ER2dHTE42Q1hVZ2xtUXB4NFZNSkJXdWVHT3NEZnJIeXh2aEZQNnc5VU9DOTBfRkY4Szk5Q0UzUkZ6ZT" TargetMode="External"/><Relationship Id="rId409" Type="http://schemas.openxmlformats.org/officeDocument/2006/relationships/hyperlink" Target="https://news.google.com/rss/articles/CBMiW0FVX3lxTFBacDV3RjdGNU1JMEwyUGQ3cFRaeXg0NS0zRTRSRk9aSU85ajc1MVpGQmdQR3hYRk1nbm8wRGZZa29pMXo0VXJXSldlTTExRG1OZ09sVS1WUjgxZTg?oc=5" TargetMode="External"/><Relationship Id="rId560" Type="http://schemas.openxmlformats.org/officeDocument/2006/relationships/hyperlink" Target="https://news.cnyes.com/news/id/6636797" TargetMode="External"/><Relationship Id="rId581" Type="http://schemas.openxmlformats.org/officeDocument/2006/relationships/hyperlink" Target="https://news.cnyes.com/news/id/6636796" TargetMode="External"/><Relationship Id="rId71" Type="http://schemas.openxmlformats.org/officeDocument/2006/relationships/hyperlink" Target="https://news.google.com/rss/articles/CBMif0FVX3lxTFBtMkpCejUzMnp6ZG5FbWFvZHFoejUxZlczeU9QcFpnNVhFV0ItV1lPeVdsRFltcUZyOHNBSUR2YTk4T2VhTUtaS3lsLU5EdXJEMWJmVUlMdkVMVmRqM3AzU21FU25WNU9xSG5RaGJqdDd1SEJrYmdBUEZDNjVndVE?oc=5" TargetMode="External"/><Relationship Id="rId92" Type="http://schemas.openxmlformats.org/officeDocument/2006/relationships/hyperlink" Target="https://news.google.com/rss/articles/CBMinwFBVV95cUxOTnBMUDRHSFRfT3pwSDJ0Qzk4WWtfSG9aUDhxSUJjekJBSzg3MkNmeUhmSHNrY2Jkd1N2ZkJoaTZYeGR0NVRpdU82Q2hTNmhSYm1XYl9mVFM1REpJRjZpc2ZrQWJGRGF4YVhYM1BXQk9aQlhTb3lDNWR5ck1MVTk1TkZ4Mk1HbTE2ZEhkUXNFQW00TVZNajQ2RUlVVFAxWk" TargetMode="External"/><Relationship Id="rId213" Type="http://schemas.openxmlformats.org/officeDocument/2006/relationships/hyperlink" Target="https://news.google.com/rss/articles/CBMijwFBVV95cUxNRkZRVS1TUTBIMWNjMWNWZnI0OXBzVjB4T2dCbFlIbER1Z3N0cjh4dzlSbHFDVEhWZW1ERDY5LUVXTWFEMXpTLW5yTWVMaWRCRjdRYmZKX2o0cDdiYnh3eHJlQVhnZTMzTFZVSlk2WmI0cWpENDZ1NGQ4ZXlxWG1rQ0dHOVhKTW9vTG9ERmNNMA?oc=5" TargetMode="External"/><Relationship Id="rId234" Type="http://schemas.openxmlformats.org/officeDocument/2006/relationships/hyperlink" Target="https://news.google.com/rss/articles/CBMiigFBVV95cUxPb1NrMWZULXowOTU5SXJhWFpGTEE4dzhiU0k3Z3hMem1ib1NGenNseGh3QXlBVDVpWDBEN1VuZTItNXR0Y2JoZVoySkFMcUlTWnhGWTBsWmFVYlM0eUdfMGNfYV9HRTFaVWVKNjF6X0ZzenVXdFhHNlVoLXRzWjFBb1U3RTJJdHFCWkE?oc=5" TargetMode="External"/><Relationship Id="rId420" Type="http://schemas.openxmlformats.org/officeDocument/2006/relationships/hyperlink" Target="https://news.google.com/rss/articles/CBMioAFBVV95cUxQel9lbi1URXV1V3lIbVl6bnY1Wm1NRlRZenVjVEYtVm1aUzBxa2hXdFVfellia1pnLWJuZkR3WjdBQlpmZjlBeWpQQkFjdXhSZjg2MDRQNFc5ZGNidTBZdDJPajhFX3Q1c1BFcDRaZF9UVHZfWDNSRFkxUlRocFJLd0taMWQ4ajYwLW5VYm1GNXY2dzBzQnZNLTRwa1pEUz" TargetMode="External"/><Relationship Id="rId616" Type="http://schemas.openxmlformats.org/officeDocument/2006/relationships/hyperlink" Target="https://news.google.com/rss/articles/CBMixAFBVV95cUxOSnU0dVFSaUgtWW41Vm1FMC1udWFJeVJpWDBKZ0dkc1ZaZFNCM1ZLSGFtOWtVRmpqcGZOaHllQTNaR0tpYkpkOGhySDBPcENuYWN4X0JPR3lPczFTU0hDQzZGZVl3Mnhlejg5ckNwS29BbUhSS25zMUp4bjJwODlNTm5HTUZfMlZYek1Eb3F3ZlZOb3JTNDFsTXhyQnpHdW" TargetMode="External"/><Relationship Id="rId637" Type="http://schemas.openxmlformats.org/officeDocument/2006/relationships/hyperlink" Target="https://news.google.com/rss/articles/CBMizwFBVV95cUxPUXBiTmVSSW04UEJiTWVDWmdMLUxGTmdJeTNMNWhIZk9hSGFoY3ZIdXhOMUw3bWpDQ09iMDhZeDJBOGRONk0yLU5GcENlN3pCWm1ZUDlTakFsZXF4ZmIzTTNnWHY4bTdmdGJQTDFZbVlfRHB6d0I2b2RxbHV0aDk3UkJMVThrRDdxZXpSalBEVUtKT2JyQm9xQkxpVmV3ZE" TargetMode="External"/><Relationship Id="rId2" Type="http://schemas.openxmlformats.org/officeDocument/2006/relationships/hyperlink" Target="https://news.google.com/rss/articles/CBMisgFBVV95cUxPVVRpRXUwR09mS0gzQUxwV3hscGFuVjdpa3RhMmFIVmdCV2kwcGdibHlSUkZDVEFVVDF0Z2h2b0xtSkN6RXE0QXZtRlU3cFIxUjR0d2ZMYTByLU1oYnp1YklaVGRUQ1dxX0FIYjJLWHBSbnVWZWNVZURBMWVyTFg5U0ZfVDBjXzNFaFVmUV92M3VHWmtGMV9aYXhZeGhpYV" TargetMode="External"/><Relationship Id="rId29" Type="http://schemas.openxmlformats.org/officeDocument/2006/relationships/hyperlink" Target="https://news.google.com/rss/articles/CBMixwFBVV95cUxPcVpjbjdlcDRmbUFSTXNFS2ExaVlSUkp2RTFsR0pBaWNTbGwzZHRPeHE0cE5VNDlBc3ZJUVBmY01vaUhrYjRHRlBLQ3ZrYnh2V0RfZjVFLXJrYmRTS3RVRGFpTlJ1UnpIbVdzWTU4MDhJX2szaHp3U3NkRmJtMnkxMWZsRTBFTldmMk9xWWZpam5TVlRVajJPNFoxbHpBNH" TargetMode="External"/><Relationship Id="rId255" Type="http://schemas.openxmlformats.org/officeDocument/2006/relationships/hyperlink" Target="https://news.google.com/rss/articles/CBMirgFBVV95cUxPd0ltZmtTMGFrbFlNUjd5UE1WLTY3Z1Z6RTdJSThXVTFpZW5qTUhONGctQmcxaXdwbVdDZWRpdk9UX2UyUmRMUHVaRUJHT0k2ODRPaUd6UFhORW1MMFk1d1FzWkFmelJBakVxUmJYdUN5ZTBpX08tNGVJbGRpU09VOHhjbWtVYjNsMmhRY0hhaC1QSEtybmRReHRodGtJYU" TargetMode="External"/><Relationship Id="rId276" Type="http://schemas.openxmlformats.org/officeDocument/2006/relationships/hyperlink" Target="https://news.google.com/rss/articles/CBMilwFBVV95cUxNOFJ3OWRFbDhHdFBZNlhDd2lKQm1nWHlrcDhfRGlPNXY4bWNHaXoxSzBzRk5lQkxpWUN4Q0hGVXJTRml4dHpDT3F2MjJBQUxXbTRKR3pSSFFrMEhOU3pWajBDaU9RVnJLNkFBbjhPWUZHQy1ENzdtRTFHTnYtczdCeElETU1Ec1dqbk1KQWg5dFhIRmhXOGlB?oc=5" TargetMode="External"/><Relationship Id="rId297" Type="http://schemas.openxmlformats.org/officeDocument/2006/relationships/hyperlink" Target="https://news.google.com/rss/articles/CBMi0AFBVV95cUxONjU4aFh0SHR1ZE9IeWFTdDZNTi16b01mZDh3ZHNEZG9iNV9OeVBiY2pLblY2N21ocjNya1lIci1UWk5fcFJmNDFpVVRwRnVPSzZpY19YeUR5dkY3X2RfeGo4dFlDTTVJUlgwTTU5N3RQT1lJZmw5eDNNV1RndjZ1TFZQdnZuWnZWSmJhSFlTX1lTSDRrbzNQTGRrVjlkU2" TargetMode="External"/><Relationship Id="rId441" Type="http://schemas.openxmlformats.org/officeDocument/2006/relationships/hyperlink" Target="https://news.google.com/rss/articles/CBMizwFBVV95cUxOU3p5U1RsMFd1dGN0VnlYLVlnbmwwYkZwcFFKMk8zRUxZVXVUUTFZM0dyTkdoU1M1amJtWDVfbnMwSlZ0SS1nYkxMMWNfWWQ3by0wUXNTTmhiajV0ZTRxYkxGcVptYTdGWFhqdG1GVmxJUW1OTTl1bnBVVDhGdGxOT0c5YWJpR2Z0ZHhnOTJSREpxRHBlSnYwS1oxUDgwdG" TargetMode="External"/><Relationship Id="rId462" Type="http://schemas.openxmlformats.org/officeDocument/2006/relationships/hyperlink" Target="https://news.google.com/rss/articles/CBMijAFBVV95cUxNdFBiMDVpb3U4d3kwRDZRZTNSRzhwWkdEQkgyd1haUGhLV3U1UkdpQndVa3RDRnJXSExuMmYwOEJmY0dNV09HWk9tX1VmTk16QktDY24tXzZvUDdIeElMN01KVk0tUVl0QnVMS0JKOWpwNHN2eE85RWJ2cllmZ0FnZXNDOGNfZWlQMnB2ZdIBkgFBVV95cUxOUXN5LVF0bj" TargetMode="External"/><Relationship Id="rId483" Type="http://schemas.openxmlformats.org/officeDocument/2006/relationships/hyperlink" Target="https://news.google.com/rss/articles/CBMifkFVX3lxTE5GQ3dOd0lVeWE4YmtlNUpBdXhaN0ZOUmhfSXRtX3Rad3lfWXdqcE5YdElyV2s5Nm1MNVVOX241NFl2cVJiMWV1Y2J3TFM1RWxReE9oc1M0VUoyUE43UWg2Qy1XX0M0eUE4NUpqSDJPRzVRN1hBbW9TNkhRV2lXdw?oc=5" TargetMode="External"/><Relationship Id="rId518" Type="http://schemas.openxmlformats.org/officeDocument/2006/relationships/hyperlink" Target="https://news.google.com/rss/articles/CBMivAFBVV95cUxOWndQSUp0M045ek1GWlYxQk1qNXdMVGhGbEM1bHlHRkdqSllyTzljWTF6M3JQajVlUkxoSEVET3VhNjA1OVdKTzdSc3llYm9DdUhOMl83LV9MSmRqSlpRZk93eDNFQm45TDc5R1ZzQWdmZDVIS01fR056ZzlIVGVKSjJTdGM5bW5RVlpNblJ4YVBlbTJmZE93WE1UaUdzdk" TargetMode="External"/><Relationship Id="rId539" Type="http://schemas.openxmlformats.org/officeDocument/2006/relationships/hyperlink" Target="https://news.google.com/rss/articles/CBMitgFBVV95cUxPZHFXZTdkTnBxc0t4ZG5oMnVYVEpicDJLQUYxVEMxNXJ3bjFhWEhXcTR1R2Zsa3lIUkQ3R2JUNEZwTGg5cF9ZZERhR0V3MmxubFRCTmdlWmUwSGZKV19vbkY2bzg4b2EtaW5RalJTcm1IYWR6TklwdE9OMkVXVDBuRE9SQ2RMeC1kZG5QMldmUTdUTjdkckZneU1VNmJWY2" TargetMode="External"/><Relationship Id="rId40" Type="http://schemas.openxmlformats.org/officeDocument/2006/relationships/hyperlink" Target="https://news.google.com/rss/articles/CBMimAFBVV95cUxPb0d5bGJQOS1EY1FQUjMzcDRnZEVod1NwS2dJRUhraElXbTY3aXQ5Zk5uOXRJWDd2NUxIaEprejl5a2VjWTF0VS1BNlZQWnRUTnF6OG9mQl95YjgwMUtfNmRiNlpiWXRmOHctVXZ6NEI3WERiNkdwWVFJZjRRYjRVdk5aeWlTeElvR3dVeWtVX2l0ckRmVG9kNg?oc=5" TargetMode="External"/><Relationship Id="rId115" Type="http://schemas.openxmlformats.org/officeDocument/2006/relationships/hyperlink" Target="https://news.google.com/rss/articles/CBMi0AFBVV95cUxNYUxYbHoxeUh3Y01SbjRKOHpwR3RELXc5d2dBOUpaZUJrNFNaUS1MeC1HcGxIR0JzQXJiY2hKUDd4eWJlVW9wRjdYUVlveHcwWFNIVXd0RENhb1VscVMzSDBzRFdQcHVhUTBaNzBjUlB4WWZjUDlzUFdVaTZxSllpeW1ZdDRRaXVFb0o5OWZ4UUdCNk9GS25OVE1HcGI3MF" TargetMode="External"/><Relationship Id="rId136" Type="http://schemas.openxmlformats.org/officeDocument/2006/relationships/hyperlink" Target="https://news.google.com/rss/articles/CBMipAFBVV95cUxPYVl0V1kyY0RlUjFnSnFtdFo0MDd3ZUR5c0JtVV9pUUpDVVpZTHR1QmlPY1Jtb1RCWVpIVGFpQVBZUWJ4UE5Fejk5YXpSREhxdXQwdzVWMXp1b3F0d0xpYTBUN210cE1XWEJLOHVHaVZndHowN3o3dUViN2V3OEcwdGdRbDdwMmhPaHdHVXdVSXk3T1pDTFZHSFBWSGpmYV" TargetMode="External"/><Relationship Id="rId157" Type="http://schemas.openxmlformats.org/officeDocument/2006/relationships/hyperlink" Target="https://news.google.com/rss/articles/CBMilwFBVV95cUxQSU9VbnIycHVILUdURVhDY0JvZWRLUnNmbXpUNUdvMlM0YWdPX1NYV0hNeV9pekxZM25LdHMwZUY0TldXYTgyUzF1TmNzWW1WdTJWVVRLWFNFcUNQR2NNNWJkcUIyOVBtRjQ3YTRZUW4zV2RjRlBNZVRmMkU5LXFWN1RWamI4VzA2dkllRUZHbFlpd3NwSXE0?oc=5" TargetMode="External"/><Relationship Id="rId178" Type="http://schemas.openxmlformats.org/officeDocument/2006/relationships/hyperlink" Target="https://news.google.com/rss/articles/CBMiaEFVX3lxTE1yTTN3eG1KNVFialh6Q3F3bFlobXVJODBmRG94Z3N3ZjV4bUZCZTBYTmtRY0FPU1JzdnZUOG1oOWtwbTVFdFh2QU55WjhMWFViUGEwVGZDRDZ2VEJ3bmNfR3RmUEFFRXlP?oc=5" TargetMode="External"/><Relationship Id="rId301" Type="http://schemas.openxmlformats.org/officeDocument/2006/relationships/hyperlink" Target="https://news.google.com/rss/articles/CBMipAFBVV95cUxPbTVRemlxOExSVW1Dd2tsMWg3dE1rVnVQbmxFN0EydVlnMmk4amFQZm40MWF6RDFVV1hCTzJDZEp1dVVEN2h0SEx5eUgxQ3NPTXNOQ2FTaEtxN1ByNTZkZkg0VWlROUgzMDZlSXhIU19jWm1KRTZfV1ZMRVBEMXd1S3BzSFA4MFk3anVPSFE0ZVhEdXRjTnRUVmJNVEpVMD" TargetMode="External"/><Relationship Id="rId322" Type="http://schemas.openxmlformats.org/officeDocument/2006/relationships/hyperlink" Target="https://news.google.com/rss/articles/CBMiwgFBVV95cUxQUWJRcW9sUjFWdE1VVk9xQzJab0tDOEhRVkU4S3F1TFFsY0VTeUcxd3BydHBZbDVtdTBKSlFMa191emFBdGN1RWk0clZsc0RhdHBiV1lkQUVIXzE5TWFLamRiWlVWTnd0RUxvbzFMQmltSUJRaFJtRFRpbldjTzdmd2UxSDJYMGNSX21OMEd0Z3ZLSndyNU9HMHpoVWlpWm" TargetMode="External"/><Relationship Id="rId343" Type="http://schemas.openxmlformats.org/officeDocument/2006/relationships/hyperlink" Target="https://news.google.com/rss/articles/CBMi0wFBVV95cUxOdHJuQ196bGdwVlVnbU9IY29ENkdjZTNVdERQRVg1aDlDdjNObk1UXzNDdTNTRE1DOXB2VGJsd181UnBDeHZtQkFWYUJFMEZkSGN2TEd4c2FxbDR2RklXLUZwTl9LeGlmUkR5Vm5vbHBjZXhLbW14dEY5eDhRUG9BcDJsdWRtdnpORWRBYWRVWDdVUlJSZ2lkcjVVZTI5aU" TargetMode="External"/><Relationship Id="rId364" Type="http://schemas.openxmlformats.org/officeDocument/2006/relationships/hyperlink" Target="https://news.google.com/rss/articles/CBMingFBVV95cUxOeUR2Y3ZGM2FidU1tNmtrcEJDQkhJZzVwY0VFeWREQld2SDlWZlNNTzc4T2luRm9RV3RCMXRIUHJQYUhMY0pUVDNnd0V6S1k4VEFfcGUyZF9iY09MSkdaTnlZbGszUDk3R1FXd0Iza0d2R1VTOVVVTTY2aUdQdE00cmZVMUlGVm1aYTdDbXJVT21vRGxCX2oxRW5xeGNaUQ" TargetMode="External"/><Relationship Id="rId550" Type="http://schemas.openxmlformats.org/officeDocument/2006/relationships/hyperlink" Target="https://news.google.com/rss/articles/CBMiX0FVX3lxTFBhZjFDbnQtSzBfRnFfekhPS3VvakJjbnQ3YzB1VnY3amhhc2NvRnFDNDg4ME5DVzc0NzB6eXJlQWNpSml1N2dhTFFuNlMtdkhJWmhMa2g2b1dhQ1p3Sl9z?oc=5" TargetMode="External"/><Relationship Id="rId61" Type="http://schemas.openxmlformats.org/officeDocument/2006/relationships/hyperlink" Target="https://news.google.com/rss/articles/CBMiuAFBVV95cUxQb2FNSUhWcnd2YmN2Tzh0VXdBN0toenB4VGRLTElDWGZUQ1pCTXdtU3lXN1dTMHV4LWVZaUJ2ZHNRLVhqU0NaUkc0N3Z6ZkJZZ2RWRjJMTnEwbDlxcGVFT2JLSnp0TzFyQ09seFFoYm9rRV9ZdUw5Mnp5LVlfeTF5RjgxbGtQVzgySTBrdGNKVkI0MW9TcTNMVnFLeWFmbH" TargetMode="External"/><Relationship Id="rId82" Type="http://schemas.openxmlformats.org/officeDocument/2006/relationships/hyperlink" Target="https://news.google.com/rss/articles/CBMiuwFBVV95cUxOMHNJWGdad2RJLWdfci1sakh1dy0zNVBOenAxc05yeVFJWXZrSTlyVUY0VEpqMXBvT01ObTJEOVNMSXJiV0FJNHdqdGRqZ2xfTXRzck1iTmJOeVczb3BPZmktVHp0T21mcUlKb1loOGZuZmhCaUVIX2Z6elZtUzVoU2JTWVhoXzUzcFFydHJHUi1JN1JpcWtyLWJ1dEJKSG" TargetMode="External"/><Relationship Id="rId199" Type="http://schemas.openxmlformats.org/officeDocument/2006/relationships/hyperlink" Target="https://news.google.com/rss/articles/CBMilAFBVV95cUxQeHFjcUQ5TFBEQjVFSGVsX3RtUDJGenpiNkRyY2toN3JZRV9FNkhKMnZxTVBmdmZZd0pqTjNwb1ltYTRUY1pmeEcwbG16UUV3d0RCXzJSbDYwZkRVQkJ4Z1dMbXY3QTF6MkExVFdSOW50QndfdDllc2VxN045eEJfMlhqV3lNWC1QejQ1eDZXMHJVSTV0?oc=5" TargetMode="External"/><Relationship Id="rId203" Type="http://schemas.openxmlformats.org/officeDocument/2006/relationships/hyperlink" Target="https://news.google.com/rss/articles/CBMi2wFBVV95cUxNT2xaZncyQzI4S1NNeml3dW1TVHZyT2ExR1RSVkdVakJNRC05NzFzdGJlTVRrMUFNd01Jb1JTbXBsakZYNHBpdmtsQW1WNFhMX2dRMlNXXzMwQXJJTzJiZ0JpWWdSc2V6eXViSWhkUVZSUnlBOW1QcmREQjhCWmxYNFVaNzFJZFBKWjBDZFJYMUlRYWk3d241d3RCMTlZNG" TargetMode="External"/><Relationship Id="rId385" Type="http://schemas.openxmlformats.org/officeDocument/2006/relationships/hyperlink" Target="https://www.gelonghui.com/live/2698288" TargetMode="External"/><Relationship Id="rId571" Type="http://schemas.openxmlformats.org/officeDocument/2006/relationships/hyperlink" Target="https://news.cnyes.com/news/id/6636761" TargetMode="External"/><Relationship Id="rId592" Type="http://schemas.openxmlformats.org/officeDocument/2006/relationships/hyperlink" Target="https://news.google.com/rss/articles/CBMitwFBVV95cUxNWmxjTGJOQU1xenRjQm81Sm5LYWNxXzA5Q2ZmZ0pIbDFZNzl1Si1YaGpQZHJfbmFRVlhURHl4UzRsNjJpZ2VCRTRzZ3U0NDd0WnUzYXFqeGJPYWl5VVhoR05rLTl1dkRLOUh6Wms4a3NUbEZySzJyUjNwODN3ZkRwTjl4RktmVjZfaWd6MnVWS00ybFRucHpfYmN5OU5vXz" TargetMode="External"/><Relationship Id="rId606" Type="http://schemas.openxmlformats.org/officeDocument/2006/relationships/hyperlink" Target="https://www.cnbc.com/2026/10/24/berkshire-record-high-without-buffett.html" TargetMode="External"/><Relationship Id="rId627" Type="http://schemas.openxmlformats.org/officeDocument/2006/relationships/hyperlink" Target="https://news.google.com/rss/articles/CBMiggFBVV95cUxQb0l5dnFfdUxybkFnYjFMWUtiZFRVWVNieXI2bEJhSi1ZUDhfQmJSa3lDekl5bkQwcDRZTWdhQUF4cnIxc2U5aERBcmk3OTgyMUwtOWxYVTZ0TjhfcllPalFSLV9zTUVueTlhLUZPYThDdzlaeTVhR2QxQkNtOXJ6REpB?oc=5" TargetMode="External"/><Relationship Id="rId19" Type="http://schemas.openxmlformats.org/officeDocument/2006/relationships/hyperlink" Target="https://news.google.com/rss/articles/CBMingJBVV95cUxPN1hXazFyLVJwV2FGTUF4QklsdmZyMGlmenBVc284dXBxM3BNOEF5NHo1MEdTTkZFX2hpM3dIcmNGbHJDQVJmQmlfMGhRaU5WbHR1TDJyZkl6Q3U3clI1ckNqNC1waTdhaFBqa3haeXUySkpvSnBWSmNtNGFnenFuSEgyZUV5elRTUHgxWnBGYWZrc1o5cnNOb2tKS3dWMV" TargetMode="External"/><Relationship Id="rId224" Type="http://schemas.openxmlformats.org/officeDocument/2006/relationships/hyperlink" Target="https://news.google.com/rss/articles/CBMiYkFVX3lxTE9YWjRLU0hBV1JkWGp4elg3Q2x1Nzk4ak5PamlhZ21xUHdoYTVRRnpQRlJsNDFDR2lPejZNNk80a1dqVXZ0cGd0ZHhwZ1dvMUc5MGdmMjVfdXJpdEFXVlEyR1R3?oc=5" TargetMode="External"/><Relationship Id="rId245" Type="http://schemas.openxmlformats.org/officeDocument/2006/relationships/hyperlink" Target="https://news.google.com/rss/articles/CBMilwFBVV95cUxPb1I2bm4zelljeVc1ckotVzMtTHhwQmlzLW53VGhPc041cGxvdGFEeVdaWExWMEw0MHJSYy1xQjRPUERMS0ZHRW5qN1NRVFJhdy02Y1R1TVRlWk43YW1QNFN6WWs2R25yc3pQcC1fRXZRWGVRbTRNMUZlT184OVpveUdZTFJTNjZ5Rk9NYWp2RzFOVHVNbVAw?oc=5" TargetMode="External"/><Relationship Id="rId266" Type="http://schemas.openxmlformats.org/officeDocument/2006/relationships/hyperlink" Target="https://news.google.com/rss/articles/CBMicEFVX3lxTE8tRnV3R011OWw0WWhfVXNnakV6MEdfX0dsTktSakl3M0VCd0NxQUN0czhqSjE5TTFpLU1aN19ibklsenZTdTN2V3RvTXVkMFlHckplbXMtX3lWU0ZkSldpRFpfY0ppYWI2ZGI2UGxRaGE?oc=5" TargetMode="External"/><Relationship Id="rId287" Type="http://schemas.openxmlformats.org/officeDocument/2006/relationships/hyperlink" Target="https://news.google.com/rss/articles/CBMiogFBVV95cUxPa2hHdWtKdWpPSWVPZEVrOTA5Y0NkM2ZxenFZR1A3NlRDUTEyZktpemtlUUQ2d1NjODhVT05SYXFCemhnSm9YRW9fdmNwQW1kOEdUY2NiZEFJRnMwTEZzQzlmdVd5STFWb3FOWnZnVENWQjRLM2F2a20xdWxWY1hNSnJCbTU0ZFRtSC10LTBZZU40SVhSUURMeWwwZHRHR1" TargetMode="External"/><Relationship Id="rId410" Type="http://schemas.openxmlformats.org/officeDocument/2006/relationships/hyperlink" Target="https://news.google.com/rss/articles/CBMiekFVX3lxTE1jWWEzWVdXblBRaUdOQmY4dmhRRjFDSGJncjZxbGdYd2NDdDlRYWxDVGlpYm1mdlU5MzFOX1lSTHk5T2ZaQXlfc0p4SmcwYVJvdE9wcHp3SFF5VlRDQ1BrRE0zTmdfYnFhWmVNdXh3bFhfYlFyUzNVNTFB?oc=5" TargetMode="External"/><Relationship Id="rId431" Type="http://schemas.openxmlformats.org/officeDocument/2006/relationships/hyperlink" Target="https://news.google.com/rss/articles/CBMihAFBVV95cUxQNm1RcTlBQUV2WEE4WDM1WEh6NkNVSVdGdWpaMkFYWWxYODJKZEFfdUx4QkNRUWZIWjMyMjkzWnBLSkJqd0J0ZVFkTFY4LXdIRDJmNkpBczFqeElyVlgxSHU5RDRpT014TElZUVZxYzlpUWV6VVZuUVNRSS1kZVFFTEsyRmLSAZgBQVVfeXFMT3JhRkhTQm9udW9ObE9zV3" TargetMode="External"/><Relationship Id="rId452" Type="http://schemas.openxmlformats.org/officeDocument/2006/relationships/hyperlink" Target="https://news.google.com/rss/articles/CBMipwFBVV95cUxQNWR1eEhCSmZ6SHJLMjBUN2N2WXB1SzhFcGE1WElNRVdjekc5WjU2NmdVbktTN2NkTVgtVjlBUkNOQzdMaUFoZGc3aWJyZWFPZDVFcmQwc0E5V2RvNWl5REwtQ0lMaWpRQ00wVDdjY01wV1JlSGk3ZEdsYnVGdkZhTmxFZ1VNUlVVVWdFWlVMNGJlSFU2UW9USnJGNzl0Qk" TargetMode="External"/><Relationship Id="rId473" Type="http://schemas.openxmlformats.org/officeDocument/2006/relationships/hyperlink" Target="https://news.google.com/rss/articles/CBMi9AFBVV95cUxPak8yNzBSVXB6am9kdnZhRms0Unc2eVBHNkw3T3pfbU1EY3RSeU8tMHFwMEdwaDhfNk1yQ21LdFVEeUNnYjk3Z2lWVXdtUWZhRkJIWXhuYnFqU25UREx0TUM4VmlGZ2FVV2R6QWtyUWVLMjdNZW82b3NNZTJGTUFmbHJ3dGxzeGhiRWdudHRjZ19fLWtob2dZZkZTeU9VMi" TargetMode="External"/><Relationship Id="rId494" Type="http://schemas.openxmlformats.org/officeDocument/2006/relationships/hyperlink" Target="https://news.google.com/rss/articles/CBMiaEFVX3lxTFBnMHZreUhBb2VyZmhva0JidVc2ZWJ3blp3TW80Um5XZ1RuOFJkV0xpZVdpeWszVFNDdjhoYkY1Y1JVdzNidFZ4dTFwUkNCS3NPaHZXYUFHWUc0bVJKM3MzODVXb3VZWFVJ?oc=5" TargetMode="External"/><Relationship Id="rId508" Type="http://schemas.openxmlformats.org/officeDocument/2006/relationships/hyperlink" Target="https://tw.tradingview.com/symbols/NASDAQ-CSCO/news/" TargetMode="External"/><Relationship Id="rId529" Type="http://schemas.openxmlformats.org/officeDocument/2006/relationships/hyperlink" Target="https://news.google.com/rss/articles/CBMinAFBVV95cUxPVW91c2d5NHc5a2FWRXBqWktkSEVlTnQ4dzRiT1dYZzNoNUpjQ3dJMUduVzVScDVBbk9Ock5ERGVIRlJtUEQ4WS1GTnF5dFRjTTRKU3Q0RjVhVW13cGhWbmZVcEhuU0lzQ1VKTmJsbF9saWZQa1ZiSVJJRkVBV3BBejdHeUFPVlhhUDROb0N4YVhzdGdzUFNwV05ZLXk?oc" TargetMode="External"/><Relationship Id="rId30" Type="http://schemas.openxmlformats.org/officeDocument/2006/relationships/hyperlink" Target="https://news.google.com/rss/articles/CBMimgFBVV95cUxNem4yNlpTMWlMQ2R4bEYxR3pKN2c1andUQVdwSU9iVW1VVlJtNWNqd3ZEcS1WOUh2aVQxd3o1ZDNEWThib0JGYlBUbHgtZXF2UDR2XzFEdHBxZHlJWVJieFNzdWVMZFlONnYteXVqUHlPbkpOY0JNWnhKLWk1M1BnUFdqMjZDUUNtVmhIN2Jxa0ZxbWhCYUlmME1R0gFWQV" TargetMode="External"/><Relationship Id="rId105" Type="http://schemas.openxmlformats.org/officeDocument/2006/relationships/hyperlink" Target="https://news.google.com/rss/articles/CBMimgFBVV95cUxNSVJTZ0RRb3NZX2M5NmNNV0dWem04OEpBUEFCbGZqbGZPdmFiODFPa25pZ2ZLbktzNW0yTEdXQU4tR0ZELW9RUkR1UktmbHJjZlEzcWlXM3VGOXQtSUhFeHRrajJnVlhLWFJvQUdSN2pqeWxFcHk0VTFHMTB1T0ZjS190cl82NUZTNS1QNVRxbzNtcWZRcEhTX2l3?oc=5" TargetMode="External"/><Relationship Id="rId126" Type="http://schemas.openxmlformats.org/officeDocument/2006/relationships/hyperlink" Target="https://news.google.com/rss/articles/CBMiwgFBVV95cUxNU0J1ZF9RVzR3OXlnUGwwV1FrOVNHek0xdEhSMFdyN0VxakQyZHhXZWI5THExLTNTQTdjczVOQzhzb3hXdkE1dHBybmg3RnM4NHpscnA5VjBJRFU1MGVZLThsRXFlU2tMTHFkZXg0TE9UWVlENVA4NGQ3ODRtY1VNdzJqWVhYczVyRjgyaGZNZ090QXd5cHFDc2Z6bkZFdF" TargetMode="External"/><Relationship Id="rId147" Type="http://schemas.openxmlformats.org/officeDocument/2006/relationships/hyperlink" Target="https://news.google.com/rss/articles/CBMiigJBVV95cUxOR2ViRUVhSjhaV1I3UWtCNTYyVEpONzVIN1p6Ynl6c2xidW9ubDZIMkE0WVBGc19pSXVnUXJXZVNhZzJ1OGN1Qk5yOC1fTTNlT0wwTHI4OXJ5RGFtM2VWLXJSQnR2cTBoVy0zZEVJZkpVS1A5X3plVks1N2NXQkhqSlJDUXRSUDNPYTUzWkhrMkVsTHlTdUF4WGJPNXdybT" TargetMode="External"/><Relationship Id="rId168" Type="http://schemas.openxmlformats.org/officeDocument/2006/relationships/hyperlink" Target="https://news.google.com/rss/articles/CBMiugFBVV95cUxPcDhxY09QZmV0Y3NQUllDbEpWMkIzbTRBLWJKNnYzV1dneGpac0dtQVc0LXhJOW9TYlVRcGF6UG14UTNvQWFaM2hkTG5IYXQ5eHJMLUZ0WVVmSjExeUJSOEprd3p6OEFSYlpUNzR3b2piMVNMYlFMdzlYektWU3BZSEo0ZmRpU2RsQXRWVEsybEsxVGI3WGlrNHBuTFNJZm" TargetMode="External"/><Relationship Id="rId312" Type="http://schemas.openxmlformats.org/officeDocument/2006/relationships/hyperlink" Target="https://news.google.com/rss/articles/CBMilAFBVV95cUxQemNGUGNIMHk0TkdYMkN1Q1MzeEpXZjlmX1lWYUxTU01qZkpKYTNUR3hWYkNHZlgtczJvVmpfSlZ4clJpOVhtX3ZSS3dhVFBXSUlmYzlVZ3RRa0QyNG9YVVJpM2dtTG5nTjNOSmt6ZV9nQ2JxQkg0aVdZakVacGdVY0JFY3hUWHo2dTBWYnNsU3FVQ1h1?oc=5" TargetMode="External"/><Relationship Id="rId333" Type="http://schemas.openxmlformats.org/officeDocument/2006/relationships/hyperlink" Target="https://news.google.com/rss/articles/CBMiWEFVX3lxTFBGQ2NWWU15a2ZnX0VRWXZYczJ2UE5RemtrWDlMVmFpUDcwaDFNUlBjZkpKSDNkaEhGZTlhYU5mM1NGajFFaU96V1FjSy1KMVpNMFlIeUd4Rk8?oc=5" TargetMode="External"/><Relationship Id="rId354" Type="http://schemas.openxmlformats.org/officeDocument/2006/relationships/hyperlink" Target="https://www.gelonghui.com/live/2709310" TargetMode="External"/><Relationship Id="rId540" Type="http://schemas.openxmlformats.org/officeDocument/2006/relationships/hyperlink" Target="https://news.google.com/rss/articles/CBMikgFBVV95cUxQeWhsa1VSYXhEM3JSbUNSMEZWTEFqd3A5NGd5SFJWdEZoZmpTRlNzUmM1RVFYT3cwb2JrNzRPMUFfUHlETHI5S1AyajJJdmF0YW5XbnU3MzBGREZOREo4YUszYUl3b3Y1TEdsMXpTWmxqX18zNUlSS2RwcjA0ZkJ6SXo1ek1IcWlhVl9IU1lJTVJqQQ?oc=5" TargetMode="External"/><Relationship Id="rId51" Type="http://schemas.openxmlformats.org/officeDocument/2006/relationships/hyperlink" Target="https://news.google.com/rss/articles/CBMi1wFBVV95cUxPcFd5WVJ3aG1vdUVWMnRtbHFuaVhZZ3FHSG11LXc4aExqc2ViVmlIRkIwZTl0Q2hwWDZ6d3htdDg0SUhTamthbUk1M1UyV2EtTnVmdURDSlIyZ01pNkVJY0dyYU12UlY0bTRPWTR5VnZJS2NFVENUUUJvY1c0QndzQnlCUFZnNV9fX0JUWmNNcU1xVU1GbDBwcWxPcDVuTz" TargetMode="External"/><Relationship Id="rId72" Type="http://schemas.openxmlformats.org/officeDocument/2006/relationships/hyperlink" Target="https://news.google.com/rss/articles/CBMingFBVV95cUxOQk53endDb3JKN1M0enlpWW1IaFZPa1FiMmtrS3pxQUdDNWZuWjZaV25JR2RlMWNmUzE3WnZhZkt3VHduaWNQNS1OcjNVUl93WWZuVGZtYjdoaHBFOWtsVGp2MzFlUWl6MlBtWUU5anpSaWJXeU5UZEN5TnlCMHZEdVJXUEwzSnplS243YlJBY2NuRm1Ia200b3FEUUpGUQ" TargetMode="External"/><Relationship Id="rId93" Type="http://schemas.openxmlformats.org/officeDocument/2006/relationships/hyperlink" Target="https://news.google.com/rss/articles/CBMi5gFBVV95cUxQbnBUZTNwb0d4Z3gwZ2J2czhwc0VIQmFqXy1mVUhnT212c0V0S1BHRVRaOV9FdDdaa19rUWs5amdXUmNlci1SNkgtbFd0Y2U0NnFSUmRfTGE2eUVZZkM3OVVLMTMyZG1ERHJxbk5Nak0tVjJ0N19FcE1HY1B2NkJSSXJHZ01IU3UzdlFMWEw1WTZNU0l1OEJ4aWJmeXJZU0" TargetMode="External"/><Relationship Id="rId189" Type="http://schemas.openxmlformats.org/officeDocument/2006/relationships/hyperlink" Target="https://news.google.com/rss/articles/CBMiyAFBVV95cUxPOWs5S2pQRjVhTnNUUUJZdlp5bEpfQ21xSUdHbm9JR1VZcVFZcFhsTWNVc3pyZGN3eU1lNmxXTXFoV3JHdlhPYWRmV0p6bkNDdDkwWE5tODhjMldncVY2M2NiWUd6dFlvMHlYTVBaeFk2TFZmanE0anRyb2RVRGpya3Qwa1BkSmtaT3hFNEZCeEZ3STQ1cjcwTU1VMnNqaX" TargetMode="External"/><Relationship Id="rId375" Type="http://schemas.openxmlformats.org/officeDocument/2006/relationships/hyperlink" Target="https://www.gelonghui.com/live/2703699" TargetMode="External"/><Relationship Id="rId396" Type="http://schemas.openxmlformats.org/officeDocument/2006/relationships/hyperlink" Target="https://news.google.com/rss/articles/CBMitAFBVV95cUxNSXhFNjllamU3TlBVNHBOUk9tellaaVEyTWZ3UkstVkljTUZPeElURVhIQTNXZlRPMnRBUEtZUWk3cXJ3aXdNZHJRRFJhaVBobGpVZVgxQ0ZVU0t2d29WbHQ2dnk0T3FRaGxWaVU1N24zUGgyc2Y5dEtZQXRENHlOWmpnTmR5a0VSMnFTQzdIWXdHcnlVLU9qektYRFdGbU" TargetMode="External"/><Relationship Id="rId561" Type="http://schemas.openxmlformats.org/officeDocument/2006/relationships/hyperlink" Target="https://news.cnyes.com/news/id/6636794" TargetMode="External"/><Relationship Id="rId582" Type="http://schemas.openxmlformats.org/officeDocument/2006/relationships/hyperlink" Target="https://news.cnyes.com/news/id/6636757" TargetMode="External"/><Relationship Id="rId617" Type="http://schemas.openxmlformats.org/officeDocument/2006/relationships/hyperlink" Target="https://news.google.com/rss/articles/CBMixAFBVV95cUxQNkp5SkpQWTcySnpWVEtXVGN2azJZYnFERjh6WHJBR3NPcEE0TDNGWUVuQ0Q0WF91VnFFVkRYZjF1NFJ3N01XdzVTZzNXQ0F4NlVMMzVZY0JUNldtZW1CS0hSX3d4TUZVZ3lfX2xjeVF6UElWanluMXNOV05ybUdFb2YwbUJ2eGY3NkR0ZUhabWhaMGp5SERfajdZMzlUcG" TargetMode="External"/><Relationship Id="rId638" Type="http://schemas.openxmlformats.org/officeDocument/2006/relationships/hyperlink" Target="https://news.google.com/rss/articles/CBMi1wFBVV95cUxPV25qWDNCYk1NZXdoTFh6VUFQRGZoVzBxT3RTRHZRVzBoM3lUSjRsaHdrQ1czT1pJVmFXVmVTd3hQM2t2N193TWVIVVNwa0RkRXlDRTZpQVRYbkNOaUo2TkNiamtqaXhrQmlaSzJfekhfcUN2VjhUUmxpX3dkYngtQy00ZlhwYW5sQl8zUnc4OFNNa3ZwUnBjbzV2Rk1zUz" TargetMode="External"/><Relationship Id="rId3" Type="http://schemas.openxmlformats.org/officeDocument/2006/relationships/hyperlink" Target="https://news.google.com/rss/articles/CBMiwgFBVV95cUxQZDlmaVVfNXFJaHc4MEMtcDl1NllGWF9YbzdDQnNKdkd3MHlEUVE4NkJTZy12UTFXUk9tdGFFVzlmZHhON0JhZnVDUFZoZ3NVM3FUR1pya3kxZjViRWpQbW1qUFNXWlI5NW5EZWlPMjdvZEpndGlqUGJtLWRpVmhrNHN1MWFSNHpKcmNEVG1uTTdOOEMzcTdYenUteklwb3" TargetMode="External"/><Relationship Id="rId214" Type="http://schemas.openxmlformats.org/officeDocument/2006/relationships/hyperlink" Target="https://news.google.com/rss/articles/CBMiywFBVV95cUxQMk8ybXNxVktsRkRkZXBIZ091d3B6czhRNzNpcXdZallkTi11b2llRUtVblJPRjI4U0twREstTTRORmpGTlkzUFBmdUZUN005dWZhMzhFWGxxemg2SXdGZDlkT2t5OHFsd1MxRlNKd2hqQjI4TVlsMGU5NjdFbWRTNFNvY1J0M1Rra3pYTHd5cy1iZHBDbE9jU2NmeWhWT0" TargetMode="External"/><Relationship Id="rId235" Type="http://schemas.openxmlformats.org/officeDocument/2006/relationships/hyperlink" Target="https://news.google.com/rss/articles/CBMi8wFBVV95cUxOaUFhMGUxRXNPeDVmVjV2ajd5Y0VEMHQ3X3E1QVdkLWZYMnpOSjdqX281SjdCYmhkdXpRc1hSRXVoSkdweWs5OXVNa1NENHNpdWVWS25falJkM2FfcC1fUGR3alJKQ0R0QlU4eTFwZ0RVcVFFV1RqWkl5ZWNoV1dYZG1OeGRuZ05JUE11Q2ZjeHVhck8wRzFROFRHdGZIM0" TargetMode="External"/><Relationship Id="rId256" Type="http://schemas.openxmlformats.org/officeDocument/2006/relationships/hyperlink" Target="https://news.google.com/rss/articles/CBMilwFBVV95cUxNdzRRdlhpblJyMkU0RURXS0JFMnMyRW5WVUF5d2RIdEJId1BuemxGR1hDOUMyYTdyTjQ4M1I0R0x2bVIyM2RqUTNDeU5LT3ZTQjdaSUZ6NWJKc0ctYloydFlBUVF6ajE3ZnctbUM0TlNEUlhSZVhkQ0x6SDJVVUJsRmdSM3ZBRWRzT0p5NHlKc2EzazlLTWNv?oc=5" TargetMode="External"/><Relationship Id="rId277" Type="http://schemas.openxmlformats.org/officeDocument/2006/relationships/hyperlink" Target="https://news.google.com/rss/articles/CBMidkFVX3lxTE41dlAzbGVaQzNqaEpuZ1hTbjFjVXltczFmWmVkLTV3RFEycGtDbm42TDFLeVNnM2ZqakJKOTlnS01qZGFxQUk2dThFRkhqVzJjYVEyZHlYS3A2UFJSRjRXTkgxM3hMQkFIM09Gb09TOEhGOTJYSnc?oc=5" TargetMode="External"/><Relationship Id="rId298" Type="http://schemas.openxmlformats.org/officeDocument/2006/relationships/hyperlink" Target="https://news.google.com/rss/articles/CBMigwFBVV95cUxPS3YwSzZkQTBhYzd0bEZuVVlfdDZZTFpfc1R3a3Z4UmUwcm1XWUpFc05FM1RlVTUwZ2ZEY2c5OGxDNzE5bElSNzBpVXBJek5UZE5aZm53Ml9HSkxtZzRFUllMSkt5UHBFM3UzWW5BRFNZemI5SW1NRGdHNVQ2TFBtQ0EzUQ?oc=5" TargetMode="External"/><Relationship Id="rId400" Type="http://schemas.openxmlformats.org/officeDocument/2006/relationships/hyperlink" Target="https://news.google.com/rss/articles/CBMiywFBVV95cUxNVXhoZm85Q3Y5NklZRk8tUUJ6OGc3M2FNOWE0Z1pYWENfdmZVT0FUQ0h4SEJYcWc5THJjRjh3bW1xczhERElnNXpUVko0eEVZLVRLcWkwaTFDX3NBNGl2T1BnYldKVlFoZzltSlMyalVmMEJ2YmRrM19NN0lNQmZBNVp5THl1NERLT1BsMnA5ZXNkTXJUQlpReS1aNE5FXz" TargetMode="External"/><Relationship Id="rId421" Type="http://schemas.openxmlformats.org/officeDocument/2006/relationships/hyperlink" Target="https://news.google.com/rss/articles/CBMi1gFBVV95cUxNY1dwQzdtOXNrOVp1R3BPUld2SjZRdlFMbHViX0lsU2JpVGFKNWZOSmxtMzhTRjhKNklJNWlwaUJOUjlHZFh3eFIwTDZnZ3pxMjhXZDJhRlZZRExFUENYS0Ftc3JDaEpNU0hxblhqdWk0M2ZrUEtCa2dqZnRXQzVxR2V5Y2FhS0djWUVhN01DaGUyMnB4d3hqUFU1VUE4M1" TargetMode="External"/><Relationship Id="rId442" Type="http://schemas.openxmlformats.org/officeDocument/2006/relationships/hyperlink" Target="https://news.google.com/rss/articles/CBMif0FVX3lxTFB2aDJOcjNPVGIzTHMzTkkyczN2SVJvUzIweGdNVzZjWjdKN0dtekN4WkMtczA4RFdkRHlrazNSNEoxZkZCSzMtV3JRTjVvMWQwWUJhRlBXRHdWLUFnTkdTRjI3czlfS3pPcTl1dzFfOXVWcTBTU0xPNHpRTDJYbnc?oc=5" TargetMode="External"/><Relationship Id="rId463" Type="http://schemas.openxmlformats.org/officeDocument/2006/relationships/hyperlink" Target="https://news.google.com/rss/articles/CBMiwgFBVV95cUxQSDlScHhpN25HSUNmcjMtc0ZXUy14RHNwUUJCcTlPbmRLRnZRQ0kyN05JUnd5d1oyV1c3WFl3cGl2X240SEhxNXFOWHNNMTlvVnBqOElZUVdBR1NBZVNwa3JobkF6eDdtX3pyOWctRmJIRDJaRmlZZ0t1SkUxRkJUTmFRY0lOMDVXcGN1V1YwWEtNQU5IenRFeW44N1lZUW" TargetMode="External"/><Relationship Id="rId484" Type="http://schemas.openxmlformats.org/officeDocument/2006/relationships/hyperlink" Target="https://news.google.com/rss/articles/CBMinAFBVV95cUxQd1FvZGNOTk5tUkFpdjRuWXFKS1lLZG56aTV3VXFzZUtDMlp1blg1X3RaVHdmNXk4akF4VHFTT1BSUTVwaDEzMktOalFpUmJ5RF80OWF4RWFCeEQ5SER6ODNseEw1TkJNeEFpOWpCMHNwWGVJdVloTjdGaG5TUXdUMTVBbWUtdVZrTzd3OVFRZ2xsZkRrWHlTVXdEVjA?oc" TargetMode="External"/><Relationship Id="rId519" Type="http://schemas.openxmlformats.org/officeDocument/2006/relationships/hyperlink" Target="https://news.google.com/rss/articles/CBMiqwFBVV95cUxQSUxQREFOZU53Z2xPUmtfWUVvRUwxb3lvNXFOMDJ6MjR1RkJuNmJncUR1Wl9rSzlUNnEtRGY5VjRMcWxDcUZnVllyOVhBd25IYWdJVG1FMTU0YlBzNThUMTJOYTVjTDEzeEY1aHRxQU1PaVU5Z0ZUcVRrQVdNdTUzSXJpV24yOHlpaUxXSWlvSHRiSFlBeHVZUVNrMFFWZl" TargetMode="External"/><Relationship Id="rId116" Type="http://schemas.openxmlformats.org/officeDocument/2006/relationships/hyperlink" Target="https://news.google.com/rss/articles/CBMiiAFBVV95cUxNQTJQV2JvVlhSa3RmeHdxN1haczN3dXF6UFIxeXBfTFVEaVB5b2NJUUdUd2R3akJHWWpYQzcxUW0xZHlXZE5Wb0ExR2lfazczX3FZd3pwemlESzlrS2h4cnAzS0F3WU1ZeUo4SXRyMVdqd3JJYTlabWN5NGV3YUdnMTBVS09mQUt0?oc=5" TargetMode="External"/><Relationship Id="rId137" Type="http://schemas.openxmlformats.org/officeDocument/2006/relationships/hyperlink" Target="https://news.google.com/rss/articles/CBMixgFBVV95cUxPeWQ0UzE3NzBYTzhBRVNKQTludUl3Q2N4ckdqTEZmR3hUcmJqSHFiR0V2YWNLSXRWMmNIVnVNYTFZYWUxLW5iYVhKT1Zvb3pvSkJRd3FaYS1PT1EtUWVLbUxRRGx6dkktVE5ObjlXQ1BuczFqVWFBcHVWYzlOOWxQckYySVUxQ1liR25GSklXTHZNZ25taExUSExDcVV6Q2" TargetMode="External"/><Relationship Id="rId158" Type="http://schemas.openxmlformats.org/officeDocument/2006/relationships/hyperlink" Target="https://news.google.com/rss/articles/CBMiswFBVV95cUxQWXdweTVtcHc0TDFVZUMxN2I0NS1xRXFhQUFoNFNSVXpPUFRPWkdMMjJrcnlpYUR3NnVVT3pvc3FRMGZBb1hDZ1RmazBsbXVpYW9DeHdyTUVTTThXMjgxM3YtQVJPOEZiMkFMbTVXZDdJWHc5Nm9IUnZUc1o5QVdTdGY1YTl3b1ZwUVNTRHdtajZOSUJnSE03cG1WWGdhNE" TargetMode="External"/><Relationship Id="rId302" Type="http://schemas.openxmlformats.org/officeDocument/2006/relationships/hyperlink" Target="https://news.google.com/rss/articles/CBMifEFVX3lxTFAyT19wZDcwVmhjdDltYU1mcjBmMnZnTk9pWlo1NTFXMjFQVzE4ZUJucXdHeU5xcVFZc1lSeHZ3NnZmSUZUT0Z2bzFfRjhCNThXWjdMM0dPYlJkVXI4bGg1eHR4R0tPeEtOekRYLUE5amdkU1p0QS1IX1ZsUFc?oc=5" TargetMode="External"/><Relationship Id="rId323" Type="http://schemas.openxmlformats.org/officeDocument/2006/relationships/hyperlink" Target="https://news.google.com/rss/articles/CBMioAFBVV95cUxPcHRzS29GcjM2RFI2REx3T1RlNVRiMGlOcVVPNjBtNl9PRUJ2azRsaE5lZGpJRTc0S3JoNHJJTTAzVVUyYWY2Z0p5SDBGc2VfR1lUXzlqZW1ZZ1ZTZ0l4RzJqZHFUaVRtQUhrSGRyR3RJTkxJUld4M1owUXA3Z2I4TmtyUFZiYXdKVGZSek85TnFLdk1UV2JLdGs1RWRxZH" TargetMode="External"/><Relationship Id="rId344" Type="http://schemas.openxmlformats.org/officeDocument/2006/relationships/hyperlink" Target="https://news.google.com/rss/articles/CBMingFBVV95cUxOOUMtWm9ySWdKYzEtWk1mb3dFUGp3ZzItV2VxbldkODgwR1llN1R5NG9nMnZqNVJvN0VLSXdySnBDS0FDamJ6VUF6aU5EcHlQMHgyaWZ2eERLNjRleXJveWNGWFlWT3VHQmctbkVpUkxZNzQtV1RfR0tBeFc2UExmZUgxd0ZlVFBWY3V6dGZyUHBYMlZiWG94WDFUajdOUQ" TargetMode="External"/><Relationship Id="rId530" Type="http://schemas.openxmlformats.org/officeDocument/2006/relationships/hyperlink" Target="https://news.google.com/rss/articles/CBMirAFBVV95cUxQYm8yUUVkOEpqVThyY3FUNkxnSEVKT2tzSEpVVnZrci1yYjlKMlZtZHpxeHFYQmlYbzdkRmZzOUl6aGxJeXZNU0x4Ny1QUUtZbnpNc0RfazVMMDA5R0dCdy1nak5DekZMWEVtUTFacWtuWXp2Z2dLTFhsamRjUGRhem94ckVfcHZyalV2ZVVrNnNORnBIdmFPdEYwaVNRck" TargetMode="External"/><Relationship Id="rId20" Type="http://schemas.openxmlformats.org/officeDocument/2006/relationships/hyperlink" Target="https://news.google.com/rss/articles/CBMif0FVX3lxTFBVMThfUzVjRE9GaW5seFREUmFhdmtWZkp2SXdOTXdIN2w1emI5ZXoxUkRydlJKcXFnVDBydW11SmVvLVVpamlmLWZjUkhVWVR4dkthaHFuSFhOZFFZblBBeDQweXBxTVpHRVNWdzk3NTZGckl0VTRsSjRlTmlPeE0?oc=5" TargetMode="External"/><Relationship Id="rId41" Type="http://schemas.openxmlformats.org/officeDocument/2006/relationships/hyperlink" Target="https://news.google.com/rss/articles/CBMimgFBVV95cUxObjRCOVFHWFRBVlhfMVVrbVl1cTB5MG1NZkZpV1V6ZlJoLUF5RnBuN0JBTFJDeVg3MC1vdU5JbGZ1UndMT3VvU2ozXzhKVGtvMFVodEFQSlZzOXFfYmFPV2o2bG8xMjI4Q0h2N1ZkS1Z4RVJ2a1dlQ3NNTUNhZHVlSVkxcnRZNWRNc1kxdVVadkRQLVZodUtNcDJn?oc=5" TargetMode="External"/><Relationship Id="rId62" Type="http://schemas.openxmlformats.org/officeDocument/2006/relationships/hyperlink" Target="https://news.google.com/rss/articles/CBMi2gFBVV95cUxOc2VmZ3E2dTJkRGxGcERpeFJTd0g5S01ocDM3UW9KbWJpN01WTmlMS2ZzVndFTkdfS1p0Q1hydV9qT3p5OUpWT184NUpXWjk3OXJ6SXVRQ0JfT0ZtSVc1SjFzZk90MXp1dmh0T0tqbzZPWkRwUmhqMGY2cUJDQTdhLXhzLUF0T2FMNktLUGFSNFFmMHFodktrdDJ3SGpFQU" TargetMode="External"/><Relationship Id="rId83" Type="http://schemas.openxmlformats.org/officeDocument/2006/relationships/hyperlink" Target="https://news.google.com/rss/articles/CBMidkFVX3lxTE5EenNKX1FZQ0JQZE9EQm5EQjkzSkxiWEgwOXcxdnVMb3h6Z21vQjBDSkFGemhjUmdpRzgxMHdaOWItRnMzQ1BWX2VyRTZPQXBaSGxWNmF1VXItaDJQWUxvdkV2TFk3cTVzbGxtVGZkU0tWQXQwcXc?oc=5" TargetMode="External"/><Relationship Id="rId179" Type="http://schemas.openxmlformats.org/officeDocument/2006/relationships/hyperlink" Target="https://news.google.com/rss/articles/CBMijwJBVV95cUxNMTdsbVNDSHdRZkkwRllyNW5vcDhGZkdlbWo4ZGhEQUszQ3VQODREeFhLcENNYkxQV0R1dUtOVEZydGpGR214SHpUYTlLazlydTA1QUFnRDNVd1Q3RGxRd3cyc2E1TWxtazFVU056RHhzM29qRUFialJDc2NTWkRGOG5EcTJyaTBVT1I0Q2xDbVRUN2c1ZjdmNk1nbUJ6MF" TargetMode="External"/><Relationship Id="rId365" Type="http://schemas.openxmlformats.org/officeDocument/2006/relationships/hyperlink" Target="https://news.google.com/rss/articles/CBMivAFBVV95cUxOV1ZCWjRfYXh3T1JVTFN0Q2pYS2VEVHN2TC1GaVNodG54RndmcU1XZHdsZUVDajRuR2J6VWo5SDlKSUN1c3d0eXJPS1lnV0RmS1I3Y08tZ1cyTkhCbEFuWXFHaVVKLTFKVXlkcXQ0bEJERENpVV9SMEptSlpXWnpVaWhFTEVZNkFRYm53RlgwMTdCc1lTY0VVejhNOFlwc1" TargetMode="External"/><Relationship Id="rId386" Type="http://schemas.openxmlformats.org/officeDocument/2006/relationships/hyperlink" Target="https://www.gelonghui.com/live/2699170" TargetMode="External"/><Relationship Id="rId551" Type="http://schemas.openxmlformats.org/officeDocument/2006/relationships/hyperlink" Target="https://www.gelonghui.com/live/2725612" TargetMode="External"/><Relationship Id="rId572" Type="http://schemas.openxmlformats.org/officeDocument/2006/relationships/hyperlink" Target="https://news.cnyes.com/news/id/6636753" TargetMode="External"/><Relationship Id="rId593" Type="http://schemas.openxmlformats.org/officeDocument/2006/relationships/hyperlink" Target="https://news.google.com/rss/articles/CBMiT0FVX3lxTE9haWludkZGR2xyVlhmNk5tcHN5QkNqTEotY1B2MkQwRVF2V0h1akZoMjhpbTAyUjBLei01OC1nZkp1OXFSeDJJTENRZXAtMG8?oc=5" TargetMode="External"/><Relationship Id="rId607" Type="http://schemas.openxmlformats.org/officeDocument/2006/relationships/hyperlink" Target="https://money.udn.com/money/story/5607/9833556" TargetMode="External"/><Relationship Id="rId628" Type="http://schemas.openxmlformats.org/officeDocument/2006/relationships/hyperlink" Target="https://news.google.com/rss/articles/CBMiggFBVV95cUxQb0l5dnFfdUxybkFnYjFMWUtiZFRVWVNieXI2bEJhSi1ZUDhfQmJSa3lDekl5bkQwcDRZTWdhQUF4cnIxc2U5aERBcmk3OTgyMUwtOWxYVTZ0TjhfcllPalFSLV9zTUVueTlhLUZPYThDdzlaeTVhR2QxQkNtOXJ6REpB?oc=5" TargetMode="External"/><Relationship Id="rId190" Type="http://schemas.openxmlformats.org/officeDocument/2006/relationships/hyperlink" Target="https://news.google.com/rss/articles/CBMixAFBVV95cUxNOUs3dl93QUJBWGotQTFBcEJ2NEVCeGxJYWt6bTBiSjZ2d2xHaGZRVzRhXzd6b25BazNkT2pqUXlybXRUQUVfM0FvNDlINHZNczdDTjFKd3dJWUl4eXJmdG5NQmZYVkVJLWs5bDdGajFsVy1jNnVWaFY1TlhBSEVXNGp0MEp2WG1wNndXN2t0QUNFOXl1c1pad3pVZURJWW" TargetMode="External"/><Relationship Id="rId204" Type="http://schemas.openxmlformats.org/officeDocument/2006/relationships/hyperlink" Target="https://news.google.com/rss/articles/CBMi2gFBVV95cUxNellzM3FBUmxCNFR2QzR6c1liZFZlaXB6MWdXZmtRU3dsZHQ4bkczSXJzNlp1V1ZtOWFodzVjSEx6a2psM1BaaE1mTC1VMlVmbUxCem9sT0RuXzhUT1ctR1NDMEdmY1BwR1hiXzZDaER4QkYwbllwZHBGd01Oampad2lmblBkNVpKdGJhcGwxRE0teW94bXViaGVLb2JpaS" TargetMode="External"/><Relationship Id="rId225" Type="http://schemas.openxmlformats.org/officeDocument/2006/relationships/hyperlink" Target="https://news.google.com/rss/articles/CBMiygFBVV95cUxNTHNjTU9raHhwdUtpamJRODJFSk9pbHVCdDJoVUg1QzFBalAtaGxyZkFMT2VxcE1OSXhjVUhLUnVpb3RpVHJzajI4ZUc4d0FUR0NnaFNwVUxGbHMxMHl6OFZqSzVqSEM0eHF1UWxWUnEtcTZNUUtQUzlOekxuRlU2ZEp4b2kwU3lIUjFvRjZtdENsWWVuaHUwWjNCU3BRUE" TargetMode="External"/><Relationship Id="rId246" Type="http://schemas.openxmlformats.org/officeDocument/2006/relationships/hyperlink" Target="https://news.google.com/rss/articles/CBMiuAJBVV95cUxQWlRnaTdmazJ4N3IwcUtpSTFpZ2x0aEowUlhWWlBFRC1XVWxjWFktUUpXQmhxOTgweV9oSm02cUcxSmZGNmFlS1ltOWJoMHJvUjRfRUxhWGRXM2lCdTVYV1dTYTlFT1JsMWxGVUZfR0Z1VlNrMndzZnk4X2gzNTA1TXJVT2c4OHh4emZaZlhmbXZhbloyRV95U0pCbGxBQ0" TargetMode="External"/><Relationship Id="rId267" Type="http://schemas.openxmlformats.org/officeDocument/2006/relationships/hyperlink" Target="https://news.google.com/rss/articles/CBMiigFBVV95cUxQQktIUzVGUlk4c3FJbHd4MmZ0S19YV3VQZVVYSHZXZGlTM3k5ZlE0aWNrdHlYVUl0b0ZZeW5qVmw3X1UxX2xMNDc1ZlRuNmttX3Z4X0lPU1RMM0pucHgzWjFjSHktcWwwSVk4eEZ1X1NMYWFUVnM5c1NSVV9PSzRtVXhMVkV4bDdINEE?oc=5" TargetMode="External"/><Relationship Id="rId288" Type="http://schemas.openxmlformats.org/officeDocument/2006/relationships/hyperlink" Target="https://news.google.com/rss/articles/CBMivwFBVV95cUxOVEpfQ0lWbm1Lb1UyWHB1VGN3ZFNnUm9BOV9lamVxclhVeDFweEJfdDdrYVF4NmpMZXFrRWx2SEpXc0k2Wjl4OW1JaUlHWklTTkR5ZjFIMXZTNjBpb0JVOGVSeDFMYjBFTUhtUi1KWXBwY2w4ZXJlOHlzdzdxcFdjRjNEZXd0RnhWUE5qcTZCS2VqU1lDVDZuYWFheGl6am" TargetMode="External"/><Relationship Id="rId411" Type="http://schemas.openxmlformats.org/officeDocument/2006/relationships/hyperlink" Target="https://news.google.com/rss/articles/CBMiuAFBVV95cUxPUlQ1c25YeXJHZU5BdWUtc0Z5YlNHQ3pkYXl6MkpPNFh0SW9ZWFUzeGxxQjg4T2ZGVXgtUGdmS2ZoQmRsLWZzcWZtVnhReDFhX0pHNDFPWFFvck1PTnA2Tlgzd2hDU1BIZlItRng4VmIyaWcxU2hiajhFMUFVeGhKNmxLYWFDZGxpbm9EZ2l3TWlnMlJkZ3hRTi1FNjJyYV" TargetMode="External"/><Relationship Id="rId432" Type="http://schemas.openxmlformats.org/officeDocument/2006/relationships/hyperlink" Target="https://news.google.com/rss/articles/CBMirgFBVV95cUxQcTVKdTdYYy1LTUZhVUVtaXBzRHJXbWgtM1dqRHd0UzRMVTFZa0haNVdtMWo0RXJCcTlhQ3ptNkpRaFhMVWxQYk56RC02NTRNSUp2b1FqczBaSjVaUFhPOURId3lHYVNUdFFOLW9faTlGTUhDS3BBSjNYQWNLSTFrSlFZZE5lTEZXUk43bzJEM3Y4NF9jdGU2Q0pVa05ONW" TargetMode="External"/><Relationship Id="rId453" Type="http://schemas.openxmlformats.org/officeDocument/2006/relationships/hyperlink" Target="https://news.google.com/rss/articles/CBMi0wFBVV95cUxOQUxtVzhINjRUTXY5SzFmMzBfX2g3YUk1QVdDQk5zcjh6bTJNUDF5QklHQ0hwYmU2cmJqVUpIbG1rUkRyaklQeUZURUZkR3JmWWp3RDNoX1dhd2ZOVWFlRXkwenY3TW5PVFRsQzVHcVlBaWpobFpRUDkxQXlTOGNpbWN0aUVhalotYWtaRFliU3dqSGcxMC0zR08tLXI5d2" TargetMode="External"/><Relationship Id="rId474" Type="http://schemas.openxmlformats.org/officeDocument/2006/relationships/hyperlink" Target="https://news.google.com/rss/articles/CBMirgFBVV95cUxONmlRS1ZzVlFLeDNqTElqR0RXRHNGV1BiZThCdTVCVlFQc3NzeHpWa3NUUkFhMzA0eHR3VVFET3hyWjlXdkVEODFieXFFZldFeEt4eHY2WVlEb2tHaVNxdnljU2I1TFpkOERocXhXVTJwb3lYb3JYeFRNNjVQTXpSaDdTci1KTVVGc0w0M2JKVU9nbGNWZXVod3FSZXFhY2" TargetMode="External"/><Relationship Id="rId509" Type="http://schemas.openxmlformats.org/officeDocument/2006/relationships/hyperlink" Target="https://www.gelonghui.com/p/6040935" TargetMode="External"/><Relationship Id="rId106" Type="http://schemas.openxmlformats.org/officeDocument/2006/relationships/hyperlink" Target="https://news.google.com/rss/articles/CBMinAFBVV95cUxNWmNsVlFwR1hUTjBkX1o4Q2FhbWZ2VHJHb29sZWlYdmNBUFhKZXdEZnRybVh2WVVzSU12U0hObDVkcTM2bG5MZ01tckZ1ejhVZldIQlJ4cUpUQlpacGQzYzVRSjVQY0FySmo1Q1J2bmhvaHp6VEwyWDVFR0YtbGhIMnE1Q3VTVXlKUDVtOWlfU1pmQTBIMWMzcjZneGc?oc" TargetMode="External"/><Relationship Id="rId127" Type="http://schemas.openxmlformats.org/officeDocument/2006/relationships/hyperlink" Target="https://news.google.com/rss/articles/CBMi-gFBVV95cUxPZzkwYUZ1dWlQZEZabnM2bExPd3JmZU1zUTRzQU40bGY1ODljOUt2aER3alNmTzlld09SNG5jOF9MQzZwZ2doUGt6ZkMzRkZQRnhOUnlZOEVFUEFtNWMxUXVCNE14ZU9QMEw2NmRmVWhoNmxQZ21KSEpraUswSVR1MDN2cWtPZDJMOTNubDh3N0U1dTRWa2hXal9BckxfYW" TargetMode="External"/><Relationship Id="rId313" Type="http://schemas.openxmlformats.org/officeDocument/2006/relationships/hyperlink" Target="https://www.gelonghui.com/live/2713368" TargetMode="External"/><Relationship Id="rId495" Type="http://schemas.openxmlformats.org/officeDocument/2006/relationships/hyperlink" Target="https://news.google.com/rss/articles/CBMivgFBVV95cUxOYUdaa1RVcTcxcFRGcDdFUkFXckI2TVRNOThsQ3hHdmJ5OExjdVZUOGRPQ2pub0NIT09qeXpzOEUtUk1CaUlnVS14SU1FZzZYQ1hCaXlGLUZxcUZzelgxOHRXaHhlYURQRy1qQmJ0Z0NaNnE3YTZZQW5MeHN2eGpaUFdaa19ZQUtUM2FycnBHdDZhS0lVNlZiWGZoUlFTbV" TargetMode="External"/><Relationship Id="rId10" Type="http://schemas.openxmlformats.org/officeDocument/2006/relationships/hyperlink" Target="https://www.gelonghui.com/live/2646055" TargetMode="External"/><Relationship Id="rId31" Type="http://schemas.openxmlformats.org/officeDocument/2006/relationships/hyperlink" Target="https://news.google.com/rss/articles/CBMickFVX3lxTE5HNGNqRkZ1bXhGRDQ2WnNjS0JvNGktaHNxekV4SEx5dV9zVHoybjgweGt6SXRwS0xNMGZsM2VFb1FmeGVKVjhQRV9vSlZFeS1wMDJTQTRMbVdiM2VvY0pHUW1MYTNJV25obVNfREFCdVNNdw?oc=5" TargetMode="External"/><Relationship Id="rId52" Type="http://schemas.openxmlformats.org/officeDocument/2006/relationships/hyperlink" Target="https://news.google.com/rss/articles/CBMilAFBVV95cUxNcUFuM3gtWVg4bDhoaG9CUkVHVS1vNy16S1RubkZ4azE4eC1yLUdodHZKcWRzWTZnY19zVzN4a1ZsY0dyOVZuUVJzM3N5MVA2b0F6Qm0zajhTX09jWDJKOE90SWU3OVJYNG0za0o1b0RIbE0taUQwQnc1a0JtVVlheFVkTVlxTFlLcWY3SDlUbEIwMURB?oc=5" TargetMode="External"/><Relationship Id="rId73" Type="http://schemas.openxmlformats.org/officeDocument/2006/relationships/hyperlink" Target="https://news.google.com/rss/articles/CBMiqAFBVV95cUxOWE83MDAtd3MwSVJBT243ZVJjbXhra2NibF9yNUlNUlRweXNCNXE5NVd3RHBCQW9KSzA5MHNNNlZTaUlUWV90M0lidmRUNDNiZ21TSW9KcU9WQWYwNUhodXdWNXEzSURTOFZzb1V1YldoeVVXSjRnQ2dOUFA2NXRsLVp0UzRDWWFoaFNmWkdJMk50dC11RHRIeW9hLWZ6M3" TargetMode="External"/><Relationship Id="rId94" Type="http://schemas.openxmlformats.org/officeDocument/2006/relationships/hyperlink" Target="https://news.google.com/rss/articles/CBMiqwFBVV95cUxNc2VPUlJmSlhaY3RDNTlXVXUyQmFadWhVNy1sUGEyejBnZ2MzNlR0ckRTTlp0bGlLa3lfTi1oazFrN3E4TEp3MlJISzVoUm5iS3RiOFJrV241QkxHQ2Z6Yy1CTjhNWkE5SGpObmZnVGRCZkZfR0FxU1VfUG1fSWhXa1RoUW92RDRfSjA2RE5KRGx2NHd1VnlqdEJUOHRlcH" TargetMode="External"/><Relationship Id="rId148" Type="http://schemas.openxmlformats.org/officeDocument/2006/relationships/hyperlink" Target="https://news.google.com/rss/articles/CBMiiAFBVV95cUxPZnp0VmlSaS00dG1nOFlHREZRTDFNcDJwMjdvY2pTdGZPRDUtRlE5VjhzSXQwMFZfaTgwdE5xcG10TTBxejhrQ25MdXdnMFoySEpibzIxX0xPX05rNTIydFlOOUMxNmRfVkR4MWNESXBUbXFRYmtUeW03ODh4dVluMTJCNlllZFpt?oc=5" TargetMode="External"/><Relationship Id="rId169" Type="http://schemas.openxmlformats.org/officeDocument/2006/relationships/hyperlink" Target="https://news.google.com/rss/articles/CBMikwFBVV95cUxQRWU3Q0V4U0pmZzBQb1pvUVpDanVBdXJVWEJkMlNSOVZJdV9aaG1ZakQxZjJVN05BSXdBMFFFYVB0VjRyeHA0MzNneU9TdXhVMDVsZUJXYUk4UU1udkZVR3dhZExCSjZUcWtIY3hhdHM0N0ZIb2lMZzR1ZjVYRmFYWVN0dGVseVZrbkhzVGVEU3RjUTA?oc=5" TargetMode="External"/><Relationship Id="rId334" Type="http://schemas.openxmlformats.org/officeDocument/2006/relationships/hyperlink" Target="https://news.google.com/rss/articles/CBMikAFBVV95cUxPWHhHc0hYSUxEWi1qVWpxSDhEczJoTERpT3pLelBjc21JQk9VSWJTRzlDd2Fmb0FhcV84Vjc0eUpETDFNTFJwUi10dTgyUWJXWEFrRFg5UzhaN1p0Y1Q2d24wWmpIZV9GUkxRbEpEVWg1ejkzS1hQTTB5bXZibHRHWVlQRlJGdTRRa2wya2ZhNlU?oc=5" TargetMode="External"/><Relationship Id="rId355" Type="http://schemas.openxmlformats.org/officeDocument/2006/relationships/hyperlink" Target="https://news.google.com/rss/articles/CBMinAFBVV95cUxOeDRad0wtclZ2NmJWRnpFLUZCS240ZEFUM2dIYmMwQWwtcV92a25vcFVaMmlCRGVVREhOZkNZQnRfa1J3eWlfZWRSWGNEcnJsT1dOd3NvVHRkbmlBaTRaV0Y1N0R4NFNoakRpc1BUSld5SlBBR0hHU0FvUW9YbHp2WUZzcklfNWZSN1lQbEtCbGNfV05IbW5MWnFFR2Y?oc" TargetMode="External"/><Relationship Id="rId376" Type="http://schemas.openxmlformats.org/officeDocument/2006/relationships/hyperlink" Target="https://tw.tradingview.com/symbols/NASDAQ-NFLX/news/" TargetMode="External"/><Relationship Id="rId397" Type="http://schemas.openxmlformats.org/officeDocument/2006/relationships/hyperlink" Target="https://news.google.com/rss/articles/CBMimgFBVV95cUxPRXA0a2hSTXhjVHVGdUJsQjNkLUFsSWZhMmYxU3hWVlF4WGZPQU1jYlhtY0tHRkhsb2xsZWpnVk10TTBTc0lhbjRwVVpGMEl2aldMUHNQeFZVOTBZQmRQSENCb25uQmY0X04zNlZSME1xdTBoZDdDOWhKTnJhVDZ3ZW5LejVsUXhmSGNRV05NMFdONzdkMjdLdHJn?oc=5" TargetMode="External"/><Relationship Id="rId520" Type="http://schemas.openxmlformats.org/officeDocument/2006/relationships/hyperlink" Target="https://news.google.com/rss/articles/CBMikAFBVV95cUxPZ2w1VjdMR3lwZHJMOHFPd012QkdjOUVtak10YXp5THpLZ2NOQ1o5Q1J0OS1VREFtcXZTOFhtNjJMVUhjLWdoZlpmTWxTWHJ6b294SlZfS1hEdzI1RFpOWHNRdXU0UFhnRFh4TlR1UWVid09rMU9DTEdkTlhnN3lXTU9uSjFad19Mb1FOWlFSYm0?oc=5" TargetMode="External"/><Relationship Id="rId541" Type="http://schemas.openxmlformats.org/officeDocument/2006/relationships/hyperlink" Target="https://news.google.com/rss/articles/CBMinAFBVV95cUxQTm1ESVJlZTFrQ2dzbzNrYXVrSWxNSmpkMkNVa2FKMG1WZ0Q5WDJpemo5dnR4Vzl3TXNORk9pa2hWQWZfUDJxS0ljT28xeW9yN2JyODJFRUZDX21QSVM3Yi1SSkZhNE5yOG4zUEJ1V2VGazJ1M3dQVEZVU2tBY0E5N1BmYlgweGJRUHlXRlRUXzh3b3F1dHdnUUJ6UWU?oc" TargetMode="External"/><Relationship Id="rId562" Type="http://schemas.openxmlformats.org/officeDocument/2006/relationships/hyperlink" Target="https://news.cnyes.com/news/id/6636776" TargetMode="External"/><Relationship Id="rId583" Type="http://schemas.openxmlformats.org/officeDocument/2006/relationships/hyperlink" Target="https://news.cnyes.com/news/id/6636760" TargetMode="External"/><Relationship Id="rId618" Type="http://schemas.openxmlformats.org/officeDocument/2006/relationships/hyperlink" Target="https://news.google.com/rss/articles/CBMiWEFVX3lxTE9zak9ZR1lvc0hHSmNJMU1neG15OVhWZ25ULTluVG16SHR5c01GMWRKeWxlTWJIVDd2SzFGeVYxRTFmZ3ByaDljVjVGQXlzVktLdjA1NkVQTm8?oc=5" TargetMode="External"/><Relationship Id="rId639" Type="http://schemas.openxmlformats.org/officeDocument/2006/relationships/hyperlink" Target="https://news.google.com/rss/articles/CBMilgFBVV95cUxOUm9rTklSV3VUUjJLSGRMWUJackJyMXNSZVJBZm1jb0xYLTVyYnNnLVNnQlVGcmRYYWVVR2tlSVBhb3lSNTA1VmtXdG01ZU1ydTFVNzlXMkVfTVRhUlF6YktjOUQ4X1lEdndvUDMxdnZKYUFlNmJkdnJrMzdUUTJrYmtIelFPc2wzRWZ2SW1SWkwyelJhNFE?oc=5" TargetMode="External"/><Relationship Id="rId4" Type="http://schemas.openxmlformats.org/officeDocument/2006/relationships/hyperlink" Target="https://news.google.com/rss/articles/CBMingFBVV95cUxOaVZlWUQ1ZWZLcGk5ZGw2SEw4M1dFaW5mR25MZ2laaGNJY2VyVUFUZDl0NUJZaUVMYUFpVmZZakRXSjRDY0VQblZmZlFkbmFaT1RPZkl4Z1E1QUE3UG5yMFVrZkltcGZIcG4taHhIcXBLdEdfNjJMTWJjWmNzN3JFX25LUnFGOGVfWm9RTkZhSlRLQ0VmVElPb3ByTlFjdw" TargetMode="External"/><Relationship Id="rId180" Type="http://schemas.openxmlformats.org/officeDocument/2006/relationships/hyperlink" Target="https://news.google.com/rss/articles/CBMirAFBVV95cUxPUkI5dWtiRUY3V1hyNy1OS0lobkdEWUlyeGZ5MkFxQmdxUE53N0RyTzlPSHpxZ0lMZUljODZUakJQMllyUWxzUVFyZjJxSFlVMzFxN1NkZkxEcjNuQV96ZWctN0FOV0dhQUg4N3BYcEJnLXpQcjZqUFhRRGxTVFlBcXprZ0Z1YmFrSlM3ZFh4cGY0QUZXVzVVR1NwakU5aW" TargetMode="External"/><Relationship Id="rId215" Type="http://schemas.openxmlformats.org/officeDocument/2006/relationships/hyperlink" Target="https://news.google.com/rss/articles/CBMiO0FVX3lxTE9WenlXVmtFSTFtR3o3V1lheGFGQ2ZRbGZXZmRidW9iSTF6Znh0aEM5ZFVndWQ1bWd0cmlN?oc=5" TargetMode="External"/><Relationship Id="rId236" Type="http://schemas.openxmlformats.org/officeDocument/2006/relationships/hyperlink" Target="https://news.google.com/rss/articles/CBMirgFBVV95cUxQYWZuLTJVelJiN2hGeW5tYU4tc2g2c281Vm9QOFpVQzB0VDBPTDNOSjRBb0Zac1M2MjllcGdySXpoT0pNcXpKclZocnVFeFFGLUNvemtKdzd0VEFxZHlNMTUzRGsxUEtGanhISGNsS2NwUk9aaXJkWFo3QkwwajZ4Y3FrZlBlUzdUMVV1d1lpclBaWVlQVEJ2anVoOHNZLV" TargetMode="External"/><Relationship Id="rId257" Type="http://schemas.openxmlformats.org/officeDocument/2006/relationships/hyperlink" Target="https://news.cnyes.com/news/id/6595668" TargetMode="External"/><Relationship Id="rId278" Type="http://schemas.openxmlformats.org/officeDocument/2006/relationships/hyperlink" Target="https://news.google.com/rss/articles/CBMisgFBVV95cUxNbmdTWnN1VDFxbUdhc2wzLTloNGgtTkwzMEw5Sm4wT3dhZ0Zza1hkaXVHTmR3RVdWYUhtaG9pdWdiMzI0OHh1YUxnbTZldlBrT3h2NnNFaGlGczlFUi1KdEJQVFFSRTN3Sk9EczlMaTFhMU95RWRyUzNvNHlqVjFPeWc4SW5oYVJqYmlUMzMxMkdUYmFwdk1TRHQ2VktlNl" TargetMode="External"/><Relationship Id="rId401" Type="http://schemas.openxmlformats.org/officeDocument/2006/relationships/hyperlink" Target="https://news.google.com/rss/articles/CBMiwAFBVV95cUxOQzYwYl9YU25xVVlUQUhGY3FJT1ViU0lZanNMeW5WcTJnM3ZkdmNRZGk5eHotOGVUYmtZNE55RmE2eWN0U3NiOFFJQUZQVVNnd252R0oxYjNoX1ZOSkJYUy1Bdl8zTTdhYy1BaWF3eVJhM2c3eDZ6TE5SeHYyLXRnck12YkkxMGxGY2tmRTN5QjF5TWpjWDNoQlVCRkZuS0" TargetMode="External"/><Relationship Id="rId422" Type="http://schemas.openxmlformats.org/officeDocument/2006/relationships/hyperlink" Target="https://news.google.com/rss/articles/CBMikgFBVV95cUxONUpGVjZFSloxYmZuU2FZdzNGb2hSOFltZzVTaVN1WENOQW1yT0lPc3MwUl83eUlDcHhvWkFaTXZ5cWVXellJZjFQek85d0t4R1BTd1Q3SVBKUFVfV1dCdVdqMEE3XzFNZHlmNGxJVzc5Q1VCcTVQQXA5YldVYlY4ckhFRVRIdF90YzdWUk4wb1FXQQ?oc=5" TargetMode="External"/><Relationship Id="rId443" Type="http://schemas.openxmlformats.org/officeDocument/2006/relationships/hyperlink" Target="https://news.google.com/rss/articles/CBMi0AFBVV95cUxQZk0tam5heVdqd1pYYTc1TF9MOVFsQ3M2Z29zTnBVSTV6ak9tVWRzNXc1MWZsd0RieFVTUUQ0NWxDM09oQVo1SFFtMWZGQk1XaDdSaEVURFd1WF9XNGs0WW9reUlkLWx2NXVDNzNLamwtN05oRTJLMU5ESzQ1Tk1UZGZMNlFQV2lqVDBmcGdGOHpybTNOR3ZyaEUzVVdqNV" TargetMode="External"/><Relationship Id="rId464" Type="http://schemas.openxmlformats.org/officeDocument/2006/relationships/hyperlink" Target="https://news.google.com/rss/articles/CBMicEFVX3lxTE9mNklCYVEtQUpjQmpqQndJN0hMNnViblJPQTNZNWJzd3pLb3Z2OHlZTkRKNS1FWGQ4cUhpSENqNzUyaDhUcjlfclppelMyTTg0Z081YkhlOS1STktUbFB4ZzVPTzRuaVRCdTl5VG9yT3o?oc=5" TargetMode="External"/><Relationship Id="rId303" Type="http://schemas.openxmlformats.org/officeDocument/2006/relationships/hyperlink" Target="https://news.google.com/rss/articles/CBMipAFBVV95cUxQdlBIbVRER3NIV25XUFpXSzdwcWo5cTBMMGpOSEJCRHpVQ3pyNl8wcXg1RTBNSzdIQTk2S0VERDZBZDZROThuOTNLU2VsMzJZWWhOR1Nqd3VldUgyWS1XNFdvR1FIbXBVcWNkU0RwNEVHck5SUFA3Q21Md2pXRDUtdnV2SGdfRVNOSmNZTEN2eGc3RU91ZTVROEJudDU2a2" TargetMode="External"/><Relationship Id="rId485" Type="http://schemas.openxmlformats.org/officeDocument/2006/relationships/hyperlink" Target="https://news.google.com/rss/articles/CBMickFVX3lxTE52dFllc3N3TmFVX3VmQ3FUQ2xGTnlmcHFWQ25ZZHZEZ3ZuRm9Yd0dEamE0ekFlamE1VXFSYWJTZHNhNU1xbXRVTFBGaG5LZGpPM2FITk0tcDJsLTdBb2w2ZUtOOXRXODNyekk5Y0xHV1lMUQ?oc=5" TargetMode="External"/><Relationship Id="rId42" Type="http://schemas.openxmlformats.org/officeDocument/2006/relationships/hyperlink" Target="https://news.google.com/rss/articles/CBMi6wFBVV95cUxQTEpPb0J0MXk3X05VbloybW5hNUNreldXb3hNRlhHSkhLVndiUk1xSFJaZEdhWVRhaXdDdmxlTWZUelYxNlhKbzBoMG5rcVdSSE45VVdjanY5N1NMUVZDNExRQV9mUmthNy1qX3ZLTUEzQnpmV2tXYS1DVkIzZVV3NU5GZl9EQ3Bjb3lQZ1QwaC1KVFUyZmgxLXRzWGl5OG" TargetMode="External"/><Relationship Id="rId84" Type="http://schemas.openxmlformats.org/officeDocument/2006/relationships/hyperlink" Target="https://news.google.com/rss/articles/CBMikgFBVV95cUxNNXBFUTBuVVZyTkt4VEs0VDg0aGJQNjdQb0NXQkFjZzVlRmprel9hcWt6R2tzTkwzUnRsbHF3MElXT1BJWnIyT2h1QVBNcF9fNjBfSFUzdjFJWlg2THNMNi0zbkhuNXNDUG9rZ1ZYX1JFMGExQWswUXY3YjdBZDRaQnlGZ1lZRUFsZ2tHLV82WGNkUQ?oc=5" TargetMode="External"/><Relationship Id="rId138" Type="http://schemas.openxmlformats.org/officeDocument/2006/relationships/hyperlink" Target="https://news.google.com/rss/articles/CBMingFBVV95cUxQd3pOOHJGWjJZdXhzWXJxQjExdWYwU3dwR1RlbzEyWEgzT3JDUmNxWFIyMVNJa2tWaDYzdWxqZ1JHRnFRU1pERnR6Y05wdGlkUjM2NEpSekVHVmM2Sy1HYU9vMTV3NW9reUVxYi15eENsYVE1OVJJMWZLb2FPZlRORHo1RjB3eTFyWDJiWktHZ29peldLS29vdUt1clJjQQ" TargetMode="External"/><Relationship Id="rId345" Type="http://schemas.openxmlformats.org/officeDocument/2006/relationships/hyperlink" Target="https://news.google.com/rss/articles/CBMiyAFBVV95cUxPdGROTi1ISEVrVndzT0ctb2NMcjh5TE8xWUMyaW1pSjVOcnhfYmlrTjljZlo5b1N6NzVFT1U4eHFjLUJZUGdqN3pQRm1JNTROZXhTNUptMEJ5a3dnM01fQmI3cFpmdjJVZ1E0cXctc3lvOVFTeE9xWFJiTDNac0s1R1NMV1RqOEdwVmFoaXA1LXJiQ3hPbXdXYUpSTGpNa3" TargetMode="External"/><Relationship Id="rId387" Type="http://schemas.openxmlformats.org/officeDocument/2006/relationships/hyperlink" Target="https://www.gelonghui.com/live/2699772" TargetMode="External"/><Relationship Id="rId510" Type="http://schemas.openxmlformats.org/officeDocument/2006/relationships/hyperlink" Target="https://tw.tradingview.com/symbols/NASDAQ-AMAT/news/" TargetMode="External"/><Relationship Id="rId552" Type="http://schemas.openxmlformats.org/officeDocument/2006/relationships/hyperlink" Target="https://news.google.com/rss/articles/CBMioAFBVV95cUxOa05Zb0pvZHdiMDQ2V3hMem5XTGJMRURIekVKWks1ZE1qQlhab0FGb3JKdUdCNlhRVjNKM0xnb1N2MW90YWpBZGM0NDNnQ2xsalJ5RnJWVzNKWXVCQ1Y3T3hIUTVWMUNveUE5RFRHZXB2b1lqVDNsT1VCYThYSFNseHNqMm5XMHhLQXp2SUhTc09lSEVxMkFqNy0tUFlIMG" TargetMode="External"/><Relationship Id="rId594" Type="http://schemas.openxmlformats.org/officeDocument/2006/relationships/hyperlink" Target="https://www.gelonghui.com/live/2727630" TargetMode="External"/><Relationship Id="rId608" Type="http://schemas.openxmlformats.org/officeDocument/2006/relationships/hyperlink" Target="https://www.cnbc.com/2026/10/24/nvidias-role-as-ai-financier-faces-first-big-test-as-neoclouds-take-market-hit.html" TargetMode="External"/><Relationship Id="rId191" Type="http://schemas.openxmlformats.org/officeDocument/2006/relationships/hyperlink" Target="https://news.google.com/rss/articles/CBMipwFBVV95cUxOdWoyNkM3ckZ6WFZMcVk0RkJSZVlqdVBnTU5jNjNOYU91aUdfMmhvRzJfbFBCSXFFNEZxUjZ2dGxqaVRGbk8yVG5NZUtsN2x6TWZGWXBRUjZMclBJY2QyNU5mRC1wa0E0SFRmTmoxVjkxRDRTQ2FoX3RVNkVoUWNEQ0R6TXc1RnFDMFF5M2RIdUp6dDNWSklBWGxCelhXUG" TargetMode="External"/><Relationship Id="rId205" Type="http://schemas.openxmlformats.org/officeDocument/2006/relationships/hyperlink" Target="https://news.google.com/rss/articles/CBMihwFBVV95cUxQU1MxdmZESm10MUtxWnFQdmNZN3lFNUlZVG1YZlZObC03dW9DQnpvLTV6N1JOc0U4ZXlrOGhHM1MzdjJVN0I5MkJKTHoweVFRN1ctTFd2ZWtRVnRsdkI4OENzQ1JJOTZFLWJyZ3V1ek5SeXNjM1pSdjRIOVdQUDVnV1hlQmR4QzQ?oc=5" TargetMode="External"/><Relationship Id="rId247" Type="http://schemas.openxmlformats.org/officeDocument/2006/relationships/hyperlink" Target="https://news.google.com/rss/articles/CBMirgFBVV95cUxNLXBaMkcyQTUzUnFPa0I4OWduRXRBUnFNTml3TXhfV3BpbVh5Y082bVRFdkFSWG01aF9aWVJGWXRHMFBrNl9Hdk96eDFzYkxqRTVSVEdPQWY4SHVEcGY4TTNTWHA0NWxtdUlHeDRfY25oR0JVX3FvMDVGQnl1LUpEQUNKajRFUktOWGp3WE1XLVhEbmpfOUlsS2FENUd3d0" TargetMode="External"/><Relationship Id="rId412" Type="http://schemas.openxmlformats.org/officeDocument/2006/relationships/hyperlink" Target="https://news.google.com/rss/articles/CBMinAFBVV95cUxOeUVZNjFnRWZBNXJpNV9xM1kxYzZfcTN1MUs4MjRMZWR3elNUSHUzb0g4bEdROWV6VmFWQ09hdHh4OS1GVnBxN0JWSjlqX3EyazFHODRsUW1lYUFHQlZHejJvQUhieDdWYkV4dHRsWkR4M2dsM1JHZ0xoZWRFb3JZTkN4cjlxOTc0Vzl3TUFQR1BBaVRhazFDb3BOZjY?oc" TargetMode="External"/><Relationship Id="rId107" Type="http://schemas.openxmlformats.org/officeDocument/2006/relationships/hyperlink" Target="https://news.google.com/rss/articles/CBMimAFBVV95cUxNLVI5ZUxIYnY3SjlJVEI5SEZrZkE4dWM4RjVsNGNRbVlDUDZ1MjZRbF9IZC1STkJoazJvRnhSb0kyUGdaMGxJUEduMWxDTlBIak1YbHRSbzJUSXlaTmlUbTBnTjRCaUtxMkgwelBBMlJxMlQzYjhpYjM1VlpJS0x6cnpBMjlDWGt3NGJid3owTEg3R2N2U085TQ?oc=5" TargetMode="External"/><Relationship Id="rId289" Type="http://schemas.openxmlformats.org/officeDocument/2006/relationships/hyperlink" Target="https://news.google.com/rss/articles/CBMiqgFBVV95cUxNUjZCNl9Sb1FEOGtwMlNvWXBYZW1sZm5zUWRpbEVaU3F6cmlJRk5RbmJmeUVEQm42RE9tOWVXRlhDOUNydVBUT1AzNGtTVlI3bWN4YnBmZ3RLcXJrM2hYX1dvMVNWdzhhUE9RdzQ5VVkydUQzWURFblNnYTVCaGstLVdydnRWQk5RVnFDZ2xuN2JNSnB5ZHZHb1FCbDRONn" TargetMode="External"/><Relationship Id="rId454" Type="http://schemas.openxmlformats.org/officeDocument/2006/relationships/hyperlink" Target="https://news.google.com/rss/articles/CBMi6wFBVV95cUxNQm1BZVJCYjVZajJsTEtXeFFXVU93Y2NpQ1cwbWhiN3l5d2tpNERrdF9vVUUwV0t2cE92dnd2NVJQRzZyN2xsVEQ5emtpNXlBNTNMX1B6cnAzM3F1bndYNTZfY0s2T3JmSGdYTHlDRmx3WnNhbWc4Yl90ek5rcmpqbW1NQWJ4WTF1aS1INU1HMjJpZF9aRGpsTkQxRUVTNV" TargetMode="External"/><Relationship Id="rId496" Type="http://schemas.openxmlformats.org/officeDocument/2006/relationships/hyperlink" Target="https://news.google.com/rss/articles/CBMikgFBVV95cUxNS0ZpU3FhSlIyeGRURGtON0htMWI5TWU3ZEdYd3RDWWYzczVZU3c2NXVxS0YydURCc2dGRF80Vmh5RWt1OVpwOW4zSVc4bllySklDVV9HRjVVVERndnBsaWYxSTVianR4YlFFdVhURlRVS2NyTUtxTkJOUFZZbGdCN2lJRWRwNHNmZThKNFBlTTUwdw?oc=5" TargetMode="External"/><Relationship Id="rId11" Type="http://schemas.openxmlformats.org/officeDocument/2006/relationships/hyperlink" Target="https://news.google.com/rss/articles/CBMimwFBVV95cUxOMTFnaktUVkdwb0JjVFdFNjB0UzRRR3JLc01MYTlLUjBRZHdhMUozTm5NT2lQTFlNcWFnMEloVVJlUXpENXAyTWZ4eVlBbGc3bWJTaGtwckJJWVRqNmY1bVE4ZnJPbHREa0lGTWtQMDUwaVBsaVl0bU9RV09QTHdsOHVqc1dIcTJDcVVVMzNzREhkVUlJSE81WjlhY9IBoA" TargetMode="External"/><Relationship Id="rId53" Type="http://schemas.openxmlformats.org/officeDocument/2006/relationships/hyperlink" Target="https://news.google.com/rss/articles/CBMi2AFBVV95cUxPZ0VWSEhDLXpvam9LRGh6QVNQa0pHdVFYSkdlTnM4SGRraDFSaml2ZFEzZDk0ZzBPTWh5bVNqZ2x1aUd2NUl3UjdqYkl5WU5abS1maHY0SXNUOUlaSlZadk1hUFRXQVZBSzdjallSX0dBbmZXcHJMcEp4WUVRR0Q2VDFwRXRMUV9PenlRaXdvRnFnek8xZXpWT05uYzY4dm" TargetMode="External"/><Relationship Id="rId149" Type="http://schemas.openxmlformats.org/officeDocument/2006/relationships/hyperlink" Target="https://news.google.com/rss/articles/CBMieEFVX3lxTFA4NWJqRGFkbFd2VHBGWlItWWJPdVRNODdaYV9Bd3pWaHpMN29TaGtZTjN6dXR6ay15cjl5ZEFmam9VbFdCS2pPR2tsYV91OUUxU21zRER0V0xaOVpVZmhGVXdsZ2ttT0FheE5MWDRicTAwZ1ZRZWRiTQ?oc=5" TargetMode="External"/><Relationship Id="rId314" Type="http://schemas.openxmlformats.org/officeDocument/2006/relationships/hyperlink" Target="https://news.google.com/rss/articles/CBMi2gFBVV95cUxPMVdaRHFkejhKYUdQYU1nUkxRcG40b1ljMEE4d1JBb0ZhOTlRQWJuU3I5eFVTS0lvRFBudDh1S1ZXRTRzSGQ4RVNMNmxoOG41Nlp0U3NOVjdvTDlfOW1lTUtqaC1mNEdtTWVpVVVRRllkakhSSzNxM3dkazUtUjdVbjV1ZUlzb2Z3Y1lYX2tHMi11YVRPOEthaEU5NmpxQX" TargetMode="External"/><Relationship Id="rId356" Type="http://schemas.openxmlformats.org/officeDocument/2006/relationships/hyperlink" Target="https://news.google.com/rss/articles/CBMiekFVX3lxTE1Fd0YwTEVhTjFYT2x6QmNyRjQ3dUdjckxNWGdYd3ZGRHhFekNRNTAtTUJzSFI2cWlMeDEzaU1wOVhNQktZeTFHYU0tSDh5RGwyTWdVSmJMaEZGR3djbUxOb0NZWkpCQmdfNXpacmFtdm5oSkFIQU5meHlB?oc=5" TargetMode="External"/><Relationship Id="rId398" Type="http://schemas.openxmlformats.org/officeDocument/2006/relationships/hyperlink" Target="https://news.google.com/rss/articles/CBMitgFBVV95cUxPajUwZ0VwQTI3d3AtNVJaankweDZFX21iYThTb2hpUjBKWTZjSFJOME50R2hKLUhvazFSWFAwOXVGMmF0WVBocG94NjFjcWtSUmZVX0dsR2FHeFJfbVlfRVdiX0g0cHNEOVBoZE9JcFdxUFpHOTkwYmM1cWNfWXg3YTQ3WHhPOTJpeFMtOFBhRHhUSzdxZkNLWHU4bVFDN1" TargetMode="External"/><Relationship Id="rId521" Type="http://schemas.openxmlformats.org/officeDocument/2006/relationships/hyperlink" Target="https://news.google.com/rss/articles/CBMiggFBVV95cUxNd2lyWlVaLXI2aWg5SzBzblVuMGcxSGVDM2tuOTE3dzNDMk90dWx2MzdEZnZKWTJOTHFjX3ltT1RlLThZcjRNelJrUGtERE5XTV9kS05sNG1KamhFODhtaERXS000Ykx2VEk0RDMydUJHUENVdFhEVXVWd2Zxa3dFVVdB?oc=5" TargetMode="External"/><Relationship Id="rId563" Type="http://schemas.openxmlformats.org/officeDocument/2006/relationships/hyperlink" Target="https://news.cnyes.com/news/id/6636758" TargetMode="External"/><Relationship Id="rId619" Type="http://schemas.openxmlformats.org/officeDocument/2006/relationships/hyperlink" Target="https://news.google.com/rss/articles/CBMilAFBVV95cUxPWDdvaGdYc2dIU1RQWlUtMjdOd0RBRTg0SVpEYlhsclRJYUNCNjFscWFsc2pWOG5ibGlSa0FkVHAyWHNpSDlmSmVCVHAwY2JnUGxRMVZEbWw5SDBUUWxlWTdBdlNYWVJISktxdFc3NTZOcDhTSkVBNU41TXNhTkFNcUVER1VWVHo2ZFpwWXo2ZTAtS1lh?oc=5" TargetMode="External"/><Relationship Id="rId95" Type="http://schemas.openxmlformats.org/officeDocument/2006/relationships/hyperlink" Target="https://news.google.com/rss/articles/CBMiigFBVV95cUxQczhZLW84MjR0NmNrcVE5LVRvLW1LTm5xMDJxaUl6cXBfbERFV3R1N1ROa0p4RWExbkZuOVJQT19nWV93RWdJamtqNVY2bURoeUFUczdBY2J3eUJEVkhBTkE3dXNaUG9WYzdtVmdJSUhtSDlyRXR6b2JETU9zTVAzdDkyMmNFNTNTSGc?oc=5" TargetMode="External"/><Relationship Id="rId160" Type="http://schemas.openxmlformats.org/officeDocument/2006/relationships/hyperlink" Target="https://news.google.com/rss/articles/CBMi_AFBVV95cUxPVWgtNXI3a3hsY0Rrb2FKbnA2RTE2MmtNTFBFQmx2dXExdnBzT05udVFKd3ZOVGU1WVppM0taWEp0clZEeTJBZXpjQkRfMHhfQUtkSkJ0a2d4SzI4aVY5R1RRSkF6WnNkd0VodkN2ZFdBdE93Q084ZS1FVUJYNUNEYTB1UkM2bHJDZ19QLVU3MFRsR2tLSmdfV01jYzRtdk" TargetMode="External"/><Relationship Id="rId216" Type="http://schemas.openxmlformats.org/officeDocument/2006/relationships/hyperlink" Target="https://news.google.com/rss/articles/CBMipwFBVV95cUxNdm5SakdXMXZHeDlIazl5VXJfUlY5VldNaXdnLTBTd29wWllWTkFEVlgxV1RzUmxJX2lqWVlNRzMteFlUVS1ROTV0ZV8teXBKRGtaV0FfNGlVS2NDb3dsVmV2THIzTmNVUkFsNjBYUWNwYnExcHZ0QjJCLWY5VDJtb2JOV2UydVNsN0RCOG1Lal9ONllxeG1xbXFkODdycV" TargetMode="External"/><Relationship Id="rId423" Type="http://schemas.openxmlformats.org/officeDocument/2006/relationships/hyperlink" Target="https://news.google.com/rss/articles/CBMi_AFBVV95cUxPVFFIT3ZHNGhjaGRrU2hBaTIzSkQ5MWhiUXhJdndGTDRaVzhzT0pZU05fVmxLYlkyaE90YXJfSTBuRDJSWW1RV3AtUnk3YkFLZ0lYaUd1QkRORXJDNGFTeGtFcjVmYlh5MG1kMzBtN0hVbkdOdkhSS0lDSnQtMmtpQmFCWHZSQjVlU2o4azNPOEo0M1RRX2JRS3J1SmVxT0" TargetMode="External"/><Relationship Id="rId258" Type="http://schemas.openxmlformats.org/officeDocument/2006/relationships/hyperlink" Target="https://news.google.com/rss/articles/CBMivgFBVV95cUxPMGRCR2gtay1KbnBfLUUtckhseGhaanZQU2pRam5scE52Mm9MbjdqTXNLeUthaXd3RnFUcVhuOWlDMXFmanphX3N3VGxSc29xd1B4RWZtOHNmaTh3ZW0wR2R0Q1VfNHhacW1PMlVPaEJKV0h0dkdFNzVDbUlQSlVpcXpGOUFmejVORk9KSUE0Q3llQzU4OTdHMWdISmJVQj" TargetMode="External"/><Relationship Id="rId465" Type="http://schemas.openxmlformats.org/officeDocument/2006/relationships/hyperlink" Target="https://news.google.com/rss/articles/CBMi6AFBVV95cUxOTURUWEdkNzJuOTM2U0lMMVRYREtfQkhvellxR2E5QmxJNHdQdEpaS0RzMFU3dkFUbXFLUlBtQ2M5TF95RElucHhzX2poNVZYbE5XajVYRUtPYkxzVUhhc2p0T09iZVNzTWRySzFLNm5kMGJPQmg0Ymtxc2pnTjZMaUdkZHBmUkx3Y3dfUU1HZDFTOE9lUHBZVW93c21sU3" TargetMode="External"/><Relationship Id="rId630" Type="http://schemas.openxmlformats.org/officeDocument/2006/relationships/hyperlink" Target="https://www.cnbc.com/make-it/2026/10/25/travel-compatibility-questions.html" TargetMode="External"/><Relationship Id="rId22" Type="http://schemas.openxmlformats.org/officeDocument/2006/relationships/hyperlink" Target="https://news.google.com/rss/articles/CBMiW0FVX3lxTFBTNzRpUEoxUGR0MkdUWkFld0xOblN1SEh1U3VnQWU2dDkyaXVta1NzTUhiRU8ycXlpeXZNUTZCd1N3VmhHLTdPQ1RsdUJvUWNnc2ZfTnpCbEY5a0U?oc=5" TargetMode="External"/><Relationship Id="rId64" Type="http://schemas.openxmlformats.org/officeDocument/2006/relationships/hyperlink" Target="https://news.google.com/rss/articles/CBMimwFBVV95cUxOaVF5UWJvS01sTy1mcHcwdjltVWZCcTdDNkV3VGxXLVYtOHo4ZW5la0x5YldrSmtTN3ZrVFFqeDZOT2JaTl9MWnRPU3Z4M1RyQXRPQnRUODFobExXQXhvS1Q1Vy00WFo0MnR3Q1o5ZlNPeWo1Y1U5YV9qNGNQS3pYcERWdDdzOGx4c1BhREVBSGM4NFpvUU5TNDNwNA?oc=" TargetMode="External"/><Relationship Id="rId118" Type="http://schemas.openxmlformats.org/officeDocument/2006/relationships/hyperlink" Target="https://news.google.com/rss/articles/CBMitwFBVV95cUxOdUNZWjdnUDRDZ1B1M0M2Rjg2bU5GWFZhdlFQZjB1MlBDZkd4Z2QxV1NRNy04d3RHcjFXdFJZdlBrNURDSEdudmxjNHZ2OGpjOXVLRHFEYmMtOVNfVUNsbjc0RFNXSW5XcWtPTm02Y0hMR2szQW5QUDFwcFNNRjZNMkZqbXBHVVJCdjJLNG95ZC1XRlU5dHVsbXM0SFcwel" TargetMode="External"/><Relationship Id="rId325" Type="http://schemas.openxmlformats.org/officeDocument/2006/relationships/hyperlink" Target="https://news.google.com/rss/articles/CBMiiAFBVV95cUxPdHFWS0RYMzM1TGhld3FtVUlEaThkb1hwalRiWWdEalJXaXJYc2c2ZTR1X245OFJDQUlxS3V3LU55cXFRR2k0NERUVmR6QjY1WWtteE5qMnZGY1BLMkRwTUlyUHRqR3ExV090MVhqa1BVR0dQa0ZpUzRRekt0dW5nR3NPcmNoTG9z?oc=5" TargetMode="External"/><Relationship Id="rId367" Type="http://schemas.openxmlformats.org/officeDocument/2006/relationships/hyperlink" Target="https://news.google.com/rss/articles/CBMi8gFBVV95cUxQbEdPNVRrREFlMTB2TVRESzdibkZreTNJSlRtQlZ5YXNxU3QzbTRQeFRuNDlCMDJvNS1vdExzRXVwTGdKdTd2azAtaVd1aTRUNVF2NWM3SGVlcVdTS3lDc0tIRWNQOS1oWkFDcEJiN3ZremtQdjBxRDNKNkI4Zllic2hzYU00UE1SOC1pcFIwTU1aWjc2dDlYdXdQV054Rm" TargetMode="External"/><Relationship Id="rId532" Type="http://schemas.openxmlformats.org/officeDocument/2006/relationships/hyperlink" Target="https://news.google.com/rss/articles/CBMiR0FVX3lxTFA2eG5fTFJiSVpGVm9scW1ycUIxWEt0a3A3YzFPRVdvampoaHNia3c4SjdVRjU1ZFdwMUtuakd2RlNLdFpwblp3?oc=5" TargetMode="External"/><Relationship Id="rId574" Type="http://schemas.openxmlformats.org/officeDocument/2006/relationships/hyperlink" Target="https://news.cnyes.com/news/id/6636763" TargetMode="External"/><Relationship Id="rId171" Type="http://schemas.openxmlformats.org/officeDocument/2006/relationships/hyperlink" Target="https://news.google.com/rss/articles/CBMiqAFBVV95cUxNTHNpdVplVDR5WkhTV3FWT0hXdmxEdHZ5T1ktTUdKRWIydTJlRFVNZDBBYng1U0RINTd6b1hQVHZISUUta2ZFa2pkQWFHVExrbGc1X25TMEJVUXVFdzNQekRNNHFUdlNkMUVIUHZYQnpLSGxubHlESU1aVjNMNkIwWUhiTG4zUHNkeGVEckk4Uk9zOGNaaXJCUVhPajUxQ0" TargetMode="External"/><Relationship Id="rId227" Type="http://schemas.openxmlformats.org/officeDocument/2006/relationships/hyperlink" Target="https://news.google.com/rss/articles/CBMi7AFBVV95cUxQSzFZUE5RbDVJUEZ3NEJOV3dIZmN6U1RPUzdkMDlkWGszQ1B2NVlPeXd5SnJZSEpUM3NoWmxkeUdTdGhHYmFlUVVuNHZXdTI5b0YzZFkwX1EyRGNFQzAxbUpFTEtuWUJhLVZKbjRxQ3JPYnVMSE1hWUx5TERKN3ZqSzA3V2Jrc2xMOGhKWlcyRDJxT1ZHVUd6NVdBNkdmQl" TargetMode="External"/><Relationship Id="rId269" Type="http://schemas.openxmlformats.org/officeDocument/2006/relationships/hyperlink" Target="https://news.google.com/rss/articles/CBMifEFVX3lxTE1LNmV6eWpKdzdmUko1RlJUS0hGMDVLalFmbGV4aWh6am9KMkRDb2kyVnBHYmJua3p0M3lJam5uR01CMVBZQUlNM2M3Rk5rREhSaHJpdEJhQmFBMW9qZmVla0FIeFpCNTVYeXlfTE9BQjlUZThRV0J5MUgyMXo?oc=5" TargetMode="External"/><Relationship Id="rId434" Type="http://schemas.openxmlformats.org/officeDocument/2006/relationships/hyperlink" Target="https://news.google.com/rss/articles/CBMimwFBVV95cUxPTnpSRHhWX1BFa213MnIxbTZ3LWd3WjdPYThCbUpGTFhUVUtNck04eWtKOC1ROWdYZkRfM3dVQUstMklzRzRwelFBSzh0VkMtT1NTeEpIbVVrM0wxTTgwempYYnBKSTJXbVFNLXNRdFA2LWtkTWRGS2R6VGIyVmVpR2VTeEFMSXllcXB3ME9DbS0xOHlWdTN2d3JyTQ?oc=" TargetMode="External"/><Relationship Id="rId476" Type="http://schemas.openxmlformats.org/officeDocument/2006/relationships/hyperlink" Target="https://news.google.com/rss/articles/CBMi2wFBVV95cUxOUS15ckRkc1VKWWstYjdFOWZnbmlTWE9pQWNhZ0swM3hzN1VDSzJpX01tQU9wT1QybVVWc2tSbTRuQjN6Qm1DT0NIUlFJQWc0SElvVWZXdHY1djNTYWZEU3Bxa0U4WDNOMFpjN2NuQ0IzT1pUZzNkVGJMd0V2TmV0TVlOaWVaQ1ZwQldwLWJ5dFlOR0taTl93LVBWZFVSV0" TargetMode="External"/><Relationship Id="rId641" Type="http://schemas.openxmlformats.org/officeDocument/2006/relationships/hyperlink" Target="https://news.google.com/rss/articles/CBMihAFBVV95cUxOQk1kSHd4c2cxeWlrMTZHNnJkRVBiX2hlUzNsbExpMXVNZlVCMmtvd0JuT0RSMUFmSG90X19ldVR0TDhZbWZoQ1lFZXRLOUkxdkc3YW9zQ1ZVMUZzVkdrOEZhWlBVNENoQmtwNXNZVkhYSnZ4bWFYTTltNHdISll0d09YVGs?oc=5" TargetMode="External"/><Relationship Id="rId33" Type="http://schemas.openxmlformats.org/officeDocument/2006/relationships/hyperlink" Target="https://news.google.com/rss/articles/CBMikgFBVV95cUxOc3BiMWEyZUtlLWVtZDNzLUJkcjJQS0hRUzlQYWlSdnFCZElpMWsyMUpNTzlheTRXUk9POFhqUDJ1WHFxaTJQUTRWRlNGTGVnbnZVRnk1V3pORmFHbEstWDdrLUprWkxtVFZiX1BmRFFNWnBWY3lmNjM2V0xMVXdZaHhDVEdkTElhQ0FwQWQxVkdjQQ?oc=5" TargetMode="External"/><Relationship Id="rId129" Type="http://schemas.openxmlformats.org/officeDocument/2006/relationships/hyperlink" Target="https://news.google.com/rss/articles/CBMiowFBVV95cUxQOTBIeXRBZjJQNWt3c3J2WFA3UVBQZ3dyQzBxOXVrVlFwdGp2X2dRX1NWZmJPekpEMkttaDl1OEFGZjRHZ080QXZ0YlN3TnV0TXJ3blY3bi1hSEl3bVJsWUgtMG85b1p0ZjNCZEtmM3RpUWJ1blhBOERWN2g3SExEMm9fOGIzSVVmZkJ4SXVmYndYbmlRZE9pbkcxN2FYX2" TargetMode="External"/><Relationship Id="rId280" Type="http://schemas.openxmlformats.org/officeDocument/2006/relationships/hyperlink" Target="https://news.google.com/rss/articles/CBMinwFBVV95cUxQbHdLSmFJVjJzQzBEMVdZVmhXVUdwclU4cDRtajgwU2FfTldBMHBUTUZMRkthcTlWVGZwZEtuQmVxS3FpM1k1ZDR3NG5UY1lrRmFQRXByTHZFWWhTWjZ4bVRkZzRUMTRpaXRQMFk1S19NdkkwUXVSTElla2lCeERyeWp2NktPV1hST0twWVQ5MWpnZVBBYkpGaks5NVgwRk" TargetMode="External"/><Relationship Id="rId336" Type="http://schemas.openxmlformats.org/officeDocument/2006/relationships/hyperlink" Target="https://news.google.com/rss/articles/CBMipgFBVV95cUxNcEdqdUd0VW1YcGNzLVBfTWxyTzhUYkpFOUVrbHkzcGV2ZFBPWVBPU1NWUFNYRzRfZkxlMml5ZDJkZVRNenhrRFFNaTRLampWZEVma05mRzBfc0stcU5ZSlZ0YlVzaERQLVNXLU91NmdQMDdKbGRTWVVkYS1Sd2JJZGFkdFJXdkpLVFhzYU9MWkwtMUxFZVhVbWthWTdFRW" TargetMode="External"/><Relationship Id="rId501" Type="http://schemas.openxmlformats.org/officeDocument/2006/relationships/hyperlink" Target="https://news.google.com/rss/articles/CBMimgFBVV95cUxNOVQxTkpwekE2ZDM3YU1qcTJIUGdNc2xxUVRqU3JXTjQtVk1OMVBuaUx5WXpETVBLMjNobjdTWlhVcUZaLVhDYU4zWHhrdmFQTHNwZUZUeXNnbE5qWVVqWXcydHdtMTBIb3Nmc2NNRWdvRUNEN1lDYl9XZlBIYTN5cjNWNnYyaWRYV2VGSlJKbTB0T2pwRk9Ra0lB?oc=5" TargetMode="External"/><Relationship Id="rId543" Type="http://schemas.openxmlformats.org/officeDocument/2006/relationships/hyperlink" Target="https://news.google.com/rss/articles/CBMikwFBVV95cUxON0pWLThkWllqVTRvcVRMY1NVeUN0UVNxa08tNkRhbzQxTUFlaTZON1BOYkh4bDEtaHB4X2d6dHk3VS1sVDhYMEhhZ0IyMVpjTXJjWVJ3WE9ZTDdWWG9paC1zdHZpbFpFNVZNTk9aYXhQRnRtWVlXRE0tZ2hOaDFmc2RIQUV5aTRBbEJaaDNsWUNxUXc?oc=5" TargetMode="External"/><Relationship Id="rId75" Type="http://schemas.openxmlformats.org/officeDocument/2006/relationships/hyperlink" Target="https://news.google.com/rss/articles/CBMirAFBVV95cUxOLXVGVDNMaDZqNEpBMWgzY2dQeUQwdzBfZlBLbmhWXzZZMjllRnNRVC12RUlPRFJVNnhyMmJ1NG1PemwzRnMydTJHamZpaHlLVUpFQWpfMzJWNWFVcnRHaWo4LUVDVjROYUdUNE0yTy1RdFpkS3dVWHJYNjhKQVZPak9iODA4OXBVaUlIWHBKRzJ5VmJTc3hPODJjalNmdE" TargetMode="External"/><Relationship Id="rId140" Type="http://schemas.openxmlformats.org/officeDocument/2006/relationships/hyperlink" Target="https://news.google.com/rss/articles/CBMimAFBVV95cUxQWDdCbklQanBQMkJ1YXBzR3hWNnlHM1B5ZU5aMDk3ZGpYR0o4X3IzN09WZDNNbmVLRUt1UHBBX1hxRTJoM2J3WE9EenZpT2pkeHZBekdwdlZmekhwaE9tMjlsRFI3WVFsTzdQbmZ2ZHg3QWhsZUYwWlhPRTQ1WEhSVzJHM1hvMlE4UVc1eEdVUElxSHh0SUozVw?oc=5" TargetMode="External"/><Relationship Id="rId182" Type="http://schemas.openxmlformats.org/officeDocument/2006/relationships/hyperlink" Target="https://news.google.com/rss/articles/CBMiekFVX3lxTE1fMjdPaUVQT1JpQ1BqVlc5REU5ZnpUdFVlUTRhbEl2Z1BiSEhVdW5CbDNoNVhwRFBodklzbkJES1pBeWhNQzhROXdHWGdMMzB6VUpKbm1QQlFYdWVhWE4zY09qQmI2Z1BrM2swWWlyNWFHT2J4Ml9oQnZB?oc=5" TargetMode="External"/><Relationship Id="rId378" Type="http://schemas.openxmlformats.org/officeDocument/2006/relationships/hyperlink" Target="https://news.google.com/rss/articles/CBMiqAFBVV95cUxPSy1hWm45Z2dwWENZcDBxYndGZVVfa3dBNmRjUV9DN201emhxcnhwR0NicVJlQjM2VVJPdzlYWHUwT2NIVVhPLXhYZWJTRkJleU5vX3lfM2lNWHFrY2RxNDVkQkUwMFliOGFFcHF2OHBvaVp3ajZZTWdGMm5TRDJvWTZUb20xT0lUN1BTM0tKaG1lY2oycXNZTDYzZnBOWD" TargetMode="External"/><Relationship Id="rId403" Type="http://schemas.openxmlformats.org/officeDocument/2006/relationships/hyperlink" Target="https://news.google.com/rss/articles/CBMiowFBVV95cUxQbTVfWTlmaXVNOGJJang2T0JzRWU1bTNUenNhQy1Qc1pQVEt6dmhGYUM1ei1HWWh4U1pVTG94dGo4dzFNbHJXY2NhRXVoN2ZLU0pWemowazRVbDBxZFJ3TUJnQUR0UGJTOVl4Y2RKUE9vc1RMZTVFdWszOEJCU2x5MXB6Q2dIcnBhNEw4MFI1WVFOaHhzSV80OXNaR1J6OG" TargetMode="External"/><Relationship Id="rId585" Type="http://schemas.openxmlformats.org/officeDocument/2006/relationships/hyperlink" Target="https://news.cnyes.com/news/id/6636755" TargetMode="External"/><Relationship Id="rId6" Type="http://schemas.openxmlformats.org/officeDocument/2006/relationships/hyperlink" Target="https://news.google.com/rss/articles/CBMiakFVX3lxTE1wMmNqamJabjlJbV9EYzg0SzNMcGl3RkZrT01PMlE2Yzl3SVlxalhxdWZYRG1oWTFCSFBpQUV6S3RlZ2pXM1lBQkRSMmt3VWZ2ajZiVXlUQnRPWUZTRWQyV3hLYnVCVEdpc1E?oc=5" TargetMode="External"/><Relationship Id="rId238" Type="http://schemas.openxmlformats.org/officeDocument/2006/relationships/hyperlink" Target="https://news.google.com/rss/articles/CBMiiAFBVV95cUxQcGl3RFlpanRXV3NtSHdROUNXZENHXzdOalotcWZFWGwtQ0JVS3pBa05CRzVFRnpqb29JT1c3Qkhpc2FfY2ltYS1Sb0c1bmUyYmZ3YlBkRnVMVVRQazdOM3NIS0haWkxXT2xZX3c3NzE5eVNjNGFmVFh4X2ZCaXJsWEY3bVNPYXhC?oc=5" TargetMode="External"/><Relationship Id="rId445" Type="http://schemas.openxmlformats.org/officeDocument/2006/relationships/hyperlink" Target="https://news.google.com/rss/articles/CBMiqwFBVV95cUxNUHFmQ2M2TUNjSlNWWjNBMzJQNTlBQlI2UXhIRnk3Sm12MVc4Q0FvSTQtOGVXOTRQUUZKMXl6VHc2ckxyRWZBMGRhdlNFZW1vZnlOdTBNSUc1LXNuQUZBRS1ReXNrOXlnUWttMENXeEE2Ry1YblVLdkM5TEZCMzlzODNFamdxclBXZ08zbHlURHlpV2ZLNHJiQmwyS2dham" TargetMode="External"/><Relationship Id="rId487" Type="http://schemas.openxmlformats.org/officeDocument/2006/relationships/hyperlink" Target="https://news.google.com/rss/articles/CBMivgFBVV95cUxQZlFuLUVrcDBYSldwekI0NXNIWE5aVF9YaXFpRS1fZkpRZmFPVHZ1d3ZwVEFGWU1US3BwRlBpRDVHdXAtSm16bEEyalhUVjQ4djVBUGdTRmxtWE9JTmt6VG52VDBNSExQZEw4QjVjXzM1dVBzV3N2Smg1X1lsc2l3Q3FxN24xYmRQOTlSeUlpNTgxUUg0VlZlWlpvSzVjel" TargetMode="External"/><Relationship Id="rId610" Type="http://schemas.openxmlformats.org/officeDocument/2006/relationships/hyperlink" Target="https://money.udn.com/money/story/5612/9835212" TargetMode="External"/><Relationship Id="rId291" Type="http://schemas.openxmlformats.org/officeDocument/2006/relationships/hyperlink" Target="https://news.google.com/rss/articles/CBMilwFBVV95cUxOaTlFd0NpNHo1SDYyNjE0bHhfSktHTHhZeEszU2FaOWRHcVJpcW9ISDVCRWlqLTJQUkRtS21DNFdBUVZYQnRkR003WkVyLTZZNzFwLUZKYUJYRWhDSUJiNk5jUmVzSmxReWhObTMwVFNwVlpQRHRjRlJXSWowZVBSeW95MVA5ejV4RDcwWGJsX1lCa1NiY09N?oc=5" TargetMode="External"/><Relationship Id="rId305" Type="http://schemas.openxmlformats.org/officeDocument/2006/relationships/hyperlink" Target="https://news.google.com/rss/articles/CBMiqgJBVV95cUxNRjhJcmZtSldNOFRiVHFyOXpUaXNCNWhKcGx3SHg0THFxVUFhRDREQm5oTXpOS1BVcU9GT3BMWW1NVWJJbG81eEI1WktfVlJvcEh3VXY0YUxsS2t2bGRCUDdjbDJoVktnd3FuRFItc2lZWTdQVzNWTl9mUmdnV2ZtMzctYXg5UjlhVUxkY21POF9YaUpzTzRHVnVQQldIZU" TargetMode="External"/><Relationship Id="rId347" Type="http://schemas.openxmlformats.org/officeDocument/2006/relationships/hyperlink" Target="https://news.google.com/rss/articles/CBMinAFBVV95cUxPWVVUQXE5TnJMT1Q4X0NuVEN3bDMzbnpXTGk3VXIwSnAtc1ZLalplN2VHTkZNNTdkY1BiUHBwQlRqenZqdmFkQ3IxUmZxRW1ZRHV4bExLU0VRd1N0LTJGSVo2bXpJVlp0TmJrTkVjWjVpa0ZCdXUyeERpUnh5MldGUTl4bVVsQlNVN0QzallhX1FBNjVKTG1NMl93NTM?oc" TargetMode="External"/><Relationship Id="rId512" Type="http://schemas.openxmlformats.org/officeDocument/2006/relationships/hyperlink" Target="https://tw.tradingview.com/symbols/NASDAQ-LRCX/news/" TargetMode="External"/><Relationship Id="rId44" Type="http://schemas.openxmlformats.org/officeDocument/2006/relationships/hyperlink" Target="https://news.google.com/rss/articles/CBMiowFBVV95cUxNb2tqWFR3WXEybklhT0YzSlI0TlV0aXI1M3R0RzR0VXZGMGpJaTBMdWR3Q3RESEFSR3lhYTlGLUs3ZzBCQVVjbTBfMTdKclFVMVEyWmFuZE45UGRuUk51X3hDX293QXBsVE1qa3dWbFgxRS1NdGRnTmVtN0l5N21zeUl6S3dpT0l1SE5GeEp2RWgzWXY2cldob244U1poeG" TargetMode="External"/><Relationship Id="rId86" Type="http://schemas.openxmlformats.org/officeDocument/2006/relationships/hyperlink" Target="https://news.google.com/rss/articles/CBMijgFBVV95cUxNdVVSWFhyVkFlbHN4RmlZMGFja0VHZjRpVFQwdUQ0WkxXQkt1R2tvQWRCMVM4STA0X3ctbzktNUtadnZTUnBncFRNcU5zSC1IemdDMllGczNTTDRiMmZNY2xnYVk2Ny1XYTM0YUR2Tl8zUGktWUNHcmFGak53N1lrOEtqeHpfSm1rT2pZWTBn?oc=5" TargetMode="External"/><Relationship Id="rId151" Type="http://schemas.openxmlformats.org/officeDocument/2006/relationships/hyperlink" Target="https://news.google.com/rss/articles/CBMiowFBVV95cUxQZ3JKS29adHJkQ2RTVlpuSDZSZDNpZU5DRzFMVnJTZDFKNFloVWRmU255aFNKSTR4Sy12LWxfdkJTNDdqdHU5SG85dDVtS3c3R1ZLN3VWMVdyd0U2c0hiX1lCMmFrRWplQmlHeHNXTENoRVZyRmpJekZIeEx0UzRPR0pNanB0ckFtM0gyNmNzRElILVFERF9zRHQ0SEIxeD" TargetMode="External"/><Relationship Id="rId389" Type="http://schemas.openxmlformats.org/officeDocument/2006/relationships/hyperlink" Target="https://news.google.com/rss/articles/CBMixAFBVV95cUxPODQ4M05kLXhSb0ZUYXE1SGU0RlQ1X2dzazN3LVV2azY4dkJpUHFITlQtbDVfWldnQnhya181NDZHalVjQVhsSWxfQXZXWWNlUTBvZ0luQnVnZUN0TnZxRVE3X21iTE9KOGtpZWowRjA0ZEdNOFpWR1FTeENZTWVuaEtsZ0ctZVVUa2lkMVBRZnVjUDQ5aWd2eWNRbmVyWk" TargetMode="External"/><Relationship Id="rId554" Type="http://schemas.openxmlformats.org/officeDocument/2006/relationships/hyperlink" Target="https://news.google.com/rss/articles/CBMiX0FVX3lxTFBiYk45WUVORm8yWGFvMmp0bUR3ZHlCMG4yM2JIMGVnNkF0SF9XOU5DZllJcXhIWi02T3A3OUd3YlZmVXBfdW45dllGaF9jb1pxMGxVVUJSb1o5M0UxcW1N0gFkQVVfeXFMUHdJM2hPQ2FxdlZpdHRBdHVZXy0yTW52WU1ybEZzLVVzcWxMS0FrbmRBU0RvcFRJLW5HMkoxX3" TargetMode="External"/><Relationship Id="rId596" Type="http://schemas.openxmlformats.org/officeDocument/2006/relationships/hyperlink" Target="https://news.google.com/rss/articles/CBMiowFBVV95cUxNa0l3THFWXzJhcHI1ZkZaeGV4bmxoTXJ4MXhxMUpyWk9NeFZrYlpzQWliVkJxWWNPT3YySjRJZ19pMFM2eDFGdWVGMlZaQm81RWZYaVgzcXYyeG5rZEs1V1dmSWdNaE9TOF80U0UtcERSSFlsU1FtNlBSSjBzUkxPeXJmTC1pVXZ1TDNuWGstR0dFOFN4ZHd1dEFOWVBzMj" TargetMode="External"/><Relationship Id="rId193" Type="http://schemas.openxmlformats.org/officeDocument/2006/relationships/hyperlink" Target="https://news.google.com/rss/articles/CBMipwFBVV95cUxOdWoyNkM3ckZ6WFZMcVk0RkJSZVlqdVBnTU5jNjNOYU91aUdfMmhvRzJfbFBCSXFFNEZxUjZ2dGxqaVRGbk8yVG5NZUtsN2x6TWZGWXBRUjZMclBJY2QyNU5mRC1wa0E0SFRmTmoxVjkxRDRTQ2FoX3RVNkVoUWNEQ0R6TXc1RnFDMFF5M2RIdUp6dDNWSklBWGxCelhXUG" TargetMode="External"/><Relationship Id="rId207" Type="http://schemas.openxmlformats.org/officeDocument/2006/relationships/hyperlink" Target="https://news.google.com/rss/articles/CBMitgFBVV95cUxOYVZnaDY5NDFYYWZlLUttREs5bno3MTk3Tm44UklpWjRIc1ZTZ3NPdG9DclBPLXNfLU1vR0I5SjFlTmxaNnZ6anozRnRIcVVGdUQzVHhPdVlWNGpkTjExazdQSlpOUGZEcVNXY1ZuNEZacjJWZnZWbWh4SndQUmdVQXF0b0JDUkI0QzNNV29wd0toWmM2c1FtTEpQRmlSZ3" TargetMode="External"/><Relationship Id="rId249" Type="http://schemas.openxmlformats.org/officeDocument/2006/relationships/hyperlink" Target="https://news.google.com/rss/articles/CBMinAFBVV95cUxNa01QZE1lcWZ3XzJjYkMtU1BuUDdBVi1KRkpGbWhpNzZIRmd4UjRFdWFucjRhdTkxcUc4WU91bDlwVjV3YkJGaUFSeUxnbTE5dVg4Tnh0LUU5TUFXNFIzLWdVM3ZoMEV6MUVvX29Lem9lVmNMUHJjNUdoZ3dlUFNsbGN5MGVtNU95WGtSdjF1cHdtZVNxRHgzT0NzbTk?oc" TargetMode="External"/><Relationship Id="rId414" Type="http://schemas.openxmlformats.org/officeDocument/2006/relationships/hyperlink" Target="https://news.google.com/rss/articles/CBMipgFBVV95cUxQdXZ3NE1HX2NNSHJnOG14Ry1lNWFZNjBFUnpfUzY2eHM1b2RvTlF6MnZMQ3BDRHYzTXk4ellFN3VNdmI5b2JpdDgzaWZnVkE2ZE9va2tCTWxyRFRTT3RDOWROMVVGMDZIaFp2ckp3TFIwUFJtLWJPZTR0WnJad2F5VDFtY0lDcGxCMWhTTUFVWk1hQUctYno2WVZNU1B6dE" TargetMode="External"/><Relationship Id="rId456" Type="http://schemas.openxmlformats.org/officeDocument/2006/relationships/hyperlink" Target="https://news.google.com/rss/articles/CBMiqwFBVV95cUxQUjluY3habHN4T0JhdktCMDA5WG1xaE9RYWlqZUxWLVdJMlg0dTZDYThfNFFNMTVnUEFFRjRBc2tZTl9DcFQ4Z1VqQS1KTURXQnhhMGpnY0xkdThzZWdwOWRBMVFQM0NyNENxSmZSNGZlSFRDcUxtT0tsVXhESS1xQ0J6djRHc0FpcjFib09XVktnNFEwcXI5anJBVTlYVU" TargetMode="External"/><Relationship Id="rId498" Type="http://schemas.openxmlformats.org/officeDocument/2006/relationships/hyperlink" Target="https://news.google.com/rss/articles/CBMie0FVX3lxTFBKR2ZQVUp1TFJvODE0MkdjWU5IRm9TTXAxcFJXYWdIU3ctcmVzRFNEN29qLVR2MW1qaTZoRUE3Qzd2Tk9UVUNwblNUblozeVpLdFA3QjNFZFZTcXkySDIzT0lmdzVfUXRxaDJ1RUNreGhabWRWYjh4bW1CVQ?oc=5" TargetMode="External"/><Relationship Id="rId621" Type="http://schemas.openxmlformats.org/officeDocument/2006/relationships/hyperlink" Target="https://www.gelonghui.com/live/2727963" TargetMode="External"/><Relationship Id="rId13" Type="http://schemas.openxmlformats.org/officeDocument/2006/relationships/hyperlink" Target="https://news.google.com/rss/articles/CBMifkFVX3lxTFBtRHJFWjVHdVR6RlNmTFlmU2dFUGpaUlJFMEZKVm9lcmlzYndtOWlPdmN1MHNXcTFPZjBwbzdZQ2FjVWRfWTduNFQ5OGJxOEFjbHptWDdsZWVGck5rLTNOZjdyaXdPcFpvdnkwSFhidmdiMi1ydllyT0R3UnlVZw?oc=5" TargetMode="External"/><Relationship Id="rId109" Type="http://schemas.openxmlformats.org/officeDocument/2006/relationships/hyperlink" Target="https://news.google.com/rss/articles/CBMiywFBVV95cUxNX0RhYnUzYmJ1ZnNjM1U2Yk45dGZIUFp2azRvanZlSGNTaS1vN01PRTA4NmZudzd5SndaVS1WQThMYjBwMEhTUVYzUmUzS0xrSzV3NW1oZ2VoYVl3NUh6WUM5VzlTS3d4ZGR2VGNVT20wV2YwdHBIRFpaN1ZXVkxBZWVUNHBMa3BKZmRFc2tlWm50LVp4c3FEYl9Bb2ZaY2" TargetMode="External"/><Relationship Id="rId260" Type="http://schemas.openxmlformats.org/officeDocument/2006/relationships/hyperlink" Target="https://news.google.com/rss/articles/CBMi6AFBVV95cUxOVWo2SU1IWVhIRFJfM2hSd25aM1hLb0VDYmpxaUNCWS1iTzFHT0JwNC1QNWN4blI3TFhiZjVMeEFSUUpxcmpDdG42aEpINmlYOGF0Zmk2TnRCTGJoNnpnSnZPa1Z6U1ZqQlVsbUxFQ1JaZXBQT3ExNFFtVEJXRkttdnhyVlpHbzI4MEVCajBvc1ozWXhReVVfVHNnOTFQVk" TargetMode="External"/><Relationship Id="rId316" Type="http://schemas.openxmlformats.org/officeDocument/2006/relationships/hyperlink" Target="https://news.google.com/rss/articles/CBMi2gFBVV95cUxQVm1NbFpPbHpiZHlwUkhrQUdqOXY1Y09vWjNVM2lleFF5dWQ4U1J0N2lXdXNKYzM0NWs2SGpZcHRjTm55andjSi15SXY1REoxZEEycEd0SmtJemp6N0U1MDhIWG5jUEM5ZGNnLXhnaW8xY0x5UlBaeVNfN0NnUVdHU0w4RkFaY1h2Qkk3WGU0VkM5TjZYUmMwWkh3XzNva0" TargetMode="External"/><Relationship Id="rId523" Type="http://schemas.openxmlformats.org/officeDocument/2006/relationships/hyperlink" Target="https://news.google.com/rss/articles/CBMi8wJBVV95cUxPWTdGUURmc2R1c1ZEbVh4d1ctWENyYTNJSUF1bzloSzJlRnc3VUM2VWRvTEdWckdZSkVCYy1fNWkzeWR2cjlGMjUtTlAtbnZadDd5b21OZWVMV0lZbFB4VThqZ1dyYnN1c0NZS0dTcGh2YlVoM3FNWEtzWUVaVXl1S204cUZ2YVJGc01JTUVsUDA4VmJPM3FjOU9sVW1WYU" TargetMode="External"/><Relationship Id="rId55" Type="http://schemas.openxmlformats.org/officeDocument/2006/relationships/hyperlink" Target="https://news.google.com/rss/articles/CBMi5AFBVV95cUxOdmRQRTZXb1dhN3FTVGZ3allPME9nQ29TNnAwNnVoR1BmSDMtSjRqNlNUS3JwaVl2cEVkZTV1T2swb3lGSTBKTVY5aUY3NWF1T0QtVFJVa2xNNWRPaE1xdWdRWDlseTdhMFQ4cmE5ZzBuZ24tR0ZZUE9iUnV5T1RuZDJza3JzVW9OYnJHMkZxLUNCV0QwZGotZ2dDSkZVVn" TargetMode="External"/><Relationship Id="rId97" Type="http://schemas.openxmlformats.org/officeDocument/2006/relationships/hyperlink" Target="https://news.google.com/rss/articles/CBMi1wFBVV95cUxOT1gyMkpjS3NWOExpbHVpV0pybzU1ZHp3d1JUVUd3M3JPWDh3YW03MmtnYWdQZjNJcDBCZVI2VzlZMzBCc3BqMmpFNWVDZllSYVNsNXp3a0FDaUw0ekh5YVNiSVI0R2lYa3dlQ0pKaUJ5SnRuZHBDbVBHa0JwbUwta2JlRFltd1l2VURzWFdFYTFzZWd4czBReE1oZ2dOc0" TargetMode="External"/><Relationship Id="rId120" Type="http://schemas.openxmlformats.org/officeDocument/2006/relationships/hyperlink" Target="https://news.google.com/rss/articles/CBMiW0FVX3lxTE5ibndZQXlhcWZ3M0U2RERJQ3ROdkV6aXpQUnVvMVhOYXJSN0V1dnpQUUhiXzY2T2FYUXhudGtNREhWemo4amwxTzNicEZGQkNCNmk4VEJhRzhXNjQ?oc=5" TargetMode="External"/><Relationship Id="rId358" Type="http://schemas.openxmlformats.org/officeDocument/2006/relationships/hyperlink" Target="https://news.google.com/rss/articles/CBMiogFBVV95cUxNcEkyWnRYMFhZOEhwS1pTVGFrYVpBU0MzWHJKVjNLTjhmX2toRGIxaW1NZXYwc01NRk85V1ViWTZ0cDUxNnlHZlh2MzlmaU9qZ3A5dkVJQ09aN1JYRzFKZ1VfVGRpUEFvUVVRend3UEYwX0lab0dRQjBaa0k1RS1HV0xYdVJ2V0t5ZFcwVVhnLU5kWUJSYWx1MER3YTRodX" TargetMode="External"/><Relationship Id="rId565" Type="http://schemas.openxmlformats.org/officeDocument/2006/relationships/hyperlink" Target="https://news.cnyes.com/news/id/6636782" TargetMode="External"/><Relationship Id="rId162" Type="http://schemas.openxmlformats.org/officeDocument/2006/relationships/hyperlink" Target="https://news.google.com/rss/articles/CBMilAFBVV95cUxPZTlWU3VmNUpNZXBKY0g1elhreGFIVVNmTW1DZjRPWTM5aHFTblNtcW40bDFzNkw5VUthcmJCY3RmOUg0ZDZGVVJiMG1BMlptMmVmc3dyZExseTBBWDRDeEdYUlJYOXRqem5HUmdGc3YtTW95MWFHSk9mbklua1M3RTRscDkwaDNESkVmMTIxYXdOUm1X?oc=5" TargetMode="External"/><Relationship Id="rId218" Type="http://schemas.openxmlformats.org/officeDocument/2006/relationships/hyperlink" Target="https://news.google.com/rss/articles/CBMi3wFBVV95cUxPSzNfdjhxY3Rrb2kxZUpLajVBS2oxZ0QtMHBNeTM2Y3ZDRUM2TUtULWo0cnhIeXc3T2JTeUY2anhhM214bUsyRkhhUXlvRnVMWjhxdlI3c2FWNWcyU2tMU0hYOHFpUzVTbmttOTF2bTN0V2k1UHo0bV9ncklvNFh6cndTNDRacTlpb3lYYlVaOVJweUQ0Y25Ra1NlWFBacj" TargetMode="External"/><Relationship Id="rId425" Type="http://schemas.openxmlformats.org/officeDocument/2006/relationships/hyperlink" Target="https://news.google.com/rss/articles/CBMilAFBVV95cUxNVXFUSzVpOG1GOGdCN0pNUy01ejdweU5xWVZ6b2VxNVBDRUctVTNzRVpfckRYd1M1WXNFZ0h1eU8wX2pCMnpkMDlQemRUNzJIMnYzakhIQVV1V2pUeEpNMWpHOTQzOUtiaG8yd0d3TE1CekZoVXJKVjlaSC0xbS03cFROUVVFNjR2bHYxT1g0cHg0MHJE?oc=5" TargetMode="External"/><Relationship Id="rId467" Type="http://schemas.openxmlformats.org/officeDocument/2006/relationships/hyperlink" Target="https://news.google.com/rss/articles/CBMixAJBVV95cUxOU2dmNWppUU1Sbm1ZM3JSWGNUSy1McFNORVExYWJ5LVFfZ3dlZHZjQ015VHpBWGtoSFQ2RmQyb1VkQ2NMS3lMZEpaUEZ4UDRqLVVOajB5UEM1aVU5cks0Z2s5dk4xWDZmWnhwTDVKN1hQbEZKLWxneDUwVjRPR0w2dXh6RmM3YlphYWhuTlFKcmRBNnF4aHYzS2pHa00xS1" TargetMode="External"/><Relationship Id="rId632" Type="http://schemas.openxmlformats.org/officeDocument/2006/relationships/hyperlink" Target="https://news.google.com/rss/articles/CBMiswFBVV95cUxQd0JxaGtHdUNrS1dOd0FhU2JzY3FIc3duQ0U0TXIyTnY0Vkl4c0tlRmVSa2NTM08xZHdmYjhuRHRrWHlIS2hUZ0xCNm9BZ25NWmVYNlpPTDNfNWVhQmV5cWVFdEo1X29YV3JjTnA4NkgtZFUtM2ZEVXBZbXFBRDk0NDB1Uk1kNmdSUUtqVGc5OFh0SGhHeWdoQ1ZUdS1YTD" TargetMode="External"/><Relationship Id="rId271" Type="http://schemas.openxmlformats.org/officeDocument/2006/relationships/hyperlink" Target="https://news.google.com/rss/articles/CBMijAFBVV95cUxQV1lSRXpvTW9FUm9jVkw4XzZOS0ZBYndfR0VlUVE1eTBXVHYtUjI0aVgtYWNHQ3o0eEtaR0c5Tnl6T0lJYjNYUkpKbXk2RG5MeXdvaS0yRXNpWC1VVk1lVDVpRkoxb25xVHRfeGRCdUVMb2l1cHNPZ1kwVjF6SEVqU2R6RGlyRnBzTTdCYQ?oc=5" TargetMode="External"/><Relationship Id="rId24" Type="http://schemas.openxmlformats.org/officeDocument/2006/relationships/hyperlink" Target="https://news.google.com/rss/articles/CBMiuAFBVV95cUxQdnZYOWhLcUdOcjdDXzFRenZYa1pfNy1ySDFHRlZ2OXJtSUFaMlo1bEZkS2M5QklBWURYNVRyZDJmZy1ETnViZm5reFR6WFJDT1A3TVVuMEhiUVlOeFA5TlFWLVV4RjcxVXRnamlsdFpxT19QWnJZSzRrOXdEQUQtTWlJOGQ1MGMxMGNvWFNzZlpYUWVSUVJON3UtOWRyeH" TargetMode="External"/><Relationship Id="rId66" Type="http://schemas.openxmlformats.org/officeDocument/2006/relationships/hyperlink" Target="https://news.google.com/rss/articles/CBMi5gFBVV95cUxPRk94eHFhZlB0bFhDX21BR0I3YU1aekNMQnNZOTRNUDVYb1F6QnBNMVhrUVhaRU9SY3R2THFoRVRRZ2hFdE1QM0tPN1NFYkdmS1AzTkVXbTFmY2RfUzE2UWNpRmhyb2N1N2pILWJFeDFFV0VDOFp3WDg4amFkVF85UExzU3RtaHh3U2daNFBwdENvYWRTMFBhZGNxTHJnS1" TargetMode="External"/><Relationship Id="rId131" Type="http://schemas.openxmlformats.org/officeDocument/2006/relationships/hyperlink" Target="https://news.google.com/rss/articles/CBMipwFBVV95cUxOWVNVckEwV2dPeTREY0lvaGtqdTdDa0hnejNKb21Wczk3ZVlyNnpNTzBBR3E3N0tZZGJvYkRGbUs4SUtmNl9QVVRIajhpNXRfWHhOVWwtLV9NZWtYMV9jeGVTMmthVlpoNVFDV0FUUUo2YVJid2JocjFJREdTejFORjR2UnJxNXBvX0x3ZTlMZUNpdVlQcFo1X0kzbVJvRE" TargetMode="External"/><Relationship Id="rId327" Type="http://schemas.openxmlformats.org/officeDocument/2006/relationships/hyperlink" Target="https://news.google.com/rss/articles/CBMikAFBVV95cUxOV2lxUnNvQkFuSTlVUk43bGp1Q1MtbVpPZ24ydWNFbEdsUFZjX0ZIVWVwMDdISThReVBEUUtJNjBqV1FDV3VuV0kyUDFZaDU3YTRIY3dWOFR1QXhsYUZteHNqZ3ZJZFhpdF9TZWY2Q3dvQjZJNHFvTm9GYUFRY0xVSTl6RUk0cDNDNXU3MGNXRVA?oc=5" TargetMode="External"/><Relationship Id="rId369" Type="http://schemas.openxmlformats.org/officeDocument/2006/relationships/hyperlink" Target="https://news.google.com/rss/articles/CBMizgFBVV95cUxOUERxYXpCOHJWOHlpQW4yUDg5dkdSS3VHTzNSeDVDN0ltQjJDRlpOTFJ3dkdJa2pSV0JQSW1MX2llejY3Uy1DRVBqOW5xQ0hncFQySklZU2FFdTcyNklTLUdrTEpuS050U0tENW5JVHdBU2JtcVN6MWdKYXdGeDg1RTBTajFMdnY2Z1gtTEdoZUtRamtRZmo3bk9jTWFFbn" TargetMode="External"/><Relationship Id="rId534" Type="http://schemas.openxmlformats.org/officeDocument/2006/relationships/hyperlink" Target="https://www.gelonghui.com/live/2726833" TargetMode="External"/><Relationship Id="rId576" Type="http://schemas.openxmlformats.org/officeDocument/2006/relationships/hyperlink" Target="https://news.google.com/rss/articles/CBMid0FVX3lxTFBrTTJCVEF2Y1JkWV80M1BzbGxyY3dtMkNtMV9hTEkyaGlBSGtHY2pOUWpBc0pLN0VqTVRBSFVJSXo1aVJKNEtxQ1lzRHFXa3FCY1owM0MxS1pyZ1U3dGV0QjZoR1VrT2VuNV9NTlhTTTZaYnMtNy1Z?oc=5" TargetMode="External"/><Relationship Id="rId173" Type="http://schemas.openxmlformats.org/officeDocument/2006/relationships/hyperlink" Target="https://news.google.com/rss/articles/CBMijgFBVV95cUxQSU9ybDZaZmJVZlhrbW1JSkJGcGlnc2xGTTFFZjAtZHNGbW4xSVhNSXRxMVlyVW9PbFpuTHgta1o0QXRQMnk5dUdLcGoyYjIxaXY0a1lPZmNaOWp0UERqNEZiWHhOUDlXSF9XblFDTzlKRGZ2VjEycFJheEpTMEtDRC1aa1FFd21aTXl2TkFn?oc=5" TargetMode="External"/><Relationship Id="rId229" Type="http://schemas.openxmlformats.org/officeDocument/2006/relationships/hyperlink" Target="https://news.google.com/rss/articles/CBMiqgFBVV95cUxNTmxyeXdOUExvZmFQb3A2UVNoTU5raFBVOXYwSEFBeGFEWEx0YmhRcGRTVDlCYU5tSE9VdVBlbTViZlBXZmVaT19meGNVTHNuOU1wZXdlVll6Um5VU2sxMlZhdWtZTko1N0ZVTGNQTzJtWE9LME00d0J2TTc1amNXcUIwSElGMWtxc2twT2dKcFFpS3FsZlRXaTI2WVo2b0" TargetMode="External"/><Relationship Id="rId380" Type="http://schemas.openxmlformats.org/officeDocument/2006/relationships/hyperlink" Target="https://news.google.com/rss/articles/CBMioAFBVV95cUxPSXZjc2JVcy1UYnFObmNGd2JFY0xvNXBzMTltQ3VLX2VKS2JEOWFzRTQ5cV9RQlFwOVc1ODFCTE1PaGNGWWlNd2QyU0M3Nm9WZmNTcDlwWXBVdERBTEVZeUFveC1Ra1hQSnJhZE1Ub0dCZFMzNHRqS2ZseXJSU2I5Q3hKNXN6S3FnWTUwbFA1a1ZHMWlONUh6aUdMdFBFOE" TargetMode="External"/><Relationship Id="rId436" Type="http://schemas.openxmlformats.org/officeDocument/2006/relationships/hyperlink" Target="https://news.google.com/rss/articles/CBMiowFBVV95cUxPMjRBOERlNHlnOUNDQkstU244anhMWjRUdlYzMUN5UENNSGwzM01HcFZjc2daY1YxUV92TVBOWXlMenVfcEtEempmaHFuNGRtdG0ydXdmRENsSFlqZ09McEUzc214UkZsdTRpSGhMaVYtandCMTFucDkwSFhTaEsxOEt4dWgwa3RDcmFmN2RsUkdHLUpTMlRmdVBOTld4Nm" TargetMode="External"/><Relationship Id="rId601" Type="http://schemas.openxmlformats.org/officeDocument/2006/relationships/hyperlink" Target="https://tw.tradingview.com/symbols/NASDAQ-GOOGL/news/" TargetMode="External"/><Relationship Id="rId643" Type="http://schemas.openxmlformats.org/officeDocument/2006/relationships/hyperlink" Target="https://news.google.com/rss/articles/CBMimAFBVV95cUxPT085aEdGQ3ZtY1pCUWxURy14N1ZnaHNsaER2RTlWWGxJU2tnbVQ0Q2tQZVMwNXMzeHlKS1Z0VnZfb09tYzhtTm01dS0tdkpjMmNDSkNiNXZLUHJBSEtqYUFYbFFoV0RnX3M5SXRGV3BNSkJOeVBMYTRRa3U3Sl9hSTVhUkFza1BWR2ZKdktaRkdkZk1SekZNaw?oc=5" TargetMode="External"/><Relationship Id="rId240" Type="http://schemas.openxmlformats.org/officeDocument/2006/relationships/hyperlink" Target="https://news.google.com/rss/articles/CBMi7AFBVV95cUxPdFN1RUpYWnpYdndUSldsNWVJTmVIaDVpNkRfbGlQRzhZVkl5aXVGaWw0MVhBcFFjUmsyR1gxVkNIcXhITzc4Q2hxYk1OMUtYYk5HLU8wQXpvU01hNTRweng2dm5rT2Q3MXZ2bTlhbXRiYW1Ha3VRLUJERXRha0lrY1dVRlFxZDQ5XzdPRU5SRDUwN0RZWUxOcUt5bU9yak" TargetMode="External"/><Relationship Id="rId478" Type="http://schemas.openxmlformats.org/officeDocument/2006/relationships/hyperlink" Target="https://news.google.com/rss/articles/CBMi3AFBVV95cUxPU0JWZ1Vfd01oa0VCTGtRVlFuTnZRMHJDNnZPblJoYmF2U2htQU1HSEFYOGs2ZjlxWUJKemR4X2pxNXRfbWFZdTFWZXZKZ0VrSEdXRGtDN1V6TmZESjNwdnFnLWFwY3piOGJRSGNxSVJYaE1VNFB2Nm1JV2U4eW5nN3ZhVWdpZVVrUjRJck5SX1E2VDZ3TW9nZEZwLVYxME" TargetMode="External"/><Relationship Id="rId35" Type="http://schemas.openxmlformats.org/officeDocument/2006/relationships/hyperlink" Target="https://news.google.com/rss/articles/CBMic0FVX3lxTE5Lc0NBNzJDeVdESGJSVWZhaFgtRnhJOC1MQm1GU3hLaFh1VnJhMk9ubFZfX2F6MnJaeUowMk5BQzF4MmZSS1UwczY5aVNWeVpwMXhmZ3YyZXh6dFVwSHpzNE90TXNQS1ZrRDdEY0ZvTGxiSTQ?oc=5" TargetMode="External"/><Relationship Id="rId77" Type="http://schemas.openxmlformats.org/officeDocument/2006/relationships/hyperlink" Target="https://news.google.com/rss/articles/CBMiwgFBVV95cUxQYm53VTh3QTFRckszZ25LR1dydXhWTlVXejhia2pMcjFkVl9XOFNteERCSmNLNGNXTDZ5aUwycjRaMWV3emdQYmtJdThObWVVNE9mNlBOQWxXcUZUdWdMQlBxYmtRWFFxa0lrZmpETkVPQ2tGUlh1dER2Rk5MR1AyR3ByVTlmajlpV1ItN3BVbDgyRjVxOFFORXdLT1VkUD" TargetMode="External"/><Relationship Id="rId100" Type="http://schemas.openxmlformats.org/officeDocument/2006/relationships/hyperlink" Target="https://news.google.com/rss/articles/CBMikwFBVV95cUxOODFQQi1jNjVPVGp2d3hTYzBBcnpQTGg0eVhFUlBOOUZBVGQ4c01aaEhyQjlGUy1BLWoxbjZRX0dYa3FBLXFpMHNua1ppdHU1SHFfTEJvNXpoR0FQZU9NMG9jZVVXZ0hLQS1FY182TDRmemMydEtFUXk4elZ5cllWTmxacWZ6OFVBU2dPV0o5ckllVUU?oc=5" TargetMode="External"/><Relationship Id="rId282" Type="http://schemas.openxmlformats.org/officeDocument/2006/relationships/hyperlink" Target="https://news.google.com/rss/articles/CBMizgFBVV95cUxOUlNrQ3I0NkpaZU1YbkJnMDEtTjVKbk9SQXhDQUNOZHVKQUJzMG02X3c0REFLYms2dkIwOVNkU3VHaVE2Z3d5RVp2X3ZtYnFXbGk1UlhoTnI0dkVtU2xEMHY3bFY3M2haLXVVOVVIUWt3VDBHQkYxNUJOc0xtT3duajg2UkRFOERQckdZWFJiaU1oZnR1N05YQ09UTXN2RW" TargetMode="External"/><Relationship Id="rId338" Type="http://schemas.openxmlformats.org/officeDocument/2006/relationships/hyperlink" Target="https://www.gelonghui.com/live/2612049" TargetMode="External"/><Relationship Id="rId503" Type="http://schemas.openxmlformats.org/officeDocument/2006/relationships/hyperlink" Target="https://news.google.com/rss/articles/CBMigwFBVV95cUxNeGxQNm1DMTZrUXlfcGlrU19ITTlta09wODdJUU1UdVhpWmczODItdXNFQTFNV2RBRDVINVR5NUdNVnRpWHBFcXJZQzZpLXNYZkhZdC15aV9ZRlVrdWRFQm1TZmlGQm1QZjZ6VkdKNmJ4d1owSTd4cE91djQwdTdBSFlHYw?oc=5" TargetMode="External"/><Relationship Id="rId545" Type="http://schemas.openxmlformats.org/officeDocument/2006/relationships/hyperlink" Target="https://news.google.com/rss/articles/CBMilwFBVV95cUxNWWFCcmx3amhwclYzcjBCakQ4VDNpMXhWdGhza0tidm42TGdrVFRBa3Rtb21kQUwtSzNUYWRNMndPV1RsRmtGc3U4VmIzX0V6cVk4YWdyNkk2dXZ1QVFRSmNIRkVRUERFcjJBb3VYcWFNQUR1WEI4SWVVbjJDSzM3T21TM0o5ZDdrM2hwR3ZaWGJIeXF3WV9F?oc=5" TargetMode="External"/><Relationship Id="rId587" Type="http://schemas.openxmlformats.org/officeDocument/2006/relationships/hyperlink" Target="https://news.cnyes.com/news/id/6636799" TargetMode="External"/><Relationship Id="rId8" Type="http://schemas.openxmlformats.org/officeDocument/2006/relationships/hyperlink" Target="https://news.google.com/rss/articles/CBMingFBVV95cUxPcVM1RHh0TVVvemExZ19IYnM2eUtOOGdCXzVzcW5jNmp5WGpRdnV2RjdRcHlTMlpDNjR4Sm02ekx4ZU1naXdERHFRQVJDRGlVOEJMNmNHdmVMcl9ITWg0cGJTR2VKN2NIREJpZnpiVVZVdTN6U1F3OTE4bGxmQi1WVW5ickJxMHlNTl9xYkp0TnBBTHlxV29RX2c1aXI0dw" TargetMode="External"/><Relationship Id="rId142" Type="http://schemas.openxmlformats.org/officeDocument/2006/relationships/hyperlink" Target="https://news.google.com/rss/articles/CBMinwFBVV95cUxOWVU0NUZzRGdEM3RNOWtYOUxpblVBUzlJTFJGVXI1WVl0blMtU2xTOTFtMF92MEtKVEFTdHRlUF9fQUFLVTloQ1FMN2lwTjJlUVQ4OVdmM19sd21GRmItcGhYNGU3NHhkOVVkc3B1Y2tpVGRMX3Y2bGs5eFBRRVJMTUFxWU9HcHhKbFdpb29CeVJzVHBpcmhkUGhjZHBYdk" TargetMode="External"/><Relationship Id="rId184" Type="http://schemas.openxmlformats.org/officeDocument/2006/relationships/hyperlink" Target="https://news.google.com/rss/articles/CBMi0gFBVV95cUxORC13eUdscW41SkNkbURQcDVOZFBwNlpmTEVxaTFZeDdrbElkNzBMSWZoSndpaktCX0FpUU5vamxqQjMtWjktbE5Gc2Jrb2FzNzdlZVo4MmpMMUVEaWlEVklHRFJmUHpWWEtkYkVlTUZqUEktdGdNREFEVGpDUHBiX0NSRDFrdGVBdTUyZFRneEo3VjRZMnBLRnZFVWZENn" TargetMode="External"/><Relationship Id="rId391" Type="http://schemas.openxmlformats.org/officeDocument/2006/relationships/hyperlink" Target="https://tw.tradingview.com/symbols/NYSE-TGT/news/" TargetMode="External"/><Relationship Id="rId405" Type="http://schemas.openxmlformats.org/officeDocument/2006/relationships/hyperlink" Target="https://www.gelonghui.com/news/5305827" TargetMode="External"/><Relationship Id="rId447" Type="http://schemas.openxmlformats.org/officeDocument/2006/relationships/hyperlink" Target="https://news.google.com/rss/articles/CBMingFBVV95cUxQWEhpT0xlVTRLUlUxN09OYlkxZmkwUTVWYnBTVWkydm13cHFPZFhoS3JVZlJmMFpoUnJYNmo2VVdVLWozNUpTVm9VSmF2cDI0RGdyTGtVX3RNejNxcmg0dGphdmxncTZKeXlEYkJucHNJdjlXaEVaUHZad21hVWJjUHhUa2Fnb2Q2a3F1Z3BLdDdTWmZmLURwekFMOHRZZw" TargetMode="External"/><Relationship Id="rId612" Type="http://schemas.openxmlformats.org/officeDocument/2006/relationships/hyperlink" Target="https://news.google.com/rss/articles/CBMiwAFBVV95cUxOZDhCWlpGQlUyN21ySlBtT2JlZTRxRzhsalRxNDFzc3pTNDZseTVfOHRzSjFWdDZSSnE0WW9naDVmVEJkWWw0QzROOFc1d1c2T1FRMk5pY3lZVno1SDg3eDNEVUpvMEI4QVpBNmphZ3ZKeXVTSS1Xbk81Q3U5aWRSeUU0X2QzR2ZiZktrVGpPVC1uZnZ1Tk1aU2ZXZWlxaV" TargetMode="External"/><Relationship Id="rId251" Type="http://schemas.openxmlformats.org/officeDocument/2006/relationships/hyperlink" Target="https://news.google.com/rss/articles/CBMiW0FVX3lxTE03cUtKcjNZX0F4OFBnVVlKbkdXVW5pZ2JJaEtlSVlpTmRzOVl2N3JWSFdXcUFxd2dOSDBBN2gtWHJWUjRVY3pMdVlQUDVSUzdpZEhmOW5TMWkxc0E?oc=5" TargetMode="External"/><Relationship Id="rId489" Type="http://schemas.openxmlformats.org/officeDocument/2006/relationships/hyperlink" Target="https://news.google.com/rss/articles/CBMirgFBVV95cUxQMTFyaVFfZmRrTU1BcS0wTDY5NmZyYWdJek9hRTFlNVk2VG0zY3JiODlxa3VCV0JUV1pWNWJXLW1ZV1pzTDIybWZKTVpOWG1fQkkzUGF2VFIzcy1CaDdKcXh3WlJ3VDJyNkJ3T1hWWVd6bGVRa01YM28yd2F4SUdLNWl2Z1ZxaWNZVDVYOFp1ZVZOUnc5SDd3VkFwQjgzN0" TargetMode="External"/><Relationship Id="rId46" Type="http://schemas.openxmlformats.org/officeDocument/2006/relationships/hyperlink" Target="https://news.google.com/rss/articles/CBMi0wFBVV95cUxQTXdkSDlMRUs3bVh0UWVvQlM1QWwxWWhpeTV3UmtOSEdnS1FWOGxPMTczb0pWekxuRDlxREFvQU1GRTBHajRQMnNRXzltN0p4Nm1TS19tUkxyejdwTTBrMDk4bEdKUVQ1aTdXaTlXU3JpSEowek9LUVlTcWxIOHY2OTJjT1ZrM1lxQXhHSnkyREFYRHRXSzFraHNHdldsOW" TargetMode="External"/><Relationship Id="rId293" Type="http://schemas.openxmlformats.org/officeDocument/2006/relationships/hyperlink" Target="https://news.google.com/rss/articles/CBMijgFBVV95cUxPS2FmenJCZFJHc28wV3A2WFktMDl2bmR4UGpjSnRiQnNUMUktZWw2VDFGR1pVQXZWemhmYjlzU2htWWtmUUV1UDkwOUM0MTNUQ2FmUWMtTEZ2Z3VNUDU0QlhEajluYUwtdEVBZ203UGFTN3I0ZHFLUkh5UWhPcE1nb2RsMlRFd0tCSkhJOGZB?oc=5" TargetMode="External"/><Relationship Id="rId307" Type="http://schemas.openxmlformats.org/officeDocument/2006/relationships/hyperlink" Target="https://news.google.com/rss/articles/CBMiogFBVV95cUxQYkpYVUIxQzJPUE8zS0oyUFQ1X0oxRENnWE1pMHVqbF9abEUxdk11QlRVc0ZLZldwSW5kZ19LLTdTdHUydjY0YkJzWDAtMlcwVWJJSGFCeENQWGs3SkZzeWc4UkN1WHJBNDU3ODl2RGZLYkU1VVEzQU1ZeHVxM0hrSGNXbG1ZV2doVmM1cVlpTk1xdEsweXBOeUd1M0Fvbk" TargetMode="External"/><Relationship Id="rId349" Type="http://schemas.openxmlformats.org/officeDocument/2006/relationships/hyperlink" Target="https://tw.tradingview.com/symbols/NYSE-APO/news/" TargetMode="External"/><Relationship Id="rId514" Type="http://schemas.openxmlformats.org/officeDocument/2006/relationships/hyperlink" Target="https://tw.tradingview.com/symbols/NASDAQ-ISRG/news/" TargetMode="External"/><Relationship Id="rId556" Type="http://schemas.openxmlformats.org/officeDocument/2006/relationships/hyperlink" Target="https://news.google.com/rss/articles/CBMiqgFBVV95cUxPYkdiS1N2d21xMnFZNDU3Ujh6U1N5aEt1ZmtaNjlaLTJZRlk1QkRYUzZmMVpRUkpGUlhkbjg1QXdFenhUVFhJNng1b1hZT2F2cmh1X3BFNjQxaFluRDJ6bVM5amZiVVROajdVSU95V1Q0Y0RQMTlNbkFmZUpSMndBWGdFd3dzdGZtOGFOY21FX0dHdk9qSXVGX3B0aUtPZV" TargetMode="External"/><Relationship Id="rId88" Type="http://schemas.openxmlformats.org/officeDocument/2006/relationships/hyperlink" Target="https://news.google.com/rss/articles/CBMilgFBVV95cUxObmk3aklBSlZNWXFaTlhDNFFFXzI1RDVSb2hHbHpQWi1SOE1sMjctSzVZSTQ4b1hXR0pBLWVNTm5LZFExTWxZYXhGaW1pOEFvQlhzR3ZtVENyeVlVU1A5d2JPQndxSTdEZ2UzZTdUeW1VdFpSNkI4VVROWWs3a1JvUE9uYUlPUlk2X0ZGd3pPUi1Ma3pMeEE?oc=5" TargetMode="External"/><Relationship Id="rId111" Type="http://schemas.openxmlformats.org/officeDocument/2006/relationships/hyperlink" Target="https://news.google.com/rss/articles/CBMioAFBVV95cUxPRTdEN243SHhreUdEVjZIZi1uSG8yaWp2ZklBQ0hxYk93ckhfeG9TOXVjVmJGZl9JTVBkZWk2NnVGczdWYTMzTWFxQlBYdHdFdV9NOGZXR2FpSkpaS0VtV0J0LUNkTUNCNWZjY01zRlRmdkZkWlotb0xsdjFRN0lvdWR6NUZGSWxTMm1Sem5tTF9xYkVkaTU4VWhUMHNJOX" TargetMode="External"/><Relationship Id="rId153" Type="http://schemas.openxmlformats.org/officeDocument/2006/relationships/hyperlink" Target="https://news.google.com/rss/articles/CBMilwFBVV95cUxNcEFNdW5xM2JET0IzY1NRazlFRlhOdDl1YWRnazdQUG9zdkZBMGtMLXVCWTM5N3VyQ0xad0lTamVsOWVVR0ItZ3NGcXJFM0lCbGFoUFprbGRCekpsWmtzczlpc2VYT0RoeTJ2c01QYkdxaHJkOV93eU1PRldZdXpaZmdzenQ5VVBLU2ZrS3d1QXBEWnRDVWNr?oc=5" TargetMode="External"/><Relationship Id="rId195" Type="http://schemas.openxmlformats.org/officeDocument/2006/relationships/hyperlink" Target="https://news.google.com/rss/articles/CBMixwFBVV95cUxOQ2ROTVlRYXJVanRrOXkxN2JLcTNPdlZtZFVTeEhjNjQzWVpvNTlpMUotRlpsZHlWTzg1T3JIZkc2c1FBTXJRYm5lVWZUdUNza2FpRHZSWVNIZGZpd1FFYmRtLUtTMGY5Vm1PaGlmSVl6dDRCZkh6OGNVYWdXcmQ3dUs3OEpldU44Nm9iTC1CV004Tk9KMjNqVnMyRHJnUn" TargetMode="External"/><Relationship Id="rId209" Type="http://schemas.openxmlformats.org/officeDocument/2006/relationships/hyperlink" Target="https://news.google.com/rss/articles/CBMioAFBVV95cUxPcTNGS2dJN3JUOG1PMlRsd3Q1OUthYVFtOVdHcmxWU2tRSjN1SlBxaEFHLUNIdWotMUdhM3ZhV2hGM0VhemNZVFVsUWg4YnVRbXpuUUxKOTJQYUIzb1dsbU0yUllBM09mLUxEWlhRMVZYaVY1YnkwWXpLTTBKTGdqWXRBd0w1Y0w0R3VNbFdqYkx1dHByLXYyN1cyRy12eX" TargetMode="External"/><Relationship Id="rId360" Type="http://schemas.openxmlformats.org/officeDocument/2006/relationships/hyperlink" Target="https://news.google.com/rss/articles/CBMizgFBVV95cUxObmNWMFh3RzhicktLQkNwMldVN2Iwb0YyR2pRbDRGVVZHZVhRekpILVh6VjBYZWxaeEFCUVBaYndYQXVFVGhKbFpXdzhKYkRyaWhkUFRzU2hoWl9SOENreW1weWdRMnVxMVI2V0hieUdXR1FGbjR0VkhFdmM4OGdBdDNEcjdSN0UzaFptU3ItWjR6S0hHVXRFOVNBcnZDLW" TargetMode="External"/><Relationship Id="rId416" Type="http://schemas.openxmlformats.org/officeDocument/2006/relationships/hyperlink" Target="https://news.google.com/rss/articles/CBMirgFBVV95cUxNSVQ2TWxOaUxLOU9IWnlVYlpjWFdONVBsUGQyT1FBSmxoVkdfazMzdEVsdGJpMS05SUNIQUQzUTBRMDFfekh5akZCUktRdGZSZjdaRlBWNUxxOE5SUDk3OGFYcmhsTjJCNW96N0VQWi15eE81dWNQVnFyNVhuR0VSQjdtNHdLdkhiTEZHaWhldVNjMXNTR1VmVDZuQkdkVl" TargetMode="External"/><Relationship Id="rId598" Type="http://schemas.openxmlformats.org/officeDocument/2006/relationships/hyperlink" Target="https://news.google.com/rss/articles/CBMiiAFBVV95cUxOdF8xVmNUaHc2djhtbUMzaU4wb2xpY2ZxckNuOW9abHBIcFJIM0JiQmlIeThHNi1CYkhhZFpJUGJjV2U4SHZLemZXWGhDaEp5VzF4cDhQSlJlX25qbUxxbVlIb1RKTFlpQXFIUFJEcXUyemlUQTVPaDdzMWhOWkV6U2NaM1RabXJj?oc=5" TargetMode="External"/><Relationship Id="rId220" Type="http://schemas.openxmlformats.org/officeDocument/2006/relationships/hyperlink" Target="https://news.google.com/rss/articles/CBMivwFBVV95cUxNQUMtSGJjeXJRbjFjcjU4UTFNeHk5Z29WS2tqaXluakxHYnFoVzM3bGpTb0xjRjNWMGduek0tYVhoTXNCWVc3eUJzNW82V1hvZ1Q2Q2hPQzhsVFdkVXY5djU5OG45bjdvdER4eFlBblBiUW9XcGJXQ0VSTVhGeHloMVVIbTRSX3FXNjlDNUh3RlM2Y2dzOEhkRWtLVGJtdV" TargetMode="External"/><Relationship Id="rId458" Type="http://schemas.openxmlformats.org/officeDocument/2006/relationships/hyperlink" Target="https://news.google.com/rss/articles/CBMifEFVX3lxTE93TTlGVFV1ZmxxUGJrYTJyRFRwNzFGT3hLZWlaNkFJeE5uTmY3dXNjUEJfWHJieHR6NVRHQXpEUHB4U05LcnZCNEhoOTVhUV9rYmdzakk3elFGTlY1MHVYSi1LMk1pNFN0YjR2U2JrOFhLUHN3VU1pM3BZTmQ?oc=5" TargetMode="External"/><Relationship Id="rId623" Type="http://schemas.openxmlformats.org/officeDocument/2006/relationships/hyperlink" Target="https://news.google.com/rss/articles/CBMi9wFBVV95cUxOUjhhMWNQTExsNFQ5Z2lkVGQtWFFERDI3OW96cDY0UTNacEgxTnhGelNUZjdFU1VpMDFVbFllSHhkWHg0SklHdlVQYjFCa1NpVldwdEY2TG4xTWVjeWdBNkxvZ1lQVnZMb3dsM25Nc1JhVDF5MzE3bWQ2VUhYTHliQVcydWFSTVlrZnJQdWhiVk1ZN05PZlhVWHM4NTBCYn" TargetMode="External"/><Relationship Id="rId15" Type="http://schemas.openxmlformats.org/officeDocument/2006/relationships/hyperlink" Target="https://news.google.com/rss/articles/CBMidEFVX3lxTE9IeWE5RWdISlZodEhwbG8yZTlvQnBLWGxKWVd5SHZWM0dnUE0tRFkyTlFRd3lCdmtBY09La2kzbVg1WkNjUmp0VFFIa2VsaGJkTmFFRDBpM24zVFI4b0diTTR4eXRXYW40V2ZyZFRXdjlsZGF4?oc=5" TargetMode="External"/><Relationship Id="rId57" Type="http://schemas.openxmlformats.org/officeDocument/2006/relationships/hyperlink" Target="https://news.google.com/rss/articles/CBMimgFBVV95cUxPdkZjeVRodzA3MTZYMHotdkdIUGVudDdROUs4aDNCNW53cDVWNzNhczZwanNrNUswMUZLaG9CNXZxMzJsNV90Z1duTy0tdUU1RUt2aEpkMGxPRVo5dEk3UFlLQ2Y2dnQtTnJxTmZ2ZVpLbTVQaHZMZ1oyWmF3RzlUOUp0cXYzY1dOV3FOYkZ1SURCMU5scEI1MjZ3?oc=5" TargetMode="External"/><Relationship Id="rId262" Type="http://schemas.openxmlformats.org/officeDocument/2006/relationships/hyperlink" Target="https://www.gelonghui.com/live/2647285" TargetMode="External"/><Relationship Id="rId318" Type="http://schemas.openxmlformats.org/officeDocument/2006/relationships/hyperlink" Target="https://news.google.com/rss/articles/CBMikwFBVV95cUxPVTZrVHZRUkU4RkQ2NXpuc05qY1o0dXY4dWJVMjhqalNHNGJ2T0Q2RFpxbW9BUkhncHRfRUdsNXc5aEZ3SnZDdTRZVWgxTUdrNnBLSE1vQmlTeGVxU0gxN3AyVkxnTG4zMUlta3llZmZrMEFENU9uZWNyNkZXN09rcy1pUGh0cU4weGhFcWw5UWZFUW8?oc=5" TargetMode="External"/><Relationship Id="rId525" Type="http://schemas.openxmlformats.org/officeDocument/2006/relationships/hyperlink" Target="https://news.google.com/rss/articles/CBMiuAJBVV95cUxPM1I4Ujg5QzFMbVpvQWV0enFIVEtMVTdCd2N4eWp4ZUw1NXRRUkF4cDRsR0FHd0hhcnQzVnpXZTdnd2FYaW9FbV81SF9VNG51ZzJLRnVYNWY5azdtN0JlNXgybkpKaGViaW56MHhkd2R3YTc2ZV9DWlJ6YVdaOUhTOG1CNU5CNEJTM0I3WERiM0tDVFVXZFpkWnFFb3JXV3" TargetMode="External"/><Relationship Id="rId567" Type="http://schemas.openxmlformats.org/officeDocument/2006/relationships/hyperlink" Target="https://news.cnyes.com/news/id/6636788" TargetMode="External"/><Relationship Id="rId99" Type="http://schemas.openxmlformats.org/officeDocument/2006/relationships/hyperlink" Target="https://news.google.com/rss/articles/CBMirgFBVV95cUxNTnJnYU1aTmRoc1lDUnp3WG0yVTJBZXdBYkoxeG5mWFZVUGRFYTEtYlp6SmR3cEJuUElkdG41N0xwYkQ5Ym9ZZHE2SHJVal9Fc2NxRWZEMmpfMVRtc0c3WUh2bzhJcG54Q3M2ODNqUDVVSjNCc1V5NzM2WTBSc1kwWkZBOFREYUk0SzFUcXNvdXFnRm9OU185UzJfcUoxUU" TargetMode="External"/><Relationship Id="rId122" Type="http://schemas.openxmlformats.org/officeDocument/2006/relationships/hyperlink" Target="https://news.google.com/rss/articles/CBMieEFVX3lxTE5nbFVPMXU4M0xsLWpXeGM1bGxVLWY0a3NEQmRydUZxeHk0QkdOaEJrcjdLUkVISnhRMlpXR2pQREFQa3lQelRMcV9KRGhaN3ZXX2xuUXZtMUYtdzFsNmZXaDRfdjl4cVR5TVlaLWE3WUFfX1lraEo5VA?oc=5" TargetMode="External"/><Relationship Id="rId164" Type="http://schemas.openxmlformats.org/officeDocument/2006/relationships/hyperlink" Target="https://news.google.com/rss/articles/CBMivAFBVV95cUxOMF9lcTkxVU5OWUp5THhibUJWc3U0MWo5c2dreS02dFk3TGt4SlBXLVdpX0htOV85SnVsc3RUZjZJZDJac3p3bFgzS05uU2hjVXh5N0RjcFVtQml0TnBRSllwREVDdUVFOTBoTTRMT01RMnVUNGQtZk1ZY0ZIdUZHWHNBbjlaMk10dEpJZ3J5eTZHYjlDQW9JdEg4STBBLV" TargetMode="External"/><Relationship Id="rId371" Type="http://schemas.openxmlformats.org/officeDocument/2006/relationships/hyperlink" Target="https://news.google.com/rss/articles/CBMi6AFBVV95cUxOVWo2SU1IWVhIRFJfM2hSd25aM1hLb0VDYmpxaUNCWS1iTzFHT0JwNC1QNWN4blI3TFhiZjVMeEFSUUpxcmpDdG42aEpINmlYOGF0Zmk2TnRCTGJoNnpnSnZPa1Z6U1ZqQlVsbUxFQ1JaZXBQT3ExNFFtVEJXRkttdnhyVlpHbzI4MEVCajBvc1ozWXhReVVfVHNnOTFQVk" TargetMode="External"/><Relationship Id="rId427" Type="http://schemas.openxmlformats.org/officeDocument/2006/relationships/hyperlink" Target="https://news.google.com/rss/articles/CBMi9AFBVV95cUxQWGdMV3J0R3c1UXNDLVFGOXpoaDU4QS00Y01PM2o1b3hVdEpDNEZRdURpQk1nQ0U1VlAxdFhmcUZGZ2JVbkk5Skd6T3l1N2x0NDFyeGpfNzdQXzFqWXdKVWZrSENkMjRwbDNwQkx6RlRFTUZ1U19yTlptV3VHeGFLc0l5bFVSZTlITHdIZlROQW1XTG0tNXV0TW9RZ0NRYT" TargetMode="External"/><Relationship Id="rId469" Type="http://schemas.openxmlformats.org/officeDocument/2006/relationships/hyperlink" Target="https://news.google.com/rss/articles/CBMi-gFBVV95cUxPcUJQRDFZcG1KbTJ3ZmwxaExQNTAyZzIyRGpUYkFpd3dvalBWc1NPNHBkZUhwZ0dmLWZIWlZQU0VLcE90Ukp5SGxGSTdCZjB4M0dvQUljdG9NbTZUSjBlRTJyLWJPLVhQM1dZYWEwLU1hYl9zWXhvNy1wX0N3S2lqNFV1d2NsbnV4MWl0Tmp2UGhzcjBJem5nTUNPNUx3TG" TargetMode="External"/><Relationship Id="rId634" Type="http://schemas.openxmlformats.org/officeDocument/2006/relationships/hyperlink" Target="https://news.google.com/rss/articles/CBMikgFBVV95cUxNY0ZNOWIwbWM3Q2N4OTczSlRpbWNDYUFaVm5sY1JCeTJyTzQ3N1dKWHVfX2Nhbnd2LXdDZVhMeklTN21vOHpwTnlLS3lXQUpob1J5em1DOG5lYkZYT1J5SUNjX3NjWGtubHNqTG9ZWkpGcXNCWTlzeXFiVFh2T25tTVRDRklOZHBkTEVyWURRMDFGUQ?oc=5" TargetMode="External"/><Relationship Id="rId26" Type="http://schemas.openxmlformats.org/officeDocument/2006/relationships/hyperlink" Target="https://news.google.com/rss/articles/CBMikAFBVV95cUxNUXZUWlJkaXVxNldYVjRSMXowQ0xFTWw2SXcwdVppbUFsR05qWVFIejc3eXNoMkRSWnVxaVdtS0RjcC1DVVZtN0FxLTJMNHlzMEdpS3IxSUhUMW5DcmMxbW5SUkl6VF8wZnFaM2Ytd1gzR3AzNE1CR3J3djQxNlE5Y2M0X0N0Z0xJN21ZTEtYYXU?oc=5" TargetMode="External"/><Relationship Id="rId231" Type="http://schemas.openxmlformats.org/officeDocument/2006/relationships/hyperlink" Target="https://news.google.com/rss/articles/CBMizAFBVV95cUxPYXFMWkZuOHk1ZnBpYkJDdXlCSFVwSGZKcU9ZcUQ1NVZtZzFUaW01V3AyLUM3X0t1UnlVdVJCbVhBdUdjM2lDdV9EOXJGYXpNRXpacVBzNm8xLUoxYzNQUWQxMWRmNjFWS0ZROXdGR2RnX1JCMmlTaGNydmZ2R19FZWlIcmlmR1RjLXJ1RFdHX1V3cmY1b0tfbXBreUpZT2" TargetMode="External"/><Relationship Id="rId273" Type="http://schemas.openxmlformats.org/officeDocument/2006/relationships/hyperlink" Target="https://news.google.com/rss/articles/CBMizgFBVV95cUxORWV6aUxqN18zazRXV0lVZWtLeUgzQV9Sd1ZDbkhwUlktaDBCdGFTN09mTkJoTFVmOVJiajlEWkVjSEVWYVZmRG9FRTVMZHlUcGtXNXNjNFBrXzJpNHFuenVaSWt2SWQ0WVBucnBOMmZLR2l4RzFSUVBsMzB5QjdrQThUWGttSTVwOXExV3NXS3lYanRCVll3Y0pTR2FWdF" TargetMode="External"/><Relationship Id="rId329" Type="http://schemas.openxmlformats.org/officeDocument/2006/relationships/hyperlink" Target="https://news.google.com/rss/articles/CBMinwFBVV95cUxNR3BoYWExNHFDQVZzU3VnQm9FSkZfa0N3MWphR21KVDdFckladnhNQkhoTm9RZ05vQkVMaThMbWVTRDJRR0tCNHNldEpSY3N4TlpES1R1aGtYNE1fVDlfRG5Ub1IyWXFJQTNpb0diMjJnQ1Zfa1RfenU3ZTFBOEUySkNXUGNDLXZTeU91TE5QQUdnSXpkMkREb2NPUVotdH" TargetMode="External"/><Relationship Id="rId480" Type="http://schemas.openxmlformats.org/officeDocument/2006/relationships/hyperlink" Target="https://news.google.com/rss/articles/CBMingFBVV95cUxPb1RvVkZ5MGZJQXVfaE5iSlJwX0hCT09zVlc0YkliWFNxYmFLM2tOUHN1ZThiTDJ3WnVpa254S2hvcWl2LTI5STRmREVxalliZWQ4d1p0Njk4bmZXQks4ZWM4ZFNmdXNuUk44bWVhYXZUTl9OdjVHQUZreUY0ZmZaenl1RlUxeF9kaXdEbkZjQnhYWkRvQkc5M2pWVEtvQQ" TargetMode="External"/><Relationship Id="rId536" Type="http://schemas.openxmlformats.org/officeDocument/2006/relationships/hyperlink" Target="https://news.google.com/rss/articles/CBMie0FVX3lxTFBQdzdBck80QTlDTlRFUzE3Mkl4NmgzOFFTNWlsdk02OGlLcEZTcEM5ODFoRnRURmZMdXRUU2p5QVhBb19ETExaeDJKMjdWejkzdllyS0VWc0dzYnBwWWg4TjBKVDhhUUozMUliQmtaODhUMGlfUFRSc2xPdw?oc=5" TargetMode="External"/><Relationship Id="rId68" Type="http://schemas.openxmlformats.org/officeDocument/2006/relationships/hyperlink" Target="https://news.google.com/rss/articles/CBMingFBVV95cUxQaXdua1JwcHFmRjRLZzV5NTBBcFhtQ280UERYQ3Z2Ul8zNUw3cVlqTWhhU2JOVHNJbS1pSFBwRDFMdklOSUJTSldCUTZDckZiQ2dnSEVzdnRmMVVmcVZLR0xfQXVLRUxLdXlUcl9PZHRpYTZtaDhRMExmRENzdHNLai1keDJaektNR01VTHZqT3REcVQzQkt5UllINVp3UQ" TargetMode="External"/><Relationship Id="rId133" Type="http://schemas.openxmlformats.org/officeDocument/2006/relationships/hyperlink" Target="https://news.google.com/rss/articles/CBMivAFBVV95cUxOSUd5NzQxeF84MDdxRmVkYndfazBEbWh4LXJDZXltNmJrbzdFalZWLVI3Y0phbXVoU1NxUVZkekVNMGFvMkV0UGNIcllUYUMzTG1Vd3JFYkUycUFuMDFBSVZRSnJSMUZWeVNPbWFhU21Ma1JqQUNhOU5yeV9rdERBdWJ4T0Q2elRibHR4cVNfNXZIdS04UjFjM2tBUm50cW" TargetMode="External"/><Relationship Id="rId175" Type="http://schemas.openxmlformats.org/officeDocument/2006/relationships/hyperlink" Target="https://news.google.com/rss/articles/CBMiugFBVV95cUxQVmZ3QzhqTThuZWtzLV9NV0ZyLWtManYxS1liZF9ncUZsM0VSSHprY0Qza1ByQkFsNkI2UVdqM2hoaUZjblN5NExURENFOEZuTUw2MUg2OTZXd1VEVW9aS1lVbUNjajQwNkJfWHBQNHdBM21PR2hKdkNMNlJ6SDdvaTg2V3lVWVhJXzJtUTVYdm1XbXVmZFBYUk9oTzB2WF" TargetMode="External"/><Relationship Id="rId340" Type="http://schemas.openxmlformats.org/officeDocument/2006/relationships/hyperlink" Target="https://news.google.com/rss/articles/CBMihwFBVV95cUxQUWNBaEFYMVA0YjBYMmpibjktSFB1WmRTaG9kd3FWZy1qVkkwckd4TjdEUXB3cnhPM29MRVVFMXdWU3ZZcjVWRXdjRTk4YkF1VkNQdGlLdFhjVXhES0tnZG9obVBrMVR1b05wY0tQaE5ROHc4S3ZiTXdVV3lBalFmNkdCaTFHODg?oc=5" TargetMode="External"/><Relationship Id="rId578" Type="http://schemas.openxmlformats.org/officeDocument/2006/relationships/hyperlink" Target="https://news.cnyes.com/news/id/6636777" TargetMode="External"/><Relationship Id="rId200" Type="http://schemas.openxmlformats.org/officeDocument/2006/relationships/hyperlink" Target="https://news.google.com/rss/articles/CBMiuwFBVV95cUxQYVpydXBSVmhfV1ZvSXp6UUoyQjFRR1FadThwSkUzaUZYWDlFSmhsVUtPQ1JGdmM3TVl5RGpWTWdXN0RyQ1Jpb1lncXJDQ2RZanpmd1VFWERnQU1fSDZrQXZBZkE5aWVkRnhsaHFwQ1BMNUFGUE1WWHhMNE93OXRETmp1bDVpNVVzWDdLWlNiOUFsbXNtT2xFb1c0aGJZNU" TargetMode="External"/><Relationship Id="rId382" Type="http://schemas.openxmlformats.org/officeDocument/2006/relationships/hyperlink" Target="https://www.gelonghui.com/news/5285415" TargetMode="External"/><Relationship Id="rId438" Type="http://schemas.openxmlformats.org/officeDocument/2006/relationships/hyperlink" Target="https://news.google.com/rss/articles/CBMi3wFBVV95cUxOYnhDcEVFa21fci1IbXN2U09nM1ZYYmRkYlVFRTU5MnRCbHJmWnZkbEMySmdCbjBIQTRWR1FjLTR3N3NoY1VISzR5M3BoZVFFRDlTb296QUhLcjRpZER0Mlh4d0Z4bDBvN3psRlZsQzdnbTZONGlsR19GaU5vaDQ0aFI1VGtUTUNJTHNQSTdBLTFYTllMQnVWbkVXRU5nMH" TargetMode="External"/><Relationship Id="rId603" Type="http://schemas.openxmlformats.org/officeDocument/2006/relationships/hyperlink" Target="https://news.google.com/rss/articles/CBMimAFBVV95cUxPVUM0cW5VQ25RMkxXZnVKOUxYREhNVlBJTFJWbFFXdDctaFkzbDh5MjJhanNTWXRIU3FxR1dtMzdNaXBVV3Vubjhvc2VXQ0hEWWNITFhUZ3FoNVRNS0NmUjBCdWNYbDcwR1dXeGtnX3FmNVVCR1U4cE9JNmlWUVRQZnFUc2JOaThuTWpwQjNtYlZEbzNqQWFaT9IBrAFBVV" TargetMode="External"/><Relationship Id="rId645" Type="http://schemas.openxmlformats.org/officeDocument/2006/relationships/hyperlink" Target="https://news.google.com/rss/articles/CBMihgFBVV95cUxPVlY1aFVobmxHUG9RUGJ3UFdvSk44SzJNS3J6Ni1ZemEzTlY3LUFsdTVIc0ZCaENHX09VWUVIeThlMTQ4TkVYdUhyVUpHNmZfUXByR3BQSWk4YzRTTzRXS1BndGRGS2ZKS29Ebkoxb2tiZjlPZmx3cWFaaUd5QUJWRlIwTFVYdw?oc=5" TargetMode="External"/><Relationship Id="rId242" Type="http://schemas.openxmlformats.org/officeDocument/2006/relationships/hyperlink" Target="https://news.google.com/rss/articles/CBMixwFBVV95cUxQbGplTFY4cU5ncHJmaEozUktLMFhKR3FueUFhSktIaW9QVE1CUFRIY1lfZVVrUm1jRXdZYjJZSHNXQV9oMzJVRU10dWpWbFg3NGxKLWFUSFBUSjV1VGZVTG9UTktpdU5vdjh0OHBjU28xV3JvclB5emxOUHVCb0RTYTNubTJGV2s5NWZWekU5MGR1TjNGcUNKbjJRakxFMU" TargetMode="External"/><Relationship Id="rId284" Type="http://schemas.openxmlformats.org/officeDocument/2006/relationships/hyperlink" Target="https://news.google.com/rss/articles/CBMijgFBVV95cUxNSHIyRDB1QkxtelpIdzNpa1cxdUZuYWVpQkE1TTF1VHV3cHpTbV84Nks0NGpwWHlfaHFJekh4QWx2S0pwWFZva0xwdGNNWE9JSjdxNDJQOXQweVFsZDhiTmhQZTV4dWJlOXE2QS03cV9QZDNaM0dfM1BDWkpoQXZRTnhkWXRzd05QNnpXNDd3?oc=5" TargetMode="External"/><Relationship Id="rId491" Type="http://schemas.openxmlformats.org/officeDocument/2006/relationships/hyperlink" Target="https://news.google.com/rss/articles/CBMiyAFBVV95cUxQRUN1a1R0SmN5cTJ0SHAyMFpiOEN3bGVxdmptWlFiWVNFOVFhcGVZOC16NTBOek5Nc3JQX1N6MEkxdXJfZjZWb2tBVkN5T0h2Vm43RERNMXZrMDNzVkxfZkpDSTJXc0RTQ2xmbkNYVk81SmFESzYtSi1zdXBJVy1WZGNHeVRabm1pME05Ulh1YTJwSnJGWUM3SGtpYWVVYT" TargetMode="External"/><Relationship Id="rId505" Type="http://schemas.openxmlformats.org/officeDocument/2006/relationships/hyperlink" Target="https://news.google.com/rss/articles/CBMiowFBVV95cUxPV19CTGZGSS1XYTNGc29jbDF3cWlScHlCZkJFb2M1Vi1wUkRIZ1BiNnYzMTNPX1JBWnVOTG9NSVJWM0t3TVllQ1FmS3BuVHVPdS0ybzNGMXRnRDBpUmMwTnItRHNOUWJMZHE1Mm85aGxsQ04xa0ZTbk5jR2dwb2lqenBKbWt6MlU0eEM1M1BHbXNDand0MFFjN0tSOEdkbX" TargetMode="External"/><Relationship Id="rId37" Type="http://schemas.openxmlformats.org/officeDocument/2006/relationships/hyperlink" Target="https://news.google.com/rss/articles/CBMia0FVX3lxTE16RWNQS3A5cmF1QXR5emJfUUlELUVKeXF0T2UyQTVtbk1HSzFVSWxRejV5dVZuZjVMRnNDcUtJV1o3cWJiTVh4d3VxZTFPUGF0N2FXanNCRjVKTWZlSUZ6a3pZRzlTQy1pYm0w0gFwQVVfeXFMUG9nSjlsWlpYd2RMcTJpSUFoVXJzdk1zMHZYVUNjRXR3TG5RRE05MFRUMU" TargetMode="External"/><Relationship Id="rId79" Type="http://schemas.openxmlformats.org/officeDocument/2006/relationships/hyperlink" Target="https://news.google.com/rss/articles/CBMiqgFBVV95cUxNalVjRlZWLWkyQ3k0cFRfVTdWcVhqWmtYQ2JsdXYwVjd0WHdVVkVJVURlbTFudXgzUkdYT0VlLU5MdzJzQ010Q2Q1RTVSMnFSR0RmelJydkhaQlgxV0hUOThjYzlZYXpWWU1PNTFlUTBiYlJrMDJ6Rm5xdGVSQVRKYnZ5N3FfMDI0U2VyUE9PS0hWT0pySmdHNXJvTUJCWG" TargetMode="External"/><Relationship Id="rId102" Type="http://schemas.openxmlformats.org/officeDocument/2006/relationships/hyperlink" Target="https://news.google.com/rss/articles/CBMiwwFBVV95cUxNV05aeksyZGRMRjEyT3ZMRUZQNEJzOEN0cjBLYXVmLXA2c2xiVnVfZHQ1WkJrRVQ5Z01XMm5MakRBczB4R1FXczgxY2ZESjNKWGlfT0Y0YUhub2k5ckJsQXA3WVlqZlA2aFI1SVVBNnB4RE1XRTQxZ1R5dW9KUVpZSmRuTmpSREU0aUVnVVVYS0phdHBoZG1PTnVVMTYtaE" TargetMode="External"/><Relationship Id="rId144" Type="http://schemas.openxmlformats.org/officeDocument/2006/relationships/hyperlink" Target="https://news.google.com/rss/articles/CBMizgFBVV95cUxQYTdaSjN4bTNqOG4xWmZRcXBHbC1YVTFFWV9vRnFUY1dHX0hUWlQ4eERXal9qa3M2OGVSd0NEZ1Y1dGw5alV3ckRMNENzMlJRZk5kbF9fX0lfQlR1dmtRZDZMcWNBelR1Tmo0QjVTcVM2aVNQU3U5dlBDcF9qcFEtUE5jQy16cnYwLV9sRXBfeHBuOERkYWtRVGFUY1BjSE" TargetMode="External"/><Relationship Id="rId547" Type="http://schemas.openxmlformats.org/officeDocument/2006/relationships/hyperlink" Target="https://tw.tradingview.com/symbols/NASDAQ-META/news/" TargetMode="External"/><Relationship Id="rId589" Type="http://schemas.openxmlformats.org/officeDocument/2006/relationships/hyperlink" Target="https://www.gelonghui.com/live/2727118" TargetMode="External"/><Relationship Id="rId90" Type="http://schemas.openxmlformats.org/officeDocument/2006/relationships/hyperlink" Target="https://news.google.com/rss/articles/CBMiwgFBVV95cUxNZ0xqbTktTTFqSllfRWNCN0FCWmdfakZFLXlaMEU0aG5zT0pOQ3BtZG1PWTlOOVJmZ2xIRkNiN2F3UUQ4dllQOV9Vd3NwNlhOdDFGMm16YXluUnMyOUVtbkNYMG1KRmxSakticFhGT18xNlkwbmdZM05kNDZ2eWRWLWFjZ29zYi1fVGI3ZzNnYWNJQTJ6emZmVFJTT1NXYl" TargetMode="External"/><Relationship Id="rId186" Type="http://schemas.openxmlformats.org/officeDocument/2006/relationships/hyperlink" Target="https://news.google.com/rss/articles/CBMiygFBVV95cUxQR0s5WE9qS2V4VTdqdVRnZUNmbTVZWU9DaXAyUlBUYmF4YUVUOG8zbzZRUkVIdERFSGQ4bU5HUEhLRklUWjFqVlNfMW5NcndmVm5QZm91eG84emV5NU9PYy05bnQ0R040OXF4Y09oZ1dVV1BSLWtydllrU1F1ak5kemF4NDRpbXhNN0YwcU9sZHQyZW56Wk1jUjhGSFZ5R3" TargetMode="External"/><Relationship Id="rId351" Type="http://schemas.openxmlformats.org/officeDocument/2006/relationships/hyperlink" Target="https://money.udn.com/money/story/5612/9835208" TargetMode="External"/><Relationship Id="rId393" Type="http://schemas.openxmlformats.org/officeDocument/2006/relationships/hyperlink" Target="https://news.google.com/rss/articles/CBMi4AFBVV95cUxOWTZza0ZNTXFiTFZDU2s4OXJoM3RQd0p2c3BseGxITFBvbVN6b3dkTWlHTllHaVZEbjRrQjk5NWg4WUlvbjNzYlR6a2dnNWo4bmtGdlRFSVp4NGtveXJ4ck03ZXcxdjZ0RTJKclREcm96aU9WWWF3bjM4QUJqbUlLQmM0dkVCNGlEN2xsVHVjZmNXZ0RpcHgwa2dNdlQ3LW" TargetMode="External"/><Relationship Id="rId407" Type="http://schemas.openxmlformats.org/officeDocument/2006/relationships/hyperlink" Target="https://www.gelonghui.com/news/5305827" TargetMode="External"/><Relationship Id="rId449" Type="http://schemas.openxmlformats.org/officeDocument/2006/relationships/hyperlink" Target="https://news.google.com/rss/articles/CBMiZEFVX3lxTE1CTV9KdFR5Njd5NVJVWTE3b04xS2NPSk0ydWltaEt3X29kU3lmZkJXRWxYVGtacEs1UzhGWklUcHFlZ0RDb2lpdmFOWW9ZYl9DaEJtUmFLcElmbTRqaTA2Mk1EM2TSAVxBVV95cUxQWmJ3b1U2MmZLZ1RTYVF4R2FDLVJsTVZJc2tqdkt6UmFMTjZhTFJiaURQM2RZMngyX1" TargetMode="External"/><Relationship Id="rId614" Type="http://schemas.openxmlformats.org/officeDocument/2006/relationships/hyperlink" Target="https://money.udn.com/money/story/5612/9835503" TargetMode="External"/><Relationship Id="rId211" Type="http://schemas.openxmlformats.org/officeDocument/2006/relationships/hyperlink" Target="https://news.google.com/rss/articles/CBMi9wFBVV95cUxQUWZVU0VTYmxOQjROakRHSF8yYnpQN0FCd1RjM3JnRGJfRUpvUXNpaEJTWmFka2FlOG82aW9nYlRSdzM4TnpxYnJNUElrbTJiOGVLUTlqSk1LZkxxVklOWm03b1BRR3loaWtxV05DUWVhYThrRldYcUxNTjlIdkdObWJoejFPMTJlaVgxV1lXQk1NMHRRR0RDaUUtRVQtM1" TargetMode="External"/><Relationship Id="rId253" Type="http://schemas.openxmlformats.org/officeDocument/2006/relationships/hyperlink" Target="https://news.google.com/rss/articles/CBMipgFBVV95cUxOUlFUQUtYdG9KYzlfVTFXeHpsY2wwZzRHendmbEJkX2JxOGx3YTJXWlc4d1hTcTdRelRHOFRmMDVsdWpQTjZVODdxU0ticlE1YzFqSW5wTjhOR0xlT2RQSVVRNmN1RFVGTThTU1hSdEZVQi0tYS1ZdVNMSW9TanRhQlpkdXpiajZmbjVYblczVUVKYnNVQ3doY1V1czlxWW" TargetMode="External"/><Relationship Id="rId295" Type="http://schemas.openxmlformats.org/officeDocument/2006/relationships/hyperlink" Target="https://news.google.com/rss/articles/CBMiiAFBVV95cUxQb1NHOHlpTmZEYVlXN0JHWGtqR29BQ1YtbVJBNWcyZUthSG92NmtEaDM0bjN4U0xJU2o1aDZCRTR6dXZ6TWpSSjg2aHB6V1VFck1JUUY5ZWlSb2FMcFB1amFIYnM3T2dmSnk0WGFuWm8tak1YV1M0aV9uZDVUMFVMQ3dDMVgtYXJr?oc=5" TargetMode="External"/><Relationship Id="rId309" Type="http://schemas.openxmlformats.org/officeDocument/2006/relationships/hyperlink" Target="https://news.google.com/rss/articles/CBMiqgFBVV95cUxOYlZKRzIybmJWWUtTV2xKV2lNZ3pVR3hJV0NaNk93aGlSV3JRUXFoOE42X3lFUFA2TmEzaURIbVc5b0ZHcy1NalV4SjZ4c3lqeVhQdVV1V0E1REVieHZ0TjBaWWhZbnJQa3pha2tUd0tRbnQ1NFBiRlUzVWRfRmZDT0w1dDZqcGpPemRIMVNudldfMEFRRzkyVUJaaERkbn" TargetMode="External"/><Relationship Id="rId460" Type="http://schemas.openxmlformats.org/officeDocument/2006/relationships/hyperlink" Target="https://news.google.com/rss/articles/CBMibEFVX3lxTE4wNFpCZ1VzX1J4M2t1WUpZS0s5dlIwT3pCWVk5UUs1T01BWWdpaFctWUtZNnNRXzdkcU5KdkdPSHRORDA4aTEwektEUWpuWUxXYzBINkxqS3puZEdKQnFYUlpYRXZDWW9Fb0hxSw?oc=5" TargetMode="External"/><Relationship Id="rId516" Type="http://schemas.openxmlformats.org/officeDocument/2006/relationships/hyperlink" Target="https://www.cnbc.com/2026/10/22/moderna-stock-cancer-vaccine-data-leak.html" TargetMode="External"/><Relationship Id="rId48" Type="http://schemas.openxmlformats.org/officeDocument/2006/relationships/hyperlink" Target="https://news.google.com/rss/articles/CBMivAFBVV95cUxNVWl3S2x1bXpFN01qLTVOQXg4c3pEb0o5LXVTeFpRbkRTOHVfN1g5RGtPVzA3bVFiTFdhQ2FFWXJrQ2lnQ2FjTVFLTE4tZnl0bzZfQjZMbWJIbmVWYUtOVF9Hc0t5LTMyblM1bDFyd1p2Z1dEYkhJS0hCUUZCWE5pRHNZbUdDQ3Jkd3h1ZDdSMWFrSjBLaEh2ZGRhcGx6Nj" TargetMode="External"/><Relationship Id="rId113" Type="http://schemas.openxmlformats.org/officeDocument/2006/relationships/hyperlink" Target="https://news.google.com/rss/articles/CBMimwFBVV95cUxQYnQ5Ykt5akdWZUw4UU1kNTBJdEZsbk1mcl9hTGxGZDlUeVFfRDlCRVgxWXpwLVBKUlhUY2pjM0FWcGg2UzRFaUFNQXRuQ0xMMDRGUG1iLVNLaGN5Vlh6a05WZndUSkc1ajJjaHl0SlJ6NHlRbTZSZmZwNmFYWUxfbVBRQ2VBcU9rZVhsdFVHc3NWcjFyUkZOUkJDTQ?oc=" TargetMode="External"/><Relationship Id="rId320" Type="http://schemas.openxmlformats.org/officeDocument/2006/relationships/hyperlink" Target="https://news.google.com/rss/articles/CBMivwFBVV95cUxPa2N0aU50TmFtcjNBaGptR1dLMi1JeU9waXpUczN4cjZfUjNOMXppeE0tWTVXOFMwekhPUloxZGxFWXd5NXkyTUJzTVJuTEtza0poR2hsRVJiSW9YQlBlOG9uWW5PdFhMNjNXV2pSQlc5ZG5yMVQ4N0FjZE5meVYyRDNVMHo0ekRDTURROUFCSU5HQTNCUkdiNTFtdHpNdz" TargetMode="External"/><Relationship Id="rId558" Type="http://schemas.openxmlformats.org/officeDocument/2006/relationships/hyperlink" Target="https://www.gelonghui.com/live/2724913" TargetMode="External"/><Relationship Id="rId155" Type="http://schemas.openxmlformats.org/officeDocument/2006/relationships/hyperlink" Target="https://news.google.com/rss/articles/CBMirwFBVV95cUxOdzhLWmRnMWtfRlhFbVE4SG51WFprbFRmeWpPTWRjMlZ6cFBRRTQ5QzRKdjFCMWlBUEU5ME0xUmlwQzBmQXJJZ2tlZ1RmVnp5emttZHlGRE0tdnR2MkczQlE1bDg2dlRVWlc3d2tJUFZFSzBsZXJYZDluRzA0MzVvUGpFVHVTdkZXYUtUTlZDNkhITkpPRkl0SFdYS3BHTG" TargetMode="External"/><Relationship Id="rId197" Type="http://schemas.openxmlformats.org/officeDocument/2006/relationships/hyperlink" Target="https://news.google.com/rss/articles/CBMimgFBVV95cUxOcUFVYk9GMzlXNEVhdm42TGNIbUNsQUt6TkxhUFJDZmcwaVRkSHBsd1hxamdKbVNuaE1hNXdGYjc5OHBzRDhGeXFFQ1V6ZXpkSUhqS2xkSlBzY2RYTFZkaEVXUWV0TUd3UkJpYW9mS29wSGNKMkV3dFVYSjdoS1ZFRDhLUjlBdEZiYkNxRlEwUGY3Q1RKVVRjWmhn?oc=5" TargetMode="External"/><Relationship Id="rId362" Type="http://schemas.openxmlformats.org/officeDocument/2006/relationships/hyperlink" Target="https://www.gelonghui.com/p/6083323" TargetMode="External"/><Relationship Id="rId418" Type="http://schemas.openxmlformats.org/officeDocument/2006/relationships/hyperlink" Target="https://news.google.com/rss/articles/CBMipwFBVV95cUxNcEplQVFlLXNMX3JHclE5SktRMWZsdkxaVkFpZE9XdFZ4aHFrXy1SY010dnAyaHpYb0NWX3lJZWZXNlpOd05rcGdzVkZsSVZnN1Z3aUxZNng3b1VGM25La2pwd1hib0t1c3lIZTRZN1Z0Y2txaHZYSlRaeWFPUnFrelVFYUcySWFqel9HNW9ILUpDNkFWUFhjVTZFZDNKYj" TargetMode="External"/><Relationship Id="rId625" Type="http://schemas.openxmlformats.org/officeDocument/2006/relationships/hyperlink" Target="https://news.google.com/rss/articles/CBMilgFBVV95cUxPLXVibE8wLXJfWFJ6QWJfX1V3ckU0ZmVhZTRQNzFGbEdVdS03d25PX1U4RGROcXFaUTR6aEZQY1VUXzNBVk9MQXRRbGl5dGkyRF9ITURBVnVuaFRwS0lUdjdiNUFLMmJQMWExek9GQlA5V0k0MFVNQUpQX2FWa1FHdExsS2R5ZGc5amtQMXdEREFxZG5OX3c?oc=5" TargetMode="External"/><Relationship Id="rId222" Type="http://schemas.openxmlformats.org/officeDocument/2006/relationships/hyperlink" Target="https://news.google.com/rss/articles/CBMitwFBVV95cUxQLXRPT215OW52MkFRdW55VnR2cE1RY3h5cWdVN3QxQ1hFcV9fN3o1RllUNlFJZmZoaWVWT091OGNacW5LSkhxUktMZW1YQV9NU0xyWU1uVHZNd2gzaGpBUnNvRkNuaExHS0dTd3F5Sms1WXVsblR2TjlpQ0lpQ0V5bk5TZzBWWVlHSHJ2cVVuUGtEdnhvV21kVVNFTVFGWT" TargetMode="External"/><Relationship Id="rId264" Type="http://schemas.openxmlformats.org/officeDocument/2006/relationships/hyperlink" Target="https://news.google.com/rss/articles/CBMimwFBVV95cUxNVG02d3F2cXlzMGtudFFya1EzMHBXOUVGUGFDTmI5ZFRuQ0thdHFkLTZkbFJlTW5Pb1E5LXpabHRlbTNmUVhpSC1VREYxZkFXUGdfVDJsTXhKWXVVZmZ2LUttTWREcTlBSHU1bjBkeEtFcy1xWFh4MndWOVRjR241MEctUHR2YWk2NHZKdkR4RXBnaG41dlNZaFlYTQ?oc=" TargetMode="External"/><Relationship Id="rId471" Type="http://schemas.openxmlformats.org/officeDocument/2006/relationships/hyperlink" Target="https://news.google.com/rss/articles/CBMiuwFBVV95cUxNVVV4eTNJanNDd1JqdUd6MUtINkQ1bXdaS1czelZ1OF9wdmRrZFdpR3hQU3l1aTV5RFpoUVg1bzVuTEY1Zm1Ic21Md2U2NzR3YS1GU21VRHNyemhCRTAxVTR4dmdyWTYtN1FrbzZDZXBfOElBdDd4aktsOS1aMGRXMFFZaFpEcS1sYVp5enJMMFRDTTJCY0w5bE41Wk5vdV" TargetMode="External"/><Relationship Id="rId17" Type="http://schemas.openxmlformats.org/officeDocument/2006/relationships/hyperlink" Target="https://news.google.com/rss/articles/CBMihgFBVV95cUxQOG5ib3VHaVVIV003cGRJdWs0cHdjdFUySm9jQ3cxQi1uVDNXVmFzeTc3c3dTTkcya3czZS10YV9TTjJ2eVpLQ0JlV05sbHNUdEQtQWMwZnFVT1doYVNWUFpIcWttYzVPSEpmSXY3bndjUXF1VUp3OWh4dWlmQ1J0a1NpamFpd9IBiwFBVV95cUxPR2NUVC1GSTFnM1dQcl" TargetMode="External"/><Relationship Id="rId59" Type="http://schemas.openxmlformats.org/officeDocument/2006/relationships/hyperlink" Target="https://news.google.com/rss/articles/CBMigwJBVV95cUxQSGZQNDFMNm1FNHUtM1FTOUZCRWZFLVlQdzRGeThKd2hUaHo1ZGtpRm9TX1NycHNtQ3VadnBFU2tpcDlrTTZJR2tMX0VSUklUU2hHeElMVFFQSzVQOEFEZXV3Q2w2TndhVkkyaFlLeTJuTVBSdmhuZk1US1RrdGVVRlh0SGFKZWs1dWdsZUNCeFJrcGRPbE9VSENnMXNhcW" TargetMode="External"/><Relationship Id="rId124" Type="http://schemas.openxmlformats.org/officeDocument/2006/relationships/hyperlink" Target="https://news.google.com/rss/articles/CBMipAFBVV95cUxQSUQxOU5GbGJNZkY0NjJfZ3VpWERqeDMyVHMwRkw1Y2VzdzczdF9LMjRyeFhSWnBEUkJhWURIcnhaZVhYVW9NZmdoRFU0YXM0a2FZd08wZGEzSkV5N2IyN1lQX2lNckZpanhkbGNKanBTMXE4ZXlmd3ZwU0pnV2ZhTEtHTGpBV3VhTWhsbWhLTEJ2VG5Fb244RWZ6bmgzRk" TargetMode="External"/><Relationship Id="rId527" Type="http://schemas.openxmlformats.org/officeDocument/2006/relationships/hyperlink" Target="https://news.google.com/rss/articles/CBMioAFBVV95cUxOOU5uNjZ6MTZvd2dkQlFWUFJ2VW9RdGNmLS12R0x2UDlmMC1jRzBpWmFWNGwzcXFySjFBUzd1V1JSeU5FNGVYdDQzZ1hod1g5SmVOZUw2eTZKTEt0QnpFT0JONTc5eEhHUlNUTHlhMnd6TmF2eW9JX1FzZElGZzRsak1MdVFER2RYVDVJOHVVSnZLSXVzWUNBOFVoU0JfUF" TargetMode="External"/><Relationship Id="rId569" Type="http://schemas.openxmlformats.org/officeDocument/2006/relationships/hyperlink" Target="https://news.cnyes.com/news/id/6636756" TargetMode="External"/><Relationship Id="rId70" Type="http://schemas.openxmlformats.org/officeDocument/2006/relationships/hyperlink" Target="https://news.google.com/rss/articles/CBMilwFBVV95cUxNQk8wUDB2ZXNsLWJRUXVraXJTQ01OME9SY2RrVHlXYWw3bFFtSjFRV0NUNXRXYkZSYjZMQ3d5VUt3T1E1UWVRaERmbWRING5kUWJ6OU1vQjRMVEhaZ0pvQXpncnZmRDBOdlZHOUhoYlNGWndqbExJWkI0ek9kTEsydkp4TFRST3BKYWFFMEY5cTRnRzVSbkFv?oc=5" TargetMode="External"/><Relationship Id="rId166" Type="http://schemas.openxmlformats.org/officeDocument/2006/relationships/hyperlink" Target="https://news.google.com/rss/articles/CBMilgFBVV95cUxOVjdKRG5kci1iQkJoSWEtdDVBQVE0UDBVMjB0VkR4NDVJTlNkLUhBSG5mUFd1enRxNkF2Yy1RYmhMZXZRaTNPb25sT25NZks5ODZKSDlUbXpQRC1odUtwOEhXTTdQdDdYbXgyUklCUnh6WkNUVm1CaWJkamJqME5hUGczczMxaFdBT05iNzRrZmgxSGlHT2c?oc=5" TargetMode="External"/><Relationship Id="rId331" Type="http://schemas.openxmlformats.org/officeDocument/2006/relationships/hyperlink" Target="https://news.google.com/rss/articles/CBMiS0FVX3lxTFBkRXRKZVdaX3J0ZkkwMmh3SHdWY241ZmJtWWtrZ0hlQVVrbjRDc0NtYzI4N3JqZVlaR1hvZllDMDdNVjJhOVBudG1Vdw?oc=5" TargetMode="External"/><Relationship Id="rId373" Type="http://schemas.openxmlformats.org/officeDocument/2006/relationships/hyperlink" Target="https://news.google.com/rss/articles/CBMilAFBVV95cUxQdUV3eHhzRU0wZy1uaDduYW9HQ1VUd3lyUUljdklDTmx4UEhZTi03ZXpDRjNBdENvUXRMeHhOb2EtWGp3ZFA2YWlRNm5SLWxGSUEtRDFpZWg3MUFuMlZHVFZZU0dUdmRIYTdURHlUNmRVSFFXaTR0STZQdTViZVZ2RmtTaWthODNmRTJlbDVxaU1fdEcz?oc=5" TargetMode="External"/><Relationship Id="rId429" Type="http://schemas.openxmlformats.org/officeDocument/2006/relationships/hyperlink" Target="https://news.google.com/rss/articles/CBMitgFBVV95cUxOc2NnaE5NeHh0RDRvdnN4M3MwR1ZZamVLcGFoSzU5aEZ1NjdQbzNST2ZWY2RnMWd2SHFqaWc4TEI0SHk2VndDazZBTjFPU25kYTZYUmE4NEVwZHZVcnRQYnc3RGZMc00yT3d0TzgxYzgzZHd0STl6TUFqWWdWSm5KRXBTU1ExQ21DN0o5MVpHQXlBRlpNaUo3clBrSzgtM3" TargetMode="External"/><Relationship Id="rId580" Type="http://schemas.openxmlformats.org/officeDocument/2006/relationships/hyperlink" Target="https://news.cnyes.com/news/id/6636781" TargetMode="External"/><Relationship Id="rId636" Type="http://schemas.openxmlformats.org/officeDocument/2006/relationships/hyperlink" Target="https://news.google.com/rss/articles/CBMi7wFBVV95cUxQRGY2WEE3QzFiczVJeURsbmdYNXFWZ0dHLVJ1aE5UR0dTbHJwWmRDSjNKTk9WOU1kckFxcTRGeUtjTnlOWVFxazY0SG9Xb0tKM1lHdWw0TTVCRU4wSmtLblZzMXV4dnIwRWYzM29mY3VuOTl4UFhGV09vRDVsVlc0ckFFZ0o0Wnc0b3dvSTVtNVJiQkhKSXZBSzBxVnFBY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zoomScaleNormal="100" workbookViewId="0"/>
  </sheetViews>
  <sheetFormatPr defaultColWidth="8.7109375" defaultRowHeight="15"/>
  <cols>
    <col min="1" max="1" width="110" customWidth="1"/>
    <col min="2" max="2" width="10" customWidth="1"/>
  </cols>
  <sheetData>
    <row r="1" spans="1:2" ht="15.75">
      <c r="A1" s="1" t="s">
        <v>0</v>
      </c>
    </row>
    <row r="2" spans="1:2">
      <c r="A2" s="2" t="s">
        <v>1</v>
      </c>
    </row>
    <row r="3" spans="1:2">
      <c r="A3" s="2"/>
    </row>
    <row r="4" spans="1:2">
      <c r="A4" s="3" t="s">
        <v>2</v>
      </c>
    </row>
    <row r="5" spans="1:2" ht="25.5">
      <c r="A5" s="4" t="s">
        <v>3</v>
      </c>
    </row>
    <row r="6" spans="1:2">
      <c r="A6" s="4" t="s">
        <v>4</v>
      </c>
    </row>
    <row r="7" spans="1:2" ht="25.5">
      <c r="A7" s="4" t="s">
        <v>5</v>
      </c>
    </row>
    <row r="8" spans="1:2">
      <c r="A8" s="4" t="s">
        <v>6</v>
      </c>
    </row>
    <row r="9" spans="1:2">
      <c r="A9" s="4" t="s">
        <v>7</v>
      </c>
    </row>
    <row r="10" spans="1:2">
      <c r="A10" s="4" t="s">
        <v>8</v>
      </c>
    </row>
    <row r="11" spans="1:2">
      <c r="A11" s="4" t="s">
        <v>9</v>
      </c>
    </row>
    <row r="12" spans="1:2">
      <c r="A12" s="4" t="s">
        <v>10</v>
      </c>
    </row>
    <row r="13" spans="1:2">
      <c r="A13" s="2"/>
    </row>
    <row r="14" spans="1:2">
      <c r="A14" s="3" t="s">
        <v>11</v>
      </c>
    </row>
    <row r="15" spans="1:2">
      <c r="A15" s="5" t="s">
        <v>12</v>
      </c>
      <c r="B15" s="5">
        <f>COUNTIF(覆核!$M$2:$M$646,"維持")</f>
        <v>173</v>
      </c>
    </row>
    <row r="16" spans="1:2">
      <c r="A16" s="5" t="s">
        <v>13</v>
      </c>
      <c r="B16" s="5">
        <f>COUNTIF(覆核!$M$2:$M$646,"修改")</f>
        <v>22</v>
      </c>
    </row>
    <row r="17" spans="1:2">
      <c r="A17" s="5" t="s">
        <v>14</v>
      </c>
      <c r="B17" s="5">
        <f>COUNTIF(覆核!$M$2:$M$646,"排除")</f>
        <v>450</v>
      </c>
    </row>
    <row r="18" spans="1:2">
      <c r="A18" s="5" t="s">
        <v>15</v>
      </c>
      <c r="B18" s="5">
        <f>COUNTBLANK(覆核!$R$2:$R$646)</f>
        <v>0</v>
      </c>
    </row>
    <row r="20" spans="1:2">
      <c r="A20" s="5" t="s">
        <v>16</v>
      </c>
    </row>
  </sheetData>
  <phoneticPr fontId="14"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646"/>
  <sheetViews>
    <sheetView tabSelected="1" zoomScaleNormal="100" workbookViewId="0">
      <pane xSplit="5" ySplit="1" topLeftCell="P26" activePane="bottomRight" state="frozen"/>
      <selection pane="topRight" activeCell="F1" sqref="F1"/>
      <selection pane="bottomLeft" activeCell="A2" sqref="A2"/>
      <selection pane="bottomRight" activeCell="T14" sqref="T14"/>
    </sheetView>
  </sheetViews>
  <sheetFormatPr defaultColWidth="8.7109375" defaultRowHeight="15"/>
  <cols>
    <col min="1" max="1" width="5" customWidth="1"/>
    <col min="2" max="2" width="11" customWidth="1"/>
    <col min="3" max="3" width="8" customWidth="1"/>
    <col min="4" max="4" width="18" customWidth="1"/>
    <col min="5" max="5" width="42" customWidth="1"/>
    <col min="6" max="6" width="34" customWidth="1"/>
    <col min="7" max="7" width="16" customWidth="1"/>
    <col min="8" max="8" width="8" customWidth="1"/>
    <col min="9" max="9" width="22" customWidth="1"/>
    <col min="10" max="10" width="14" customWidth="1"/>
    <col min="11" max="11" width="8" customWidth="1"/>
    <col min="12" max="12" width="10" customWidth="1"/>
    <col min="13" max="13" width="8" customWidth="1"/>
    <col min="14" max="14" width="22" customWidth="1"/>
    <col min="15" max="15" width="8" customWidth="1"/>
    <col min="16" max="16" width="48" customWidth="1"/>
    <col min="17" max="17" width="8" customWidth="1"/>
    <col min="18" max="18" width="10" customWidth="1"/>
    <col min="19" max="19" width="22" customWidth="1"/>
    <col min="20" max="20" width="16" customWidth="1"/>
    <col min="21" max="21" width="8" customWidth="1"/>
    <col min="22" max="22" width="20" customWidth="1"/>
    <col min="23" max="23" width="10" customWidth="1"/>
    <col min="24" max="24" width="16" customWidth="1"/>
    <col min="25" max="25" width="22" customWidth="1"/>
    <col min="26" max="26" width="10" customWidth="1"/>
    <col min="27" max="27" width="26" customWidth="1"/>
    <col min="28" max="28" width="10" customWidth="1"/>
  </cols>
  <sheetData>
    <row r="1" spans="1:28" ht="31.5" customHeight="1">
      <c r="A1" s="6" t="s">
        <v>17</v>
      </c>
      <c r="B1" s="6" t="s">
        <v>18</v>
      </c>
      <c r="C1" s="7" t="s">
        <v>19</v>
      </c>
      <c r="D1" s="6" t="s">
        <v>20</v>
      </c>
      <c r="E1" s="6" t="s">
        <v>21</v>
      </c>
      <c r="F1" s="6" t="s">
        <v>22</v>
      </c>
      <c r="G1" s="6" t="s">
        <v>23</v>
      </c>
      <c r="H1" s="7" t="s">
        <v>24</v>
      </c>
      <c r="I1" s="6" t="s">
        <v>25</v>
      </c>
      <c r="J1" s="6" t="s">
        <v>26</v>
      </c>
      <c r="K1" s="6" t="s">
        <v>27</v>
      </c>
      <c r="L1" s="6" t="s">
        <v>28</v>
      </c>
      <c r="M1" s="6" t="s">
        <v>29</v>
      </c>
      <c r="N1" s="6" t="s">
        <v>30</v>
      </c>
      <c r="O1" s="6" t="s">
        <v>31</v>
      </c>
      <c r="P1" s="6" t="s">
        <v>32</v>
      </c>
      <c r="Q1" s="6" t="s">
        <v>33</v>
      </c>
      <c r="R1" s="8" t="s">
        <v>34</v>
      </c>
      <c r="S1" s="8" t="s">
        <v>35</v>
      </c>
      <c r="T1" s="6" t="s">
        <v>36</v>
      </c>
      <c r="U1" s="6" t="s">
        <v>37</v>
      </c>
      <c r="V1" s="8" t="s">
        <v>38</v>
      </c>
      <c r="W1" s="8" t="s">
        <v>39</v>
      </c>
      <c r="X1" s="6" t="s">
        <v>40</v>
      </c>
      <c r="Y1" s="8" t="s">
        <v>41</v>
      </c>
      <c r="Z1" s="8" t="s">
        <v>42</v>
      </c>
      <c r="AA1" s="7" t="s">
        <v>43</v>
      </c>
      <c r="AB1" s="6" t="s">
        <v>44</v>
      </c>
    </row>
    <row r="2" spans="1:28" ht="51">
      <c r="A2" s="9">
        <v>1</v>
      </c>
      <c r="B2" s="9" t="s">
        <v>45</v>
      </c>
      <c r="C2" s="9" t="s">
        <v>46</v>
      </c>
      <c r="D2" s="10" t="s">
        <v>47</v>
      </c>
      <c r="E2" s="11" t="s">
        <v>48</v>
      </c>
      <c r="F2" s="10" t="s">
        <v>49</v>
      </c>
      <c r="G2" s="12" t="s">
        <v>50</v>
      </c>
      <c r="H2" s="13"/>
      <c r="I2" s="14" t="s">
        <v>51</v>
      </c>
      <c r="J2" s="10" t="s">
        <v>52</v>
      </c>
      <c r="K2" s="9">
        <v>3</v>
      </c>
      <c r="L2" s="15" t="s">
        <v>53</v>
      </c>
      <c r="M2" s="16" t="s">
        <v>54</v>
      </c>
      <c r="N2" s="14"/>
      <c r="O2" s="15" t="s">
        <v>55</v>
      </c>
      <c r="P2" s="10" t="s">
        <v>56</v>
      </c>
      <c r="Q2" s="9"/>
      <c r="R2" s="17" t="s">
        <v>54</v>
      </c>
      <c r="S2" s="18"/>
      <c r="T2" s="10" t="str">
        <f>IF(R2="維持",J2,IF(R2="排除","無關新聞事件",IFERROR(INDEX(事件規則!$B$2:$B$53,MATCH(S2,事件規則!$A$2:$A$53,0)),"")))</f>
        <v>CDS利差擴大／信用風險升高</v>
      </c>
      <c r="U2" s="9">
        <f>IF(R2="維持",K2,IF(R2="排除",0,IFERROR(INDEX(事件規則!$C$2:$C$53,MATCH(S2,事件規則!$A$2:$A$53,0)),"")))</f>
        <v>3</v>
      </c>
      <c r="V2" s="19"/>
      <c r="W2" s="20"/>
      <c r="X2" s="10" t="str">
        <f t="shared" ref="X2:X65" si="0">IF(AND(R2="修改",S2=""),"請選新事件代碼",IF(AND(R2&lt;&gt;"修改",S2&lt;&gt;""),"只有「修改」才需填代碼",""))</f>
        <v/>
      </c>
      <c r="Y2" s="19"/>
      <c r="Z2" s="20"/>
      <c r="AA2" s="12" t="s">
        <v>57</v>
      </c>
      <c r="AB2" s="12"/>
    </row>
    <row r="3" spans="1:28" ht="51">
      <c r="A3" s="15">
        <v>2</v>
      </c>
      <c r="B3" s="9" t="s">
        <v>45</v>
      </c>
      <c r="C3" s="9" t="s">
        <v>46</v>
      </c>
      <c r="D3" s="10" t="s">
        <v>47</v>
      </c>
      <c r="E3" s="11" t="s">
        <v>58</v>
      </c>
      <c r="F3" s="10" t="s">
        <v>59</v>
      </c>
      <c r="G3" s="12" t="s">
        <v>60</v>
      </c>
      <c r="H3" s="13"/>
      <c r="I3" s="14" t="s">
        <v>51</v>
      </c>
      <c r="J3" s="10" t="s">
        <v>52</v>
      </c>
      <c r="K3" s="9">
        <v>3</v>
      </c>
      <c r="L3" s="15" t="s">
        <v>53</v>
      </c>
      <c r="M3" s="16" t="s">
        <v>54</v>
      </c>
      <c r="N3" s="14"/>
      <c r="O3" s="15" t="s">
        <v>55</v>
      </c>
      <c r="P3" s="10" t="s">
        <v>56</v>
      </c>
      <c r="Q3" s="9"/>
      <c r="R3" s="17" t="s">
        <v>54</v>
      </c>
      <c r="S3" s="18"/>
      <c r="T3" s="10" t="str">
        <f>IF(R3="維持",J3,IF(R3="排除","無關新聞事件",IFERROR(INDEX(事件規則!$B$2:$B$53,MATCH(S3,事件規則!$A$2:$A$53,0)),"")))</f>
        <v>CDS利差擴大／信用風險升高</v>
      </c>
      <c r="U3" s="9">
        <f>IF(R3="維持",K3,IF(R3="排除",0,IFERROR(INDEX(事件規則!$C$2:$C$53,MATCH(S3,事件規則!$A$2:$A$53,0)),"")))</f>
        <v>3</v>
      </c>
      <c r="V3" s="19"/>
      <c r="W3" s="20"/>
      <c r="X3" s="10" t="str">
        <f t="shared" si="0"/>
        <v/>
      </c>
      <c r="Y3" s="19"/>
      <c r="Z3" s="20"/>
      <c r="AA3" s="12" t="s">
        <v>61</v>
      </c>
      <c r="AB3" s="12"/>
    </row>
    <row r="4" spans="1:28" ht="38.25">
      <c r="A4" s="15">
        <v>3</v>
      </c>
      <c r="B4" s="9" t="s">
        <v>45</v>
      </c>
      <c r="C4" s="9" t="s">
        <v>46</v>
      </c>
      <c r="D4" s="10" t="s">
        <v>47</v>
      </c>
      <c r="E4" s="21" t="s">
        <v>62</v>
      </c>
      <c r="F4" s="22" t="s">
        <v>63</v>
      </c>
      <c r="G4" s="12" t="s">
        <v>64</v>
      </c>
      <c r="H4" s="13"/>
      <c r="I4" s="14" t="s">
        <v>51</v>
      </c>
      <c r="J4" s="10" t="s">
        <v>52</v>
      </c>
      <c r="K4" s="9">
        <v>3</v>
      </c>
      <c r="L4" s="15" t="s">
        <v>53</v>
      </c>
      <c r="M4" s="16" t="s">
        <v>54</v>
      </c>
      <c r="N4" s="14"/>
      <c r="O4" s="15" t="s">
        <v>65</v>
      </c>
      <c r="P4" s="10" t="s">
        <v>66</v>
      </c>
      <c r="Q4" s="9"/>
      <c r="R4" s="17" t="s">
        <v>54</v>
      </c>
      <c r="S4" s="18"/>
      <c r="T4" s="22" t="str">
        <f>IF(R4="維持",J4,IF(R4="排除","無關新聞事件",IFERROR(INDEX(事件規則!$B$2:$B$53,MATCH(S4,事件規則!$A$2:$A$53,0)),"")))</f>
        <v>CDS利差擴大／信用風險升高</v>
      </c>
      <c r="U4" s="9">
        <f>IF(R4="維持",K4,IF(R4="排除",0,IFERROR(INDEX(事件規則!$C$2:$C$53,MATCH(S4,事件規則!$A$2:$A$53,0)),"")))</f>
        <v>3</v>
      </c>
      <c r="V4" s="19"/>
      <c r="W4" s="20"/>
      <c r="X4" s="10" t="str">
        <f t="shared" si="0"/>
        <v/>
      </c>
      <c r="Y4" s="19"/>
      <c r="Z4" s="20"/>
      <c r="AA4" s="12" t="s">
        <v>67</v>
      </c>
      <c r="AB4" s="12"/>
    </row>
    <row r="5" spans="1:28" ht="51">
      <c r="A5" s="15">
        <v>4</v>
      </c>
      <c r="B5" s="9" t="s">
        <v>68</v>
      </c>
      <c r="C5" s="9" t="s">
        <v>69</v>
      </c>
      <c r="D5" s="10" t="s">
        <v>70</v>
      </c>
      <c r="E5" s="21" t="s">
        <v>71</v>
      </c>
      <c r="F5" s="22" t="s">
        <v>72</v>
      </c>
      <c r="G5" s="12" t="s">
        <v>73</v>
      </c>
      <c r="H5" s="13">
        <v>-0.96499999999999997</v>
      </c>
      <c r="I5" s="14" t="s">
        <v>51</v>
      </c>
      <c r="J5" s="10" t="s">
        <v>52</v>
      </c>
      <c r="K5" s="9">
        <v>3</v>
      </c>
      <c r="L5" s="15" t="s">
        <v>53</v>
      </c>
      <c r="M5" s="16" t="s">
        <v>74</v>
      </c>
      <c r="N5" s="14"/>
      <c r="O5" s="15" t="s">
        <v>55</v>
      </c>
      <c r="P5" s="22" t="s">
        <v>75</v>
      </c>
      <c r="Q5" s="9"/>
      <c r="R5" s="17" t="s">
        <v>74</v>
      </c>
      <c r="S5" s="18"/>
      <c r="T5" s="22" t="str">
        <f>IF(R5="維持",J5,IF(R5="排除","無關新聞事件",IFERROR(INDEX(事件規則!$B$2:$B$53,MATCH(S5,事件規則!$A$2:$A$53,0)),"")))</f>
        <v>無關新聞事件</v>
      </c>
      <c r="U5" s="9">
        <f>IF(R5="維持",K5,IF(R5="排除",0,IFERROR(INDEX(事件規則!$C$2:$C$53,MATCH(S5,事件規則!$A$2:$A$53,0)),"")))</f>
        <v>0</v>
      </c>
      <c r="V5" s="19"/>
      <c r="W5" s="20"/>
      <c r="X5" s="10" t="str">
        <f t="shared" si="0"/>
        <v/>
      </c>
      <c r="Y5" s="19"/>
      <c r="Z5" s="20"/>
      <c r="AA5" s="12" t="s">
        <v>76</v>
      </c>
      <c r="AB5" s="12"/>
    </row>
    <row r="6" spans="1:28" ht="25.5">
      <c r="A6" s="15">
        <v>5</v>
      </c>
      <c r="B6" s="9" t="s">
        <v>77</v>
      </c>
      <c r="C6" s="9" t="s">
        <v>78</v>
      </c>
      <c r="D6" s="10" t="s">
        <v>79</v>
      </c>
      <c r="E6" s="21" t="s">
        <v>80</v>
      </c>
      <c r="F6" s="22" t="s">
        <v>81</v>
      </c>
      <c r="G6" s="12" t="s">
        <v>82</v>
      </c>
      <c r="H6" s="13">
        <v>-0.128</v>
      </c>
      <c r="I6" s="14" t="s">
        <v>83</v>
      </c>
      <c r="J6" s="22" t="s">
        <v>84</v>
      </c>
      <c r="K6" s="9">
        <v>3</v>
      </c>
      <c r="L6" s="15"/>
      <c r="M6" s="16" t="s">
        <v>74</v>
      </c>
      <c r="N6" s="14"/>
      <c r="O6" s="15" t="s">
        <v>55</v>
      </c>
      <c r="P6" s="10" t="s">
        <v>85</v>
      </c>
      <c r="Q6" s="9"/>
      <c r="R6" s="17" t="s">
        <v>74</v>
      </c>
      <c r="S6" s="18"/>
      <c r="T6" s="22" t="str">
        <f>IF(R6="維持",J6,IF(R6="排除","無關新聞事件",IFERROR(INDEX(事件規則!$B$2:$B$53,MATCH(S6,事件規則!$A$2:$A$53,0)),"")))</f>
        <v>無關新聞事件</v>
      </c>
      <c r="U6" s="9">
        <f>IF(R6="維持",K6,IF(R6="排除",0,IFERROR(INDEX(事件規則!$C$2:$C$53,MATCH(S6,事件規則!$A$2:$A$53,0)),"")))</f>
        <v>0</v>
      </c>
      <c r="V6" s="19"/>
      <c r="W6" s="20"/>
      <c r="X6" s="10" t="str">
        <f t="shared" si="0"/>
        <v/>
      </c>
      <c r="Y6" s="19"/>
      <c r="Z6" s="20"/>
      <c r="AA6" s="12" t="s">
        <v>86</v>
      </c>
      <c r="AB6" s="12"/>
    </row>
    <row r="7" spans="1:28" ht="38.25">
      <c r="A7" s="15">
        <v>6</v>
      </c>
      <c r="B7" s="9" t="s">
        <v>87</v>
      </c>
      <c r="C7" s="9" t="s">
        <v>78</v>
      </c>
      <c r="D7" s="10" t="s">
        <v>79</v>
      </c>
      <c r="E7" s="21" t="s">
        <v>88</v>
      </c>
      <c r="F7" s="22" t="s">
        <v>89</v>
      </c>
      <c r="G7" s="12" t="s">
        <v>90</v>
      </c>
      <c r="H7" s="13">
        <v>-7.8E-2</v>
      </c>
      <c r="I7" s="14" t="s">
        <v>83</v>
      </c>
      <c r="J7" s="22" t="s">
        <v>84</v>
      </c>
      <c r="K7" s="9">
        <v>3</v>
      </c>
      <c r="L7" s="15"/>
      <c r="M7" s="16" t="s">
        <v>74</v>
      </c>
      <c r="N7" s="14"/>
      <c r="O7" s="15" t="s">
        <v>65</v>
      </c>
      <c r="P7" s="10" t="s">
        <v>91</v>
      </c>
      <c r="Q7" s="9"/>
      <c r="R7" s="17" t="s">
        <v>74</v>
      </c>
      <c r="S7" s="18"/>
      <c r="T7" s="22" t="str">
        <f>IF(R7="維持",J7,IF(R7="排除","無關新聞事件",IFERROR(INDEX(事件規則!$B$2:$B$53,MATCH(S7,事件規則!$A$2:$A$53,0)),"")))</f>
        <v>無關新聞事件</v>
      </c>
      <c r="U7" s="9">
        <f>IF(R7="維持",K7,IF(R7="排除",0,IFERROR(INDEX(事件規則!$C$2:$C$53,MATCH(S7,事件規則!$A$2:$A$53,0)),"")))</f>
        <v>0</v>
      </c>
      <c r="V7" s="19"/>
      <c r="W7" s="20"/>
      <c r="X7" s="10" t="str">
        <f t="shared" si="0"/>
        <v/>
      </c>
      <c r="Y7" s="19"/>
      <c r="Z7" s="20"/>
      <c r="AA7" s="12" t="s">
        <v>92</v>
      </c>
      <c r="AB7" s="12"/>
    </row>
    <row r="8" spans="1:28" ht="25.5">
      <c r="A8" s="15">
        <v>7</v>
      </c>
      <c r="B8" s="9" t="s">
        <v>87</v>
      </c>
      <c r="C8" s="9" t="s">
        <v>93</v>
      </c>
      <c r="D8" s="10" t="s">
        <v>94</v>
      </c>
      <c r="E8" s="21" t="s">
        <v>95</v>
      </c>
      <c r="F8" s="10" t="s">
        <v>96</v>
      </c>
      <c r="G8" s="12" t="s">
        <v>97</v>
      </c>
      <c r="H8" s="13">
        <v>-0.93</v>
      </c>
      <c r="I8" s="14" t="s">
        <v>83</v>
      </c>
      <c r="J8" s="22" t="s">
        <v>84</v>
      </c>
      <c r="K8" s="9">
        <v>3</v>
      </c>
      <c r="L8" s="15"/>
      <c r="M8" s="16" t="s">
        <v>74</v>
      </c>
      <c r="N8" s="14"/>
      <c r="O8" s="15" t="s">
        <v>55</v>
      </c>
      <c r="P8" s="10" t="s">
        <v>98</v>
      </c>
      <c r="Q8" s="9"/>
      <c r="R8" s="17" t="s">
        <v>74</v>
      </c>
      <c r="S8" s="18"/>
      <c r="T8" s="22" t="str">
        <f>IF(R8="維持",J8,IF(R8="排除","無關新聞事件",IFERROR(INDEX(事件規則!$B$2:$B$53,MATCH(S8,事件規則!$A$2:$A$53,0)),"")))</f>
        <v>無關新聞事件</v>
      </c>
      <c r="U8" s="9">
        <f>IF(R8="維持",K8,IF(R8="排除",0,IFERROR(INDEX(事件規則!$C$2:$C$53,MATCH(S8,事件規則!$A$2:$A$53,0)),"")))</f>
        <v>0</v>
      </c>
      <c r="V8" s="19"/>
      <c r="W8" s="20"/>
      <c r="X8" s="10" t="str">
        <f t="shared" si="0"/>
        <v/>
      </c>
      <c r="Y8" s="19"/>
      <c r="Z8" s="20"/>
      <c r="AA8" s="12" t="s">
        <v>99</v>
      </c>
      <c r="AB8" s="12"/>
    </row>
    <row r="9" spans="1:28" ht="25.5">
      <c r="A9" s="15">
        <v>8</v>
      </c>
      <c r="B9" s="9" t="s">
        <v>100</v>
      </c>
      <c r="C9" s="9" t="s">
        <v>93</v>
      </c>
      <c r="D9" s="10" t="s">
        <v>94</v>
      </c>
      <c r="E9" s="21" t="s">
        <v>101</v>
      </c>
      <c r="F9" s="10" t="s">
        <v>102</v>
      </c>
      <c r="G9" s="12" t="s">
        <v>103</v>
      </c>
      <c r="H9" s="13">
        <v>-0.92200000000000004</v>
      </c>
      <c r="I9" s="14" t="s">
        <v>83</v>
      </c>
      <c r="J9" s="22" t="s">
        <v>84</v>
      </c>
      <c r="K9" s="9">
        <v>3</v>
      </c>
      <c r="L9" s="15"/>
      <c r="M9" s="16" t="s">
        <v>74</v>
      </c>
      <c r="N9" s="14"/>
      <c r="O9" s="15" t="s">
        <v>55</v>
      </c>
      <c r="P9" s="10" t="s">
        <v>98</v>
      </c>
      <c r="Q9" s="9"/>
      <c r="R9" s="17" t="s">
        <v>74</v>
      </c>
      <c r="S9" s="18"/>
      <c r="T9" s="22" t="str">
        <f>IF(R9="維持",J9,IF(R9="排除","無關新聞事件",IFERROR(INDEX(事件規則!$B$2:$B$53,MATCH(S9,事件規則!$A$2:$A$53,0)),"")))</f>
        <v>無關新聞事件</v>
      </c>
      <c r="U9" s="9">
        <f>IF(R9="維持",K9,IF(R9="排除",0,IFERROR(INDEX(事件規則!$C$2:$C$53,MATCH(S9,事件規則!$A$2:$A$53,0)),"")))</f>
        <v>0</v>
      </c>
      <c r="V9" s="19"/>
      <c r="W9" s="20"/>
      <c r="X9" s="10" t="str">
        <f t="shared" si="0"/>
        <v/>
      </c>
      <c r="Y9" s="19"/>
      <c r="Z9" s="20"/>
      <c r="AA9" s="12" t="s">
        <v>104</v>
      </c>
      <c r="AB9" s="12"/>
    </row>
    <row r="10" spans="1:28" ht="38.25">
      <c r="A10" s="15">
        <v>9</v>
      </c>
      <c r="B10" s="9" t="s">
        <v>105</v>
      </c>
      <c r="C10" s="9" t="s">
        <v>106</v>
      </c>
      <c r="D10" s="10" t="s">
        <v>107</v>
      </c>
      <c r="E10" s="21" t="s">
        <v>108</v>
      </c>
      <c r="F10" s="10" t="s">
        <v>109</v>
      </c>
      <c r="G10" s="23" t="s">
        <v>110</v>
      </c>
      <c r="H10" s="13"/>
      <c r="I10" s="14" t="s">
        <v>83</v>
      </c>
      <c r="J10" s="22" t="s">
        <v>84</v>
      </c>
      <c r="K10" s="9">
        <v>3</v>
      </c>
      <c r="L10" s="15"/>
      <c r="M10" s="16" t="s">
        <v>74</v>
      </c>
      <c r="N10" s="14"/>
      <c r="O10" s="15" t="s">
        <v>55</v>
      </c>
      <c r="P10" s="22" t="s">
        <v>111</v>
      </c>
      <c r="Q10" s="9"/>
      <c r="R10" s="17" t="s">
        <v>74</v>
      </c>
      <c r="S10" s="18"/>
      <c r="T10" s="22" t="str">
        <f>IF(R10="維持",J10,IF(R10="排除","無關新聞事件",IFERROR(INDEX(事件規則!$B$2:$B$53,MATCH(S10,事件規則!$A$2:$A$53,0)),"")))</f>
        <v>無關新聞事件</v>
      </c>
      <c r="U10" s="9">
        <f>IF(R10="維持",K10,IF(R10="排除",0,IFERROR(INDEX(事件規則!$C$2:$C$53,MATCH(S10,事件規則!$A$2:$A$53,0)),"")))</f>
        <v>0</v>
      </c>
      <c r="V10" s="19"/>
      <c r="W10" s="20"/>
      <c r="X10" s="10" t="str">
        <f t="shared" si="0"/>
        <v/>
      </c>
      <c r="Y10" s="19"/>
      <c r="Z10" s="20"/>
      <c r="AA10" s="12" t="s">
        <v>112</v>
      </c>
      <c r="AB10" s="23"/>
    </row>
    <row r="11" spans="1:28" ht="25.5">
      <c r="A11" s="15">
        <v>10</v>
      </c>
      <c r="B11" s="9" t="s">
        <v>113</v>
      </c>
      <c r="C11" s="9" t="s">
        <v>114</v>
      </c>
      <c r="D11" s="10" t="s">
        <v>115</v>
      </c>
      <c r="E11" s="21" t="s">
        <v>116</v>
      </c>
      <c r="F11" s="22"/>
      <c r="G11" s="12" t="s">
        <v>64</v>
      </c>
      <c r="H11" s="13"/>
      <c r="I11" s="14" t="s">
        <v>83</v>
      </c>
      <c r="J11" s="22" t="s">
        <v>84</v>
      </c>
      <c r="K11" s="9">
        <v>3</v>
      </c>
      <c r="L11" s="15"/>
      <c r="M11" s="16" t="s">
        <v>74</v>
      </c>
      <c r="N11" s="14"/>
      <c r="O11" s="15" t="s">
        <v>55</v>
      </c>
      <c r="P11" s="22" t="s">
        <v>111</v>
      </c>
      <c r="Q11" s="9"/>
      <c r="R11" s="17" t="s">
        <v>74</v>
      </c>
      <c r="S11" s="18"/>
      <c r="T11" s="22" t="str">
        <f>IF(R11="維持",J11,IF(R11="排除","無關新聞事件",IFERROR(INDEX(事件規則!$B$2:$B$53,MATCH(S11,事件規則!$A$2:$A$53,0)),"")))</f>
        <v>無關新聞事件</v>
      </c>
      <c r="U11" s="9">
        <f>IF(R11="維持",K11,IF(R11="排除",0,IFERROR(INDEX(事件規則!$C$2:$C$53,MATCH(S11,事件規則!$A$2:$A$53,0)),"")))</f>
        <v>0</v>
      </c>
      <c r="V11" s="19"/>
      <c r="W11" s="20"/>
      <c r="X11" s="10" t="str">
        <f t="shared" si="0"/>
        <v/>
      </c>
      <c r="Y11" s="19"/>
      <c r="Z11" s="20"/>
      <c r="AA11" s="12" t="s">
        <v>117</v>
      </c>
      <c r="AB11" s="23"/>
    </row>
    <row r="12" spans="1:28" ht="25.5">
      <c r="A12" s="15">
        <v>11</v>
      </c>
      <c r="B12" s="9" t="s">
        <v>118</v>
      </c>
      <c r="C12" s="9" t="s">
        <v>119</v>
      </c>
      <c r="D12" s="10" t="s">
        <v>120</v>
      </c>
      <c r="E12" s="21" t="s">
        <v>121</v>
      </c>
      <c r="F12" s="22"/>
      <c r="G12" s="12" t="s">
        <v>122</v>
      </c>
      <c r="H12" s="13">
        <v>-0.49</v>
      </c>
      <c r="I12" s="14" t="s">
        <v>83</v>
      </c>
      <c r="J12" s="22" t="s">
        <v>84</v>
      </c>
      <c r="K12" s="9">
        <v>3</v>
      </c>
      <c r="L12" s="15"/>
      <c r="M12" s="16" t="s">
        <v>54</v>
      </c>
      <c r="N12" s="14"/>
      <c r="O12" s="15" t="s">
        <v>65</v>
      </c>
      <c r="P12" s="22" t="s">
        <v>123</v>
      </c>
      <c r="Q12" s="9"/>
      <c r="R12" s="17" t="s">
        <v>54</v>
      </c>
      <c r="S12" s="18"/>
      <c r="T12" s="22" t="str">
        <f>IF(R12="維持",J12,IF(R12="排除","無關新聞事件",IFERROR(INDEX(事件規則!$B$2:$B$53,MATCH(S12,事件規則!$A$2:$A$53,0)),"")))</f>
        <v>資安攻擊</v>
      </c>
      <c r="U12" s="9">
        <f>IF(R12="維持",K12,IF(R12="排除",0,IFERROR(INDEX(事件規則!$C$2:$C$53,MATCH(S12,事件規則!$A$2:$A$53,0)),"")))</f>
        <v>3</v>
      </c>
      <c r="V12" s="19"/>
      <c r="W12" s="20"/>
      <c r="X12" s="10" t="str">
        <f t="shared" si="0"/>
        <v/>
      </c>
      <c r="Y12" s="19"/>
      <c r="Z12" s="20"/>
      <c r="AA12" s="12" t="s">
        <v>124</v>
      </c>
      <c r="AB12" s="23"/>
    </row>
    <row r="13" spans="1:28" ht="38.25">
      <c r="A13" s="15">
        <v>12</v>
      </c>
      <c r="B13" s="9" t="s">
        <v>125</v>
      </c>
      <c r="C13" s="9" t="s">
        <v>126</v>
      </c>
      <c r="D13" s="10" t="s">
        <v>127</v>
      </c>
      <c r="E13" s="21" t="s">
        <v>128</v>
      </c>
      <c r="F13" s="22"/>
      <c r="G13" s="12" t="s">
        <v>129</v>
      </c>
      <c r="H13" s="13">
        <v>-0.57199999999999995</v>
      </c>
      <c r="I13" s="14" t="s">
        <v>83</v>
      </c>
      <c r="J13" s="22" t="s">
        <v>84</v>
      </c>
      <c r="K13" s="9">
        <v>3</v>
      </c>
      <c r="L13" s="15"/>
      <c r="M13" s="16" t="s">
        <v>54</v>
      </c>
      <c r="N13" s="14"/>
      <c r="O13" s="15" t="s">
        <v>65</v>
      </c>
      <c r="P13" s="10" t="s">
        <v>132</v>
      </c>
      <c r="Q13" s="9"/>
      <c r="R13" s="17" t="s">
        <v>54</v>
      </c>
      <c r="S13" s="18"/>
      <c r="T13" s="22" t="str">
        <f>IF(R13="維持",J13,IF(R13="排除","無關新聞事件",IFERROR(INDEX(事件規則!$B$2:$B$53,MATCH(S13,事件規則!$A$2:$A$53,0)),"")))</f>
        <v>資安攻擊</v>
      </c>
      <c r="U13" s="9">
        <f>IF(R13="維持",K13,IF(R13="排除",0,IFERROR(INDEX(事件規則!$C$2:$C$53,MATCH(S13,事件規則!$A$2:$A$53,0)),"")))</f>
        <v>3</v>
      </c>
      <c r="V13" s="19"/>
      <c r="W13" s="20"/>
      <c r="X13" s="10" t="str">
        <f t="shared" si="0"/>
        <v/>
      </c>
      <c r="Y13" s="19"/>
      <c r="Z13" s="20"/>
      <c r="AA13" s="12" t="s">
        <v>133</v>
      </c>
      <c r="AB13" s="23"/>
    </row>
    <row r="14" spans="1:28" ht="25.5">
      <c r="A14" s="15">
        <v>13</v>
      </c>
      <c r="B14" s="9" t="s">
        <v>134</v>
      </c>
      <c r="C14" s="9" t="s">
        <v>126</v>
      </c>
      <c r="D14" s="10" t="s">
        <v>127</v>
      </c>
      <c r="E14" s="21" t="s">
        <v>135</v>
      </c>
      <c r="F14" s="22"/>
      <c r="G14" s="12" t="s">
        <v>136</v>
      </c>
      <c r="H14" s="13">
        <v>-0.751</v>
      </c>
      <c r="I14" s="14" t="s">
        <v>83</v>
      </c>
      <c r="J14" s="22" t="s">
        <v>84</v>
      </c>
      <c r="K14" s="9">
        <v>3</v>
      </c>
      <c r="L14" s="15"/>
      <c r="M14" s="16" t="s">
        <v>54</v>
      </c>
      <c r="N14" s="14"/>
      <c r="O14" s="15" t="s">
        <v>65</v>
      </c>
      <c r="P14" s="10" t="s">
        <v>132</v>
      </c>
      <c r="Q14" s="9"/>
      <c r="R14" s="17" t="s">
        <v>54</v>
      </c>
      <c r="S14" s="18"/>
      <c r="T14" s="22" t="str">
        <f>IF(R14="維持",J14,IF(R14="排除","無關新聞事件",IFERROR(INDEX(事件規則!$B$2:$B$53,MATCH(S14,事件規則!$A$2:$A$53,0)),"")))</f>
        <v>資安攻擊</v>
      </c>
      <c r="U14" s="9">
        <f>IF(R14="維持",K14,IF(R14="排除",0,IFERROR(INDEX(事件規則!$C$2:$C$53,MATCH(S14,事件規則!$A$2:$A$53,0)),"")))</f>
        <v>3</v>
      </c>
      <c r="V14" s="19"/>
      <c r="W14" s="20"/>
      <c r="X14" s="10" t="str">
        <f t="shared" si="0"/>
        <v/>
      </c>
      <c r="Y14" s="19"/>
      <c r="Z14" s="20"/>
      <c r="AA14" s="12" t="s">
        <v>137</v>
      </c>
      <c r="AB14" s="23"/>
    </row>
    <row r="15" spans="1:28" ht="25.5">
      <c r="A15" s="15">
        <v>14</v>
      </c>
      <c r="B15" s="9" t="s">
        <v>138</v>
      </c>
      <c r="C15" s="9" t="s">
        <v>139</v>
      </c>
      <c r="D15" s="10" t="s">
        <v>140</v>
      </c>
      <c r="E15" s="21" t="s">
        <v>141</v>
      </c>
      <c r="F15" s="22"/>
      <c r="G15" s="12" t="s">
        <v>142</v>
      </c>
      <c r="H15" s="13">
        <v>-0.30399999999999999</v>
      </c>
      <c r="I15" s="14" t="s">
        <v>83</v>
      </c>
      <c r="J15" s="22" t="s">
        <v>84</v>
      </c>
      <c r="K15" s="9">
        <v>3</v>
      </c>
      <c r="L15" s="15"/>
      <c r="M15" s="16" t="s">
        <v>54</v>
      </c>
      <c r="N15" s="14"/>
      <c r="O15" s="15" t="s">
        <v>65</v>
      </c>
      <c r="P15" s="22" t="s">
        <v>143</v>
      </c>
      <c r="Q15" s="9"/>
      <c r="R15" s="17" t="s">
        <v>54</v>
      </c>
      <c r="S15" s="18"/>
      <c r="T15" s="22" t="str">
        <f>IF(R15="維持",J15,IF(R15="排除","無關新聞事件",IFERROR(INDEX(事件規則!$B$2:$B$53,MATCH(S15,事件規則!$A$2:$A$53,0)),"")))</f>
        <v>資安攻擊</v>
      </c>
      <c r="U15" s="9">
        <f>IF(R15="維持",K15,IF(R15="排除",0,IFERROR(INDEX(事件規則!$C$2:$C$53,MATCH(S15,事件規則!$A$2:$A$53,0)),"")))</f>
        <v>3</v>
      </c>
      <c r="V15" s="19"/>
      <c r="W15" s="20"/>
      <c r="X15" s="10" t="str">
        <f t="shared" si="0"/>
        <v/>
      </c>
      <c r="Y15" s="19"/>
      <c r="Z15" s="20"/>
      <c r="AA15" s="12" t="s">
        <v>144</v>
      </c>
      <c r="AB15" s="23"/>
    </row>
    <row r="16" spans="1:28" ht="25.5">
      <c r="A16" s="15">
        <v>15</v>
      </c>
      <c r="B16" s="9" t="s">
        <v>145</v>
      </c>
      <c r="C16" s="9" t="s">
        <v>139</v>
      </c>
      <c r="D16" s="10" t="s">
        <v>140</v>
      </c>
      <c r="E16" s="21" t="s">
        <v>146</v>
      </c>
      <c r="F16" s="22"/>
      <c r="G16" s="12" t="s">
        <v>147</v>
      </c>
      <c r="H16" s="13">
        <v>-1.6E-2</v>
      </c>
      <c r="I16" s="14" t="s">
        <v>83</v>
      </c>
      <c r="J16" s="22" t="s">
        <v>84</v>
      </c>
      <c r="K16" s="9">
        <v>3</v>
      </c>
      <c r="L16" s="15"/>
      <c r="M16" s="16" t="s">
        <v>54</v>
      </c>
      <c r="N16" s="14"/>
      <c r="O16" s="15" t="s">
        <v>65</v>
      </c>
      <c r="P16" s="22" t="s">
        <v>143</v>
      </c>
      <c r="Q16" s="9"/>
      <c r="R16" s="17" t="s">
        <v>54</v>
      </c>
      <c r="S16" s="18"/>
      <c r="T16" s="22" t="str">
        <f>IF(R16="維持",J16,IF(R16="排除","無關新聞事件",IFERROR(INDEX(事件規則!$B$2:$B$53,MATCH(S16,事件規則!$A$2:$A$53,0)),"")))</f>
        <v>資安攻擊</v>
      </c>
      <c r="U16" s="9">
        <f>IF(R16="維持",K16,IF(R16="排除",0,IFERROR(INDEX(事件規則!$C$2:$C$53,MATCH(S16,事件規則!$A$2:$A$53,0)),"")))</f>
        <v>3</v>
      </c>
      <c r="V16" s="19"/>
      <c r="W16" s="20"/>
      <c r="X16" s="10" t="str">
        <f t="shared" si="0"/>
        <v/>
      </c>
      <c r="Y16" s="19"/>
      <c r="Z16" s="20"/>
      <c r="AA16" s="12" t="s">
        <v>148</v>
      </c>
      <c r="AB16" s="23"/>
    </row>
    <row r="17" spans="1:28" ht="25.5">
      <c r="A17" s="15">
        <v>16</v>
      </c>
      <c r="B17" s="9" t="s">
        <v>149</v>
      </c>
      <c r="C17" s="9" t="s">
        <v>150</v>
      </c>
      <c r="D17" s="10" t="s">
        <v>151</v>
      </c>
      <c r="E17" s="21" t="s">
        <v>152</v>
      </c>
      <c r="F17" s="22" t="s">
        <v>153</v>
      </c>
      <c r="G17" s="12" t="s">
        <v>154</v>
      </c>
      <c r="H17" s="13">
        <v>-0.92500000000000004</v>
      </c>
      <c r="I17" s="14" t="s">
        <v>155</v>
      </c>
      <c r="J17" s="22" t="s">
        <v>156</v>
      </c>
      <c r="K17" s="9">
        <v>3</v>
      </c>
      <c r="L17" s="15"/>
      <c r="M17" s="16" t="s">
        <v>54</v>
      </c>
      <c r="N17" s="14"/>
      <c r="O17" s="15" t="s">
        <v>65</v>
      </c>
      <c r="P17" s="22" t="s">
        <v>157</v>
      </c>
      <c r="Q17" s="9"/>
      <c r="R17" s="17" t="s">
        <v>54</v>
      </c>
      <c r="S17" s="18"/>
      <c r="T17" s="22" t="str">
        <f>IF(R17="維持",J17,IF(R17="排除","無關新聞事件",IFERROR(INDEX(事件規則!$B$2:$B$53,MATCH(S17,事件規則!$A$2:$A$53,0)),"")))</f>
        <v>資料外洩</v>
      </c>
      <c r="U17" s="9">
        <f>IF(R17="維持",K17,IF(R17="排除",0,IFERROR(INDEX(事件規則!$C$2:$C$53,MATCH(S17,事件規則!$A$2:$A$53,0)),"")))</f>
        <v>3</v>
      </c>
      <c r="V17" s="19"/>
      <c r="W17" s="20"/>
      <c r="X17" s="10" t="str">
        <f t="shared" si="0"/>
        <v/>
      </c>
      <c r="Y17" s="19"/>
      <c r="Z17" s="20"/>
      <c r="AA17" s="12" t="s">
        <v>158</v>
      </c>
      <c r="AB17" s="23"/>
    </row>
    <row r="18" spans="1:28" ht="25.5">
      <c r="A18" s="15">
        <v>17</v>
      </c>
      <c r="B18" s="9" t="s">
        <v>159</v>
      </c>
      <c r="C18" s="9" t="s">
        <v>160</v>
      </c>
      <c r="D18" s="10" t="s">
        <v>161</v>
      </c>
      <c r="E18" s="21" t="s">
        <v>162</v>
      </c>
      <c r="F18" s="22" t="s">
        <v>163</v>
      </c>
      <c r="G18" s="12" t="s">
        <v>164</v>
      </c>
      <c r="H18" s="13">
        <v>-0.93799999999999994</v>
      </c>
      <c r="I18" s="14" t="s">
        <v>155</v>
      </c>
      <c r="J18" s="22" t="s">
        <v>156</v>
      </c>
      <c r="K18" s="9">
        <v>3</v>
      </c>
      <c r="L18" s="15"/>
      <c r="M18" s="16" t="s">
        <v>74</v>
      </c>
      <c r="N18" s="14"/>
      <c r="O18" s="15" t="s">
        <v>55</v>
      </c>
      <c r="P18" s="10" t="s">
        <v>165</v>
      </c>
      <c r="Q18" s="9"/>
      <c r="R18" s="17" t="s">
        <v>74</v>
      </c>
      <c r="S18" s="18"/>
      <c r="T18" s="22" t="str">
        <f>IF(R18="維持",J18,IF(R18="排除","無關新聞事件",IFERROR(INDEX(事件規則!$B$2:$B$53,MATCH(S18,事件規則!$A$2:$A$53,0)),"")))</f>
        <v>無關新聞事件</v>
      </c>
      <c r="U18" s="9">
        <f>IF(R18="維持",K18,IF(R18="排除",0,IFERROR(INDEX(事件規則!$C$2:$C$53,MATCH(S18,事件規則!$A$2:$A$53,0)),"")))</f>
        <v>0</v>
      </c>
      <c r="V18" s="19"/>
      <c r="W18" s="20"/>
      <c r="X18" s="10" t="str">
        <f t="shared" si="0"/>
        <v/>
      </c>
      <c r="Y18" s="19"/>
      <c r="Z18" s="20"/>
      <c r="AA18" s="12" t="s">
        <v>166</v>
      </c>
      <c r="AB18" s="23"/>
    </row>
    <row r="19" spans="1:28" ht="38.25">
      <c r="A19" s="15">
        <v>18</v>
      </c>
      <c r="B19" s="9" t="s">
        <v>167</v>
      </c>
      <c r="C19" s="9" t="s">
        <v>168</v>
      </c>
      <c r="D19" s="10" t="s">
        <v>169</v>
      </c>
      <c r="E19" s="21" t="s">
        <v>170</v>
      </c>
      <c r="F19" s="10" t="s">
        <v>171</v>
      </c>
      <c r="G19" s="12" t="s">
        <v>172</v>
      </c>
      <c r="H19" s="13">
        <v>-0.59099999999999997</v>
      </c>
      <c r="I19" s="14" t="s">
        <v>155</v>
      </c>
      <c r="J19" s="22" t="s">
        <v>156</v>
      </c>
      <c r="K19" s="9">
        <v>3</v>
      </c>
      <c r="L19" s="15"/>
      <c r="M19" s="16" t="s">
        <v>74</v>
      </c>
      <c r="N19" s="14"/>
      <c r="O19" s="15" t="s">
        <v>65</v>
      </c>
      <c r="P19" s="22" t="s">
        <v>173</v>
      </c>
      <c r="Q19" s="9"/>
      <c r="R19" s="17" t="s">
        <v>74</v>
      </c>
      <c r="S19" s="18"/>
      <c r="T19" s="22" t="str">
        <f>IF(R19="維持",J19,IF(R19="排除","無關新聞事件",IFERROR(INDEX(事件規則!$B$2:$B$53,MATCH(S19,事件規則!$A$2:$A$53,0)),"")))</f>
        <v>無關新聞事件</v>
      </c>
      <c r="U19" s="9">
        <f>IF(R19="維持",K19,IF(R19="排除",0,IFERROR(INDEX(事件規則!$C$2:$C$53,MATCH(S19,事件規則!$A$2:$A$53,0)),"")))</f>
        <v>0</v>
      </c>
      <c r="V19" s="19"/>
      <c r="W19" s="20"/>
      <c r="X19" s="10" t="str">
        <f t="shared" si="0"/>
        <v/>
      </c>
      <c r="Y19" s="19"/>
      <c r="Z19" s="20"/>
      <c r="AA19" s="12" t="s">
        <v>174</v>
      </c>
      <c r="AB19" s="23"/>
    </row>
    <row r="20" spans="1:28" ht="38.25">
      <c r="A20" s="15">
        <v>19</v>
      </c>
      <c r="B20" s="9" t="s">
        <v>167</v>
      </c>
      <c r="C20" s="9" t="s">
        <v>168</v>
      </c>
      <c r="D20" s="10" t="s">
        <v>169</v>
      </c>
      <c r="E20" s="21" t="s">
        <v>175</v>
      </c>
      <c r="F20" s="10" t="s">
        <v>176</v>
      </c>
      <c r="G20" s="12" t="s">
        <v>177</v>
      </c>
      <c r="H20" s="13">
        <v>-7.0000000000000007E-2</v>
      </c>
      <c r="I20" s="14" t="s">
        <v>155</v>
      </c>
      <c r="J20" s="22" t="s">
        <v>156</v>
      </c>
      <c r="K20" s="9">
        <v>3</v>
      </c>
      <c r="L20" s="15"/>
      <c r="M20" s="16" t="s">
        <v>74</v>
      </c>
      <c r="N20" s="14"/>
      <c r="O20" s="15" t="s">
        <v>65</v>
      </c>
      <c r="P20" s="22" t="s">
        <v>173</v>
      </c>
      <c r="Q20" s="9"/>
      <c r="R20" s="17" t="s">
        <v>74</v>
      </c>
      <c r="S20" s="18"/>
      <c r="T20" s="22" t="str">
        <f>IF(R20="維持",J20,IF(R20="排除","無關新聞事件",IFERROR(INDEX(事件規則!$B$2:$B$53,MATCH(S20,事件規則!$A$2:$A$53,0)),"")))</f>
        <v>無關新聞事件</v>
      </c>
      <c r="U20" s="9">
        <f>IF(R20="維持",K20,IF(R20="排除",0,IFERROR(INDEX(事件規則!$C$2:$C$53,MATCH(S20,事件規則!$A$2:$A$53,0)),"")))</f>
        <v>0</v>
      </c>
      <c r="V20" s="19"/>
      <c r="W20" s="20"/>
      <c r="X20" s="10" t="str">
        <f t="shared" si="0"/>
        <v/>
      </c>
      <c r="Y20" s="19"/>
      <c r="Z20" s="20"/>
      <c r="AA20" s="12" t="s">
        <v>178</v>
      </c>
      <c r="AB20" s="23"/>
    </row>
    <row r="21" spans="1:28" ht="38.25">
      <c r="A21" s="15">
        <v>20</v>
      </c>
      <c r="B21" s="9" t="s">
        <v>167</v>
      </c>
      <c r="C21" s="9" t="s">
        <v>168</v>
      </c>
      <c r="D21" s="10" t="s">
        <v>169</v>
      </c>
      <c r="E21" s="21" t="s">
        <v>179</v>
      </c>
      <c r="F21" s="10" t="s">
        <v>180</v>
      </c>
      <c r="G21" s="12" t="s">
        <v>181</v>
      </c>
      <c r="H21" s="13">
        <v>-0.85899999999999999</v>
      </c>
      <c r="I21" s="14" t="s">
        <v>155</v>
      </c>
      <c r="J21" s="22" t="s">
        <v>156</v>
      </c>
      <c r="K21" s="9">
        <v>3</v>
      </c>
      <c r="L21" s="15"/>
      <c r="M21" s="16" t="s">
        <v>74</v>
      </c>
      <c r="N21" s="14"/>
      <c r="O21" s="15" t="s">
        <v>65</v>
      </c>
      <c r="P21" s="22" t="s">
        <v>173</v>
      </c>
      <c r="Q21" s="9"/>
      <c r="R21" s="17" t="s">
        <v>74</v>
      </c>
      <c r="S21" s="18"/>
      <c r="T21" s="22" t="str">
        <f>IF(R21="維持",J21,IF(R21="排除","無關新聞事件",IFERROR(INDEX(事件規則!$B$2:$B$53,MATCH(S21,事件規則!$A$2:$A$53,0)),"")))</f>
        <v>無關新聞事件</v>
      </c>
      <c r="U21" s="9">
        <f>IF(R21="維持",K21,IF(R21="排除",0,IFERROR(INDEX(事件規則!$C$2:$C$53,MATCH(S21,事件規則!$A$2:$A$53,0)),"")))</f>
        <v>0</v>
      </c>
      <c r="V21" s="19"/>
      <c r="W21" s="20"/>
      <c r="X21" s="10" t="str">
        <f t="shared" si="0"/>
        <v/>
      </c>
      <c r="Y21" s="19"/>
      <c r="Z21" s="20"/>
      <c r="AA21" s="12" t="s">
        <v>182</v>
      </c>
      <c r="AB21" s="23"/>
    </row>
    <row r="22" spans="1:28" ht="38.25">
      <c r="A22" s="15">
        <v>21</v>
      </c>
      <c r="B22" s="9" t="s">
        <v>167</v>
      </c>
      <c r="C22" s="9" t="s">
        <v>168</v>
      </c>
      <c r="D22" s="10" t="s">
        <v>169</v>
      </c>
      <c r="E22" s="21" t="s">
        <v>183</v>
      </c>
      <c r="F22" s="10" t="s">
        <v>184</v>
      </c>
      <c r="G22" s="12" t="s">
        <v>181</v>
      </c>
      <c r="H22" s="13">
        <v>-0.33300000000000002</v>
      </c>
      <c r="I22" s="14" t="s">
        <v>155</v>
      </c>
      <c r="J22" s="22" t="s">
        <v>156</v>
      </c>
      <c r="K22" s="9">
        <v>3</v>
      </c>
      <c r="L22" s="15"/>
      <c r="M22" s="16" t="s">
        <v>54</v>
      </c>
      <c r="N22" s="14"/>
      <c r="O22" s="15" t="s">
        <v>55</v>
      </c>
      <c r="P22" s="10" t="s">
        <v>185</v>
      </c>
      <c r="Q22" s="9"/>
      <c r="R22" s="17" t="s">
        <v>54</v>
      </c>
      <c r="S22" s="18"/>
      <c r="T22" s="22" t="str">
        <f>IF(R22="維持",J22,IF(R22="排除","無關新聞事件",IFERROR(INDEX(事件規則!$B$2:$B$53,MATCH(S22,事件規則!$A$2:$A$53,0)),"")))</f>
        <v>資料外洩</v>
      </c>
      <c r="U22" s="9">
        <f>IF(R22="維持",K22,IF(R22="排除",0,IFERROR(INDEX(事件規則!$C$2:$C$53,MATCH(S22,事件規則!$A$2:$A$53,0)),"")))</f>
        <v>3</v>
      </c>
      <c r="V22" s="19"/>
      <c r="W22" s="20"/>
      <c r="X22" s="10" t="str">
        <f t="shared" si="0"/>
        <v/>
      </c>
      <c r="Y22" s="19"/>
      <c r="Z22" s="20"/>
      <c r="AA22" s="12" t="s">
        <v>186</v>
      </c>
      <c r="AB22" s="23"/>
    </row>
    <row r="23" spans="1:28" ht="38.25">
      <c r="A23" s="15">
        <v>22</v>
      </c>
      <c r="B23" s="9" t="s">
        <v>187</v>
      </c>
      <c r="C23" s="9" t="s">
        <v>188</v>
      </c>
      <c r="D23" s="10" t="s">
        <v>189</v>
      </c>
      <c r="E23" s="21" t="s">
        <v>190</v>
      </c>
      <c r="F23" s="22" t="s">
        <v>191</v>
      </c>
      <c r="G23" s="12" t="s">
        <v>192</v>
      </c>
      <c r="H23" s="13">
        <v>0.19700000000000001</v>
      </c>
      <c r="I23" s="14" t="s">
        <v>155</v>
      </c>
      <c r="J23" s="22" t="s">
        <v>156</v>
      </c>
      <c r="K23" s="9">
        <v>3</v>
      </c>
      <c r="L23" s="15"/>
      <c r="M23" s="16" t="s">
        <v>74</v>
      </c>
      <c r="N23" s="14"/>
      <c r="O23" s="15" t="s">
        <v>55</v>
      </c>
      <c r="P23" s="10" t="s">
        <v>193</v>
      </c>
      <c r="Q23" s="9"/>
      <c r="R23" s="17" t="s">
        <v>74</v>
      </c>
      <c r="S23" s="18"/>
      <c r="T23" s="22" t="str">
        <f>IF(R23="維持",J23,IF(R23="排除","無關新聞事件",IFERROR(INDEX(事件規則!$B$2:$B$53,MATCH(S23,事件規則!$A$2:$A$53,0)),"")))</f>
        <v>無關新聞事件</v>
      </c>
      <c r="U23" s="9">
        <f>IF(R23="維持",K23,IF(R23="排除",0,IFERROR(INDEX(事件規則!$C$2:$C$53,MATCH(S23,事件規則!$A$2:$A$53,0)),"")))</f>
        <v>0</v>
      </c>
      <c r="V23" s="19"/>
      <c r="W23" s="20"/>
      <c r="X23" s="10" t="str">
        <f t="shared" si="0"/>
        <v/>
      </c>
      <c r="Y23" s="19"/>
      <c r="Z23" s="20"/>
      <c r="AA23" s="12" t="s">
        <v>194</v>
      </c>
      <c r="AB23" s="23"/>
    </row>
    <row r="24" spans="1:28" ht="38.25">
      <c r="A24" s="15">
        <v>23</v>
      </c>
      <c r="B24" s="9" t="s">
        <v>195</v>
      </c>
      <c r="C24" s="9" t="s">
        <v>196</v>
      </c>
      <c r="D24" s="10" t="s">
        <v>197</v>
      </c>
      <c r="E24" s="21" t="s">
        <v>198</v>
      </c>
      <c r="F24" s="10" t="s">
        <v>199</v>
      </c>
      <c r="G24" s="12" t="s">
        <v>200</v>
      </c>
      <c r="H24" s="13">
        <v>0.30599999999999999</v>
      </c>
      <c r="I24" s="14" t="s">
        <v>155</v>
      </c>
      <c r="J24" s="22" t="s">
        <v>156</v>
      </c>
      <c r="K24" s="9">
        <v>3</v>
      </c>
      <c r="L24" s="15"/>
      <c r="M24" s="16" t="s">
        <v>74</v>
      </c>
      <c r="N24" s="14"/>
      <c r="O24" s="15" t="s">
        <v>55</v>
      </c>
      <c r="P24" s="10" t="s">
        <v>201</v>
      </c>
      <c r="Q24" s="9"/>
      <c r="R24" s="17" t="s">
        <v>74</v>
      </c>
      <c r="S24" s="18"/>
      <c r="T24" s="22" t="str">
        <f>IF(R24="維持",J24,IF(R24="排除","無關新聞事件",IFERROR(INDEX(事件規則!$B$2:$B$53,MATCH(S24,事件規則!$A$2:$A$53,0)),"")))</f>
        <v>無關新聞事件</v>
      </c>
      <c r="U24" s="9">
        <f>IF(R24="維持",K24,IF(R24="排除",0,IFERROR(INDEX(事件規則!$C$2:$C$53,MATCH(S24,事件規則!$A$2:$A$53,0)),"")))</f>
        <v>0</v>
      </c>
      <c r="V24" s="19"/>
      <c r="W24" s="20"/>
      <c r="X24" s="10" t="str">
        <f t="shared" si="0"/>
        <v/>
      </c>
      <c r="Y24" s="19"/>
      <c r="Z24" s="20"/>
      <c r="AA24" s="12" t="s">
        <v>202</v>
      </c>
      <c r="AB24" s="23"/>
    </row>
    <row r="25" spans="1:28" ht="38.25">
      <c r="A25" s="15">
        <v>24</v>
      </c>
      <c r="B25" s="9" t="s">
        <v>203</v>
      </c>
      <c r="C25" s="9" t="s">
        <v>168</v>
      </c>
      <c r="D25" s="10" t="s">
        <v>169</v>
      </c>
      <c r="E25" s="21" t="s">
        <v>204</v>
      </c>
      <c r="F25" s="22"/>
      <c r="G25" s="12" t="s">
        <v>205</v>
      </c>
      <c r="H25" s="13">
        <v>-0.92600000000000005</v>
      </c>
      <c r="I25" s="14" t="s">
        <v>155</v>
      </c>
      <c r="J25" s="22" t="s">
        <v>156</v>
      </c>
      <c r="K25" s="9">
        <v>3</v>
      </c>
      <c r="L25" s="15"/>
      <c r="M25" s="16" t="s">
        <v>54</v>
      </c>
      <c r="N25" s="14"/>
      <c r="O25" s="15" t="s">
        <v>55</v>
      </c>
      <c r="P25" s="10" t="s">
        <v>185</v>
      </c>
      <c r="Q25" s="9"/>
      <c r="R25" s="17" t="s">
        <v>54</v>
      </c>
      <c r="S25" s="18"/>
      <c r="T25" s="22" t="str">
        <f>IF(R25="維持",J25,IF(R25="排除","無關新聞事件",IFERROR(INDEX(事件規則!$B$2:$B$53,MATCH(S25,事件規則!$A$2:$A$53,0)),"")))</f>
        <v>資料外洩</v>
      </c>
      <c r="U25" s="9">
        <f>IF(R25="維持",K25,IF(R25="排除",0,IFERROR(INDEX(事件規則!$C$2:$C$53,MATCH(S25,事件規則!$A$2:$A$53,0)),"")))</f>
        <v>3</v>
      </c>
      <c r="V25" s="19"/>
      <c r="W25" s="20"/>
      <c r="X25" s="10" t="str">
        <f t="shared" si="0"/>
        <v/>
      </c>
      <c r="Y25" s="19"/>
      <c r="Z25" s="20"/>
      <c r="AA25" s="12" t="s">
        <v>206</v>
      </c>
      <c r="AB25" s="23"/>
    </row>
    <row r="26" spans="1:28" ht="25.5">
      <c r="A26" s="15">
        <v>25</v>
      </c>
      <c r="B26" s="9" t="s">
        <v>207</v>
      </c>
      <c r="C26" s="9" t="s">
        <v>208</v>
      </c>
      <c r="D26" s="10" t="s">
        <v>209</v>
      </c>
      <c r="E26" s="21" t="s">
        <v>210</v>
      </c>
      <c r="F26" s="22"/>
      <c r="G26" s="12" t="s">
        <v>181</v>
      </c>
      <c r="H26" s="13">
        <v>-0.76700000000000002</v>
      </c>
      <c r="I26" s="14" t="s">
        <v>155</v>
      </c>
      <c r="J26" s="22" t="s">
        <v>156</v>
      </c>
      <c r="K26" s="9">
        <v>3</v>
      </c>
      <c r="L26" s="15"/>
      <c r="M26" s="16" t="s">
        <v>54</v>
      </c>
      <c r="N26" s="14"/>
      <c r="O26" s="15" t="s">
        <v>211</v>
      </c>
      <c r="P26" s="22" t="s">
        <v>212</v>
      </c>
      <c r="Q26" s="15" t="s">
        <v>213</v>
      </c>
      <c r="R26" s="17" t="s">
        <v>54</v>
      </c>
      <c r="S26" s="18"/>
      <c r="T26" s="22" t="str">
        <f>IF(R26="維持",J26,IF(R26="排除","無關新聞事件",IFERROR(INDEX(事件規則!$B$2:$B$53,MATCH(S26,事件規則!$A$2:$A$53,0)),"")))</f>
        <v>資料外洩</v>
      </c>
      <c r="U26" s="9">
        <f>IF(R26="維持",K26,IF(R26="排除",0,IFERROR(INDEX(事件規則!$C$2:$C$53,MATCH(S26,事件規則!$A$2:$A$53,0)),"")))</f>
        <v>3</v>
      </c>
      <c r="V26" s="19"/>
      <c r="W26" s="20"/>
      <c r="X26" s="10" t="str">
        <f t="shared" si="0"/>
        <v/>
      </c>
      <c r="Y26" s="19"/>
      <c r="Z26" s="20"/>
      <c r="AA26" s="12" t="s">
        <v>214</v>
      </c>
      <c r="AB26" s="23"/>
    </row>
    <row r="27" spans="1:28" ht="38.25">
      <c r="A27" s="15">
        <v>26</v>
      </c>
      <c r="B27" s="9" t="s">
        <v>207</v>
      </c>
      <c r="C27" s="9" t="s">
        <v>196</v>
      </c>
      <c r="D27" s="10" t="s">
        <v>197</v>
      </c>
      <c r="E27" s="21" t="s">
        <v>215</v>
      </c>
      <c r="F27" s="22"/>
      <c r="G27" s="12" t="s">
        <v>216</v>
      </c>
      <c r="H27" s="13">
        <v>-0.94599999999999995</v>
      </c>
      <c r="I27" s="14" t="s">
        <v>155</v>
      </c>
      <c r="J27" s="22" t="s">
        <v>156</v>
      </c>
      <c r="K27" s="9">
        <v>3</v>
      </c>
      <c r="L27" s="15"/>
      <c r="M27" s="16" t="s">
        <v>74</v>
      </c>
      <c r="N27" s="14"/>
      <c r="O27" s="15" t="s">
        <v>55</v>
      </c>
      <c r="P27" s="10" t="s">
        <v>201</v>
      </c>
      <c r="Q27" s="15"/>
      <c r="R27" s="17" t="s">
        <v>74</v>
      </c>
      <c r="S27" s="18"/>
      <c r="T27" s="22" t="str">
        <f>IF(R27="維持",J27,IF(R27="排除","無關新聞事件",IFERROR(INDEX(事件規則!$B$2:$B$53,MATCH(S27,事件規則!$A$2:$A$53,0)),"")))</f>
        <v>無關新聞事件</v>
      </c>
      <c r="U27" s="9">
        <f>IF(R27="維持",K27,IF(R27="排除",0,IFERROR(INDEX(事件規則!$C$2:$C$53,MATCH(S27,事件規則!$A$2:$A$53,0)),"")))</f>
        <v>0</v>
      </c>
      <c r="V27" s="19"/>
      <c r="W27" s="20"/>
      <c r="X27" s="10" t="str">
        <f t="shared" si="0"/>
        <v/>
      </c>
      <c r="Y27" s="19"/>
      <c r="Z27" s="20"/>
      <c r="AA27" s="12" t="s">
        <v>217</v>
      </c>
      <c r="AB27" s="23"/>
    </row>
    <row r="28" spans="1:28" ht="25.5">
      <c r="A28" s="15">
        <v>27</v>
      </c>
      <c r="B28" s="9" t="s">
        <v>218</v>
      </c>
      <c r="C28" s="9" t="s">
        <v>219</v>
      </c>
      <c r="D28" s="10" t="s">
        <v>220</v>
      </c>
      <c r="E28" s="21" t="s">
        <v>221</v>
      </c>
      <c r="F28" s="22"/>
      <c r="G28" s="12" t="s">
        <v>222</v>
      </c>
      <c r="H28" s="13">
        <v>-0.93300000000000005</v>
      </c>
      <c r="I28" s="14" t="s">
        <v>155</v>
      </c>
      <c r="J28" s="22" t="s">
        <v>156</v>
      </c>
      <c r="K28" s="9">
        <v>3</v>
      </c>
      <c r="L28" s="15"/>
      <c r="M28" s="16" t="s">
        <v>54</v>
      </c>
      <c r="N28" s="14"/>
      <c r="O28" s="15" t="s">
        <v>65</v>
      </c>
      <c r="P28" s="10" t="s">
        <v>223</v>
      </c>
      <c r="Q28" s="15"/>
      <c r="R28" s="17" t="s">
        <v>54</v>
      </c>
      <c r="S28" s="18"/>
      <c r="T28" s="22" t="str">
        <f>IF(R28="維持",J28,IF(R28="排除","無關新聞事件",IFERROR(INDEX(事件規則!$B$2:$B$53,MATCH(S28,事件規則!$A$2:$A$53,0)),"")))</f>
        <v>資料外洩</v>
      </c>
      <c r="U28" s="9">
        <f>IF(R28="維持",K28,IF(R28="排除",0,IFERROR(INDEX(事件規則!$C$2:$C$53,MATCH(S28,事件規則!$A$2:$A$53,0)),"")))</f>
        <v>3</v>
      </c>
      <c r="V28" s="19"/>
      <c r="W28" s="20"/>
      <c r="X28" s="10" t="str">
        <f t="shared" si="0"/>
        <v/>
      </c>
      <c r="Y28" s="19"/>
      <c r="Z28" s="20"/>
      <c r="AA28" s="12" t="s">
        <v>224</v>
      </c>
      <c r="AB28" s="23"/>
    </row>
    <row r="29" spans="1:28" ht="25.5">
      <c r="A29" s="15">
        <v>28</v>
      </c>
      <c r="B29" s="9" t="s">
        <v>225</v>
      </c>
      <c r="C29" s="9" t="s">
        <v>226</v>
      </c>
      <c r="D29" s="10" t="s">
        <v>227</v>
      </c>
      <c r="E29" s="21" t="s">
        <v>228</v>
      </c>
      <c r="F29" s="22"/>
      <c r="G29" s="12" t="s">
        <v>229</v>
      </c>
      <c r="H29" s="13">
        <v>0.51500000000000001</v>
      </c>
      <c r="I29" s="14" t="s">
        <v>155</v>
      </c>
      <c r="J29" s="22" t="s">
        <v>156</v>
      </c>
      <c r="K29" s="9">
        <v>3</v>
      </c>
      <c r="L29" s="15"/>
      <c r="M29" s="16" t="s">
        <v>54</v>
      </c>
      <c r="N29" s="14"/>
      <c r="O29" s="15" t="s">
        <v>55</v>
      </c>
      <c r="P29" s="10" t="s">
        <v>230</v>
      </c>
      <c r="Q29" s="15"/>
      <c r="R29" s="17" t="s">
        <v>54</v>
      </c>
      <c r="S29" s="18"/>
      <c r="T29" s="22" t="str">
        <f>IF(R29="維持",J29,IF(R29="排除","無關新聞事件",IFERROR(INDEX(事件規則!$B$2:$B$53,MATCH(S29,事件規則!$A$2:$A$53,0)),"")))</f>
        <v>資料外洩</v>
      </c>
      <c r="U29" s="9">
        <f>IF(R29="維持",K29,IF(R29="排除",0,IFERROR(INDEX(事件規則!$C$2:$C$53,MATCH(S29,事件規則!$A$2:$A$53,0)),"")))</f>
        <v>3</v>
      </c>
      <c r="V29" s="19"/>
      <c r="W29" s="20"/>
      <c r="X29" s="10" t="str">
        <f t="shared" si="0"/>
        <v/>
      </c>
      <c r="Y29" s="19"/>
      <c r="Z29" s="20"/>
      <c r="AA29" s="12" t="s">
        <v>231</v>
      </c>
      <c r="AB29" s="23"/>
    </row>
    <row r="30" spans="1:28" ht="38.25">
      <c r="A30" s="15">
        <v>29</v>
      </c>
      <c r="B30" s="9" t="s">
        <v>232</v>
      </c>
      <c r="C30" s="9" t="s">
        <v>168</v>
      </c>
      <c r="D30" s="10" t="s">
        <v>169</v>
      </c>
      <c r="E30" s="21" t="s">
        <v>233</v>
      </c>
      <c r="F30" s="22"/>
      <c r="G30" s="12" t="s">
        <v>234</v>
      </c>
      <c r="H30" s="13">
        <v>-0.89300000000000002</v>
      </c>
      <c r="I30" s="14" t="s">
        <v>155</v>
      </c>
      <c r="J30" s="22" t="s">
        <v>156</v>
      </c>
      <c r="K30" s="9">
        <v>3</v>
      </c>
      <c r="L30" s="15"/>
      <c r="M30" s="16" t="s">
        <v>54</v>
      </c>
      <c r="N30" s="14"/>
      <c r="O30" s="15" t="s">
        <v>55</v>
      </c>
      <c r="P30" s="10" t="s">
        <v>185</v>
      </c>
      <c r="Q30" s="15"/>
      <c r="R30" s="17" t="s">
        <v>54</v>
      </c>
      <c r="S30" s="18"/>
      <c r="T30" s="22" t="str">
        <f>IF(R30="維持",J30,IF(R30="排除","無關新聞事件",IFERROR(INDEX(事件規則!$B$2:$B$53,MATCH(S30,事件規則!$A$2:$A$53,0)),"")))</f>
        <v>資料外洩</v>
      </c>
      <c r="U30" s="9">
        <f>IF(R30="維持",K30,IF(R30="排除",0,IFERROR(INDEX(事件規則!$C$2:$C$53,MATCH(S30,事件規則!$A$2:$A$53,0)),"")))</f>
        <v>3</v>
      </c>
      <c r="V30" s="19"/>
      <c r="W30" s="20"/>
      <c r="X30" s="10" t="str">
        <f t="shared" si="0"/>
        <v/>
      </c>
      <c r="Y30" s="19"/>
      <c r="Z30" s="20"/>
      <c r="AA30" s="12" t="s">
        <v>235</v>
      </c>
      <c r="AB30" s="23"/>
    </row>
    <row r="31" spans="1:28" ht="38.25">
      <c r="A31" s="15">
        <v>30</v>
      </c>
      <c r="B31" s="9" t="s">
        <v>236</v>
      </c>
      <c r="C31" s="9" t="s">
        <v>196</v>
      </c>
      <c r="D31" s="10" t="s">
        <v>197</v>
      </c>
      <c r="E31" s="21" t="s">
        <v>237</v>
      </c>
      <c r="F31" s="22"/>
      <c r="G31" s="12" t="s">
        <v>238</v>
      </c>
      <c r="H31" s="13">
        <v>-0.72</v>
      </c>
      <c r="I31" s="14" t="s">
        <v>155</v>
      </c>
      <c r="J31" s="22" t="s">
        <v>156</v>
      </c>
      <c r="K31" s="9">
        <v>3</v>
      </c>
      <c r="L31" s="15"/>
      <c r="M31" s="16" t="s">
        <v>74</v>
      </c>
      <c r="N31" s="14"/>
      <c r="O31" s="15" t="s">
        <v>65</v>
      </c>
      <c r="P31" s="10" t="s">
        <v>239</v>
      </c>
      <c r="Q31" s="15"/>
      <c r="R31" s="17" t="s">
        <v>74</v>
      </c>
      <c r="S31" s="18"/>
      <c r="T31" s="22" t="str">
        <f>IF(R31="維持",J31,IF(R31="排除","無關新聞事件",IFERROR(INDEX(事件規則!$B$2:$B$53,MATCH(S31,事件規則!$A$2:$A$53,0)),"")))</f>
        <v>無關新聞事件</v>
      </c>
      <c r="U31" s="9">
        <f>IF(R31="維持",K31,IF(R31="排除",0,IFERROR(INDEX(事件規則!$C$2:$C$53,MATCH(S31,事件規則!$A$2:$A$53,0)),"")))</f>
        <v>0</v>
      </c>
      <c r="V31" s="19"/>
      <c r="W31" s="20"/>
      <c r="X31" s="10" t="str">
        <f t="shared" si="0"/>
        <v/>
      </c>
      <c r="Y31" s="19"/>
      <c r="Z31" s="20"/>
      <c r="AA31" s="12" t="s">
        <v>240</v>
      </c>
      <c r="AB31" s="23"/>
    </row>
    <row r="32" spans="1:28" ht="25.5">
      <c r="A32" s="15">
        <v>31</v>
      </c>
      <c r="B32" s="9" t="s">
        <v>241</v>
      </c>
      <c r="C32" s="9" t="s">
        <v>242</v>
      </c>
      <c r="D32" s="10" t="s">
        <v>243</v>
      </c>
      <c r="E32" s="21" t="s">
        <v>244</v>
      </c>
      <c r="F32" s="22"/>
      <c r="G32" s="12" t="s">
        <v>245</v>
      </c>
      <c r="H32" s="13">
        <v>-0.14699999999999999</v>
      </c>
      <c r="I32" s="14" t="s">
        <v>155</v>
      </c>
      <c r="J32" s="22" t="s">
        <v>156</v>
      </c>
      <c r="K32" s="9">
        <v>3</v>
      </c>
      <c r="L32" s="15"/>
      <c r="M32" s="16" t="s">
        <v>54</v>
      </c>
      <c r="N32" s="14"/>
      <c r="O32" s="15" t="s">
        <v>55</v>
      </c>
      <c r="P32" s="10" t="s">
        <v>246</v>
      </c>
      <c r="Q32" s="15"/>
      <c r="R32" s="17" t="s">
        <v>54</v>
      </c>
      <c r="S32" s="18"/>
      <c r="T32" s="22" t="str">
        <f>IF(R32="維持",J32,IF(R32="排除","無關新聞事件",IFERROR(INDEX(事件規則!$B$2:$B$53,MATCH(S32,事件規則!$A$2:$A$53,0)),"")))</f>
        <v>資料外洩</v>
      </c>
      <c r="U32" s="9">
        <f>IF(R32="維持",K32,IF(R32="排除",0,IFERROR(INDEX(事件規則!$C$2:$C$53,MATCH(S32,事件規則!$A$2:$A$53,0)),"")))</f>
        <v>3</v>
      </c>
      <c r="V32" s="19"/>
      <c r="W32" s="20"/>
      <c r="X32" s="10" t="str">
        <f t="shared" si="0"/>
        <v/>
      </c>
      <c r="Y32" s="19"/>
      <c r="Z32" s="20"/>
      <c r="AA32" s="12" t="s">
        <v>247</v>
      </c>
      <c r="AB32" s="23"/>
    </row>
    <row r="33" spans="1:28" ht="25.5">
      <c r="A33" s="15">
        <v>32</v>
      </c>
      <c r="B33" s="9" t="s">
        <v>248</v>
      </c>
      <c r="C33" s="9" t="s">
        <v>249</v>
      </c>
      <c r="D33" s="10" t="s">
        <v>250</v>
      </c>
      <c r="E33" s="21" t="s">
        <v>251</v>
      </c>
      <c r="F33" s="22"/>
      <c r="G33" s="12" t="s">
        <v>252</v>
      </c>
      <c r="H33" s="13">
        <v>-0.93600000000000005</v>
      </c>
      <c r="I33" s="14" t="s">
        <v>155</v>
      </c>
      <c r="J33" s="22" t="s">
        <v>156</v>
      </c>
      <c r="K33" s="9">
        <v>3</v>
      </c>
      <c r="L33" s="15"/>
      <c r="M33" s="16" t="s">
        <v>54</v>
      </c>
      <c r="N33" s="14"/>
      <c r="O33" s="15" t="s">
        <v>55</v>
      </c>
      <c r="P33" s="10" t="s">
        <v>253</v>
      </c>
      <c r="Q33" s="15"/>
      <c r="R33" s="17" t="s">
        <v>54</v>
      </c>
      <c r="S33" s="18"/>
      <c r="T33" s="22" t="str">
        <f>IF(R33="維持",J33,IF(R33="排除","無關新聞事件",IFERROR(INDEX(事件規則!$B$2:$B$53,MATCH(S33,事件規則!$A$2:$A$53,0)),"")))</f>
        <v>資料外洩</v>
      </c>
      <c r="U33" s="9">
        <f>IF(R33="維持",K33,IF(R33="排除",0,IFERROR(INDEX(事件規則!$C$2:$C$53,MATCH(S33,事件規則!$A$2:$A$53,0)),"")))</f>
        <v>3</v>
      </c>
      <c r="V33" s="19"/>
      <c r="W33" s="20"/>
      <c r="X33" s="10" t="str">
        <f t="shared" si="0"/>
        <v/>
      </c>
      <c r="Y33" s="19"/>
      <c r="Z33" s="20"/>
      <c r="AA33" s="12" t="s">
        <v>254</v>
      </c>
      <c r="AB33" s="23"/>
    </row>
    <row r="34" spans="1:28" ht="25.5">
      <c r="A34" s="15">
        <v>33</v>
      </c>
      <c r="B34" s="9" t="s">
        <v>255</v>
      </c>
      <c r="C34" s="9" t="s">
        <v>249</v>
      </c>
      <c r="D34" s="10" t="s">
        <v>250</v>
      </c>
      <c r="E34" s="21" t="s">
        <v>256</v>
      </c>
      <c r="F34" s="22"/>
      <c r="G34" s="12" t="s">
        <v>257</v>
      </c>
      <c r="H34" s="13">
        <v>-0.93200000000000005</v>
      </c>
      <c r="I34" s="14" t="s">
        <v>155</v>
      </c>
      <c r="J34" s="22" t="s">
        <v>156</v>
      </c>
      <c r="K34" s="9">
        <v>3</v>
      </c>
      <c r="L34" s="15"/>
      <c r="M34" s="16" t="s">
        <v>54</v>
      </c>
      <c r="N34" s="14"/>
      <c r="O34" s="15" t="s">
        <v>55</v>
      </c>
      <c r="P34" s="10" t="s">
        <v>253</v>
      </c>
      <c r="Q34" s="15"/>
      <c r="R34" s="17" t="s">
        <v>54</v>
      </c>
      <c r="S34" s="18"/>
      <c r="T34" s="22" t="str">
        <f>IF(R34="維持",J34,IF(R34="排除","無關新聞事件",IFERROR(INDEX(事件規則!$B$2:$B$53,MATCH(S34,事件規則!$A$2:$A$53,0)),"")))</f>
        <v>資料外洩</v>
      </c>
      <c r="U34" s="9">
        <f>IF(R34="維持",K34,IF(R34="排除",0,IFERROR(INDEX(事件規則!$C$2:$C$53,MATCH(S34,事件規則!$A$2:$A$53,0)),"")))</f>
        <v>3</v>
      </c>
      <c r="V34" s="19"/>
      <c r="W34" s="20"/>
      <c r="X34" s="10" t="str">
        <f t="shared" si="0"/>
        <v/>
      </c>
      <c r="Y34" s="19"/>
      <c r="Z34" s="20"/>
      <c r="AA34" s="12" t="s">
        <v>258</v>
      </c>
      <c r="AB34" s="23"/>
    </row>
    <row r="35" spans="1:28" ht="25.5">
      <c r="A35" s="15">
        <v>34</v>
      </c>
      <c r="B35" s="9" t="s">
        <v>255</v>
      </c>
      <c r="C35" s="9" t="s">
        <v>249</v>
      </c>
      <c r="D35" s="10" t="s">
        <v>250</v>
      </c>
      <c r="E35" s="21" t="s">
        <v>259</v>
      </c>
      <c r="F35" s="22"/>
      <c r="G35" s="12" t="s">
        <v>260</v>
      </c>
      <c r="H35" s="13">
        <v>-0.94199999999999995</v>
      </c>
      <c r="I35" s="14" t="s">
        <v>155</v>
      </c>
      <c r="J35" s="22" t="s">
        <v>156</v>
      </c>
      <c r="K35" s="9">
        <v>3</v>
      </c>
      <c r="L35" s="15"/>
      <c r="M35" s="16" t="s">
        <v>54</v>
      </c>
      <c r="N35" s="14"/>
      <c r="O35" s="15" t="s">
        <v>55</v>
      </c>
      <c r="P35" s="10" t="s">
        <v>253</v>
      </c>
      <c r="Q35" s="15"/>
      <c r="R35" s="17" t="s">
        <v>54</v>
      </c>
      <c r="S35" s="18"/>
      <c r="T35" s="22" t="str">
        <f>IF(R35="維持",J35,IF(R35="排除","無關新聞事件",IFERROR(INDEX(事件規則!$B$2:$B$53,MATCH(S35,事件規則!$A$2:$A$53,0)),"")))</f>
        <v>資料外洩</v>
      </c>
      <c r="U35" s="9">
        <f>IF(R35="維持",K35,IF(R35="排除",0,IFERROR(INDEX(事件規則!$C$2:$C$53,MATCH(S35,事件規則!$A$2:$A$53,0)),"")))</f>
        <v>3</v>
      </c>
      <c r="V35" s="19"/>
      <c r="W35" s="20"/>
      <c r="X35" s="10" t="str">
        <f t="shared" si="0"/>
        <v/>
      </c>
      <c r="Y35" s="19"/>
      <c r="Z35" s="20"/>
      <c r="AA35" s="12" t="s">
        <v>261</v>
      </c>
      <c r="AB35" s="23"/>
    </row>
    <row r="36" spans="1:28" ht="25.5">
      <c r="A36" s="15">
        <v>35</v>
      </c>
      <c r="B36" s="9" t="s">
        <v>262</v>
      </c>
      <c r="C36" s="9" t="s">
        <v>263</v>
      </c>
      <c r="D36" s="10" t="s">
        <v>264</v>
      </c>
      <c r="E36" s="21" t="s">
        <v>265</v>
      </c>
      <c r="F36" s="22"/>
      <c r="G36" s="12" t="s">
        <v>266</v>
      </c>
      <c r="H36" s="13">
        <v>-0.84699999999999998</v>
      </c>
      <c r="I36" s="14" t="s">
        <v>155</v>
      </c>
      <c r="J36" s="22" t="s">
        <v>156</v>
      </c>
      <c r="K36" s="9">
        <v>3</v>
      </c>
      <c r="L36" s="15"/>
      <c r="M36" s="16" t="s">
        <v>54</v>
      </c>
      <c r="N36" s="14"/>
      <c r="O36" s="15" t="s">
        <v>65</v>
      </c>
      <c r="P36" s="10" t="s">
        <v>267</v>
      </c>
      <c r="Q36" s="15"/>
      <c r="R36" s="17" t="s">
        <v>54</v>
      </c>
      <c r="S36" s="18"/>
      <c r="T36" s="22" t="str">
        <f>IF(R36="維持",J36,IF(R36="排除","無關新聞事件",IFERROR(INDEX(事件規則!$B$2:$B$53,MATCH(S36,事件規則!$A$2:$A$53,0)),"")))</f>
        <v>資料外洩</v>
      </c>
      <c r="U36" s="9">
        <f>IF(R36="維持",K36,IF(R36="排除",0,IFERROR(INDEX(事件規則!$C$2:$C$53,MATCH(S36,事件規則!$A$2:$A$53,0)),"")))</f>
        <v>3</v>
      </c>
      <c r="V36" s="19"/>
      <c r="W36" s="20"/>
      <c r="X36" s="10" t="str">
        <f t="shared" si="0"/>
        <v/>
      </c>
      <c r="Y36" s="19"/>
      <c r="Z36" s="20"/>
      <c r="AA36" s="12" t="s">
        <v>268</v>
      </c>
      <c r="AB36" s="23"/>
    </row>
    <row r="37" spans="1:28" ht="25.5">
      <c r="A37" s="15">
        <v>36</v>
      </c>
      <c r="B37" s="9" t="s">
        <v>269</v>
      </c>
      <c r="C37" s="9" t="s">
        <v>270</v>
      </c>
      <c r="D37" s="10" t="s">
        <v>271</v>
      </c>
      <c r="E37" s="21" t="s">
        <v>272</v>
      </c>
      <c r="F37" s="10" t="s">
        <v>273</v>
      </c>
      <c r="G37" s="12" t="s">
        <v>274</v>
      </c>
      <c r="H37" s="13">
        <v>-0.95399999999999996</v>
      </c>
      <c r="I37" s="14" t="s">
        <v>155</v>
      </c>
      <c r="J37" s="22" t="s">
        <v>156</v>
      </c>
      <c r="K37" s="9">
        <v>3</v>
      </c>
      <c r="L37" s="15"/>
      <c r="M37" s="16" t="s">
        <v>54</v>
      </c>
      <c r="N37" s="14"/>
      <c r="O37" s="15" t="s">
        <v>55</v>
      </c>
      <c r="P37" s="10" t="s">
        <v>275</v>
      </c>
      <c r="Q37" s="15"/>
      <c r="R37" s="17" t="s">
        <v>54</v>
      </c>
      <c r="S37" s="18"/>
      <c r="T37" s="22" t="str">
        <f>IF(R37="維持",J37,IF(R37="排除","無關新聞事件",IFERROR(INDEX(事件規則!$B$2:$B$53,MATCH(S37,事件規則!$A$2:$A$53,0)),"")))</f>
        <v>資料外洩</v>
      </c>
      <c r="U37" s="9">
        <f>IF(R37="維持",K37,IF(R37="排除",0,IFERROR(INDEX(事件規則!$C$2:$C$53,MATCH(S37,事件規則!$A$2:$A$53,0)),"")))</f>
        <v>3</v>
      </c>
      <c r="V37" s="19"/>
      <c r="W37" s="20"/>
      <c r="X37" s="10" t="str">
        <f t="shared" si="0"/>
        <v/>
      </c>
      <c r="Y37" s="19"/>
      <c r="Z37" s="20"/>
      <c r="AA37" s="12" t="s">
        <v>276</v>
      </c>
      <c r="AB37" s="23"/>
    </row>
    <row r="38" spans="1:28" ht="38.25">
      <c r="A38" s="15">
        <v>37</v>
      </c>
      <c r="B38" s="9" t="s">
        <v>269</v>
      </c>
      <c r="C38" s="9" t="s">
        <v>270</v>
      </c>
      <c r="D38" s="10" t="s">
        <v>271</v>
      </c>
      <c r="E38" s="21" t="s">
        <v>277</v>
      </c>
      <c r="F38" s="22" t="s">
        <v>278</v>
      </c>
      <c r="G38" s="12" t="s">
        <v>279</v>
      </c>
      <c r="H38" s="13">
        <v>-0.91900000000000004</v>
      </c>
      <c r="I38" s="14" t="s">
        <v>155</v>
      </c>
      <c r="J38" s="22" t="s">
        <v>156</v>
      </c>
      <c r="K38" s="9">
        <v>3</v>
      </c>
      <c r="L38" s="15"/>
      <c r="M38" s="16" t="s">
        <v>54</v>
      </c>
      <c r="N38" s="14"/>
      <c r="O38" s="15" t="s">
        <v>55</v>
      </c>
      <c r="P38" s="10" t="s">
        <v>275</v>
      </c>
      <c r="Q38" s="15"/>
      <c r="R38" s="17" t="s">
        <v>54</v>
      </c>
      <c r="S38" s="18"/>
      <c r="T38" s="22" t="str">
        <f>IF(R38="維持",J38,IF(R38="排除","無關新聞事件",IFERROR(INDEX(事件規則!$B$2:$B$53,MATCH(S38,事件規則!$A$2:$A$53,0)),"")))</f>
        <v>資料外洩</v>
      </c>
      <c r="U38" s="9">
        <f>IF(R38="維持",K38,IF(R38="排除",0,IFERROR(INDEX(事件規則!$C$2:$C$53,MATCH(S38,事件規則!$A$2:$A$53,0)),"")))</f>
        <v>3</v>
      </c>
      <c r="V38" s="19"/>
      <c r="W38" s="20"/>
      <c r="X38" s="10" t="str">
        <f t="shared" si="0"/>
        <v/>
      </c>
      <c r="Y38" s="19"/>
      <c r="Z38" s="20"/>
      <c r="AA38" s="12" t="s">
        <v>280</v>
      </c>
      <c r="AB38" s="23"/>
    </row>
    <row r="39" spans="1:28" ht="25.5">
      <c r="A39" s="15">
        <v>38</v>
      </c>
      <c r="B39" s="9" t="s">
        <v>269</v>
      </c>
      <c r="C39" s="9" t="s">
        <v>270</v>
      </c>
      <c r="D39" s="10" t="s">
        <v>271</v>
      </c>
      <c r="E39" s="21" t="s">
        <v>281</v>
      </c>
      <c r="F39" s="10" t="s">
        <v>282</v>
      </c>
      <c r="G39" s="12" t="s">
        <v>164</v>
      </c>
      <c r="H39" s="13">
        <v>-0.44500000000000001</v>
      </c>
      <c r="I39" s="14" t="s">
        <v>155</v>
      </c>
      <c r="J39" s="22" t="s">
        <v>156</v>
      </c>
      <c r="K39" s="9">
        <v>3</v>
      </c>
      <c r="L39" s="15"/>
      <c r="M39" s="16" t="s">
        <v>54</v>
      </c>
      <c r="N39" s="14"/>
      <c r="O39" s="15" t="s">
        <v>55</v>
      </c>
      <c r="P39" s="10" t="s">
        <v>275</v>
      </c>
      <c r="Q39" s="15"/>
      <c r="R39" s="17" t="s">
        <v>54</v>
      </c>
      <c r="S39" s="18"/>
      <c r="T39" s="22" t="str">
        <f>IF(R39="維持",J39,IF(R39="排除","無關新聞事件",IFERROR(INDEX(事件規則!$B$2:$B$53,MATCH(S39,事件規則!$A$2:$A$53,0)),"")))</f>
        <v>資料外洩</v>
      </c>
      <c r="U39" s="9">
        <f>IF(R39="維持",K39,IF(R39="排除",0,IFERROR(INDEX(事件規則!$C$2:$C$53,MATCH(S39,事件規則!$A$2:$A$53,0)),"")))</f>
        <v>3</v>
      </c>
      <c r="V39" s="19"/>
      <c r="W39" s="20"/>
      <c r="X39" s="10" t="str">
        <f t="shared" si="0"/>
        <v/>
      </c>
      <c r="Y39" s="19"/>
      <c r="Z39" s="20"/>
      <c r="AA39" s="12" t="s">
        <v>283</v>
      </c>
      <c r="AB39" s="23"/>
    </row>
    <row r="40" spans="1:28" ht="38.25">
      <c r="A40" s="15">
        <v>39</v>
      </c>
      <c r="B40" s="9" t="s">
        <v>269</v>
      </c>
      <c r="C40" s="9" t="s">
        <v>270</v>
      </c>
      <c r="D40" s="10" t="s">
        <v>271</v>
      </c>
      <c r="E40" s="21" t="s">
        <v>284</v>
      </c>
      <c r="F40" s="10" t="s">
        <v>285</v>
      </c>
      <c r="G40" s="12" t="s">
        <v>286</v>
      </c>
      <c r="H40" s="13">
        <v>-0.92500000000000004</v>
      </c>
      <c r="I40" s="14" t="s">
        <v>155</v>
      </c>
      <c r="J40" s="22" t="s">
        <v>156</v>
      </c>
      <c r="K40" s="9">
        <v>3</v>
      </c>
      <c r="L40" s="15"/>
      <c r="M40" s="16" t="s">
        <v>54</v>
      </c>
      <c r="N40" s="14"/>
      <c r="O40" s="15" t="s">
        <v>55</v>
      </c>
      <c r="P40" s="10" t="s">
        <v>275</v>
      </c>
      <c r="Q40" s="15"/>
      <c r="R40" s="17" t="s">
        <v>54</v>
      </c>
      <c r="S40" s="18"/>
      <c r="T40" s="22" t="str">
        <f>IF(R40="維持",J40,IF(R40="排除","無關新聞事件",IFERROR(INDEX(事件規則!$B$2:$B$53,MATCH(S40,事件規則!$A$2:$A$53,0)),"")))</f>
        <v>資料外洩</v>
      </c>
      <c r="U40" s="9">
        <f>IF(R40="維持",K40,IF(R40="排除",0,IFERROR(INDEX(事件規則!$C$2:$C$53,MATCH(S40,事件規則!$A$2:$A$53,0)),"")))</f>
        <v>3</v>
      </c>
      <c r="V40" s="19"/>
      <c r="W40" s="20"/>
      <c r="X40" s="10" t="str">
        <f t="shared" si="0"/>
        <v/>
      </c>
      <c r="Y40" s="19"/>
      <c r="Z40" s="20"/>
      <c r="AA40" s="12" t="s">
        <v>287</v>
      </c>
      <c r="AB40" s="23"/>
    </row>
    <row r="41" spans="1:28" ht="51">
      <c r="A41" s="15">
        <v>40</v>
      </c>
      <c r="B41" s="9" t="s">
        <v>77</v>
      </c>
      <c r="C41" s="9" t="s">
        <v>288</v>
      </c>
      <c r="D41" s="10" t="s">
        <v>289</v>
      </c>
      <c r="E41" s="21" t="s">
        <v>290</v>
      </c>
      <c r="F41" s="10" t="s">
        <v>291</v>
      </c>
      <c r="G41" s="12" t="s">
        <v>292</v>
      </c>
      <c r="H41" s="13">
        <v>0.01</v>
      </c>
      <c r="I41" s="14" t="s">
        <v>293</v>
      </c>
      <c r="J41" s="22" t="s">
        <v>294</v>
      </c>
      <c r="K41" s="9">
        <v>3</v>
      </c>
      <c r="L41" s="15"/>
      <c r="M41" s="16" t="s">
        <v>74</v>
      </c>
      <c r="N41" s="14"/>
      <c r="O41" s="15" t="s">
        <v>65</v>
      </c>
      <c r="P41" s="10" t="s">
        <v>295</v>
      </c>
      <c r="Q41" s="15"/>
      <c r="R41" s="17" t="s">
        <v>74</v>
      </c>
      <c r="S41" s="18"/>
      <c r="T41" s="22" t="str">
        <f>IF(R41="維持",J41,IF(R41="排除","無關新聞事件",IFERROR(INDEX(事件規則!$B$2:$B$53,MATCH(S41,事件規則!$A$2:$A$53,0)),"")))</f>
        <v>無關新聞事件</v>
      </c>
      <c r="U41" s="9">
        <f>IF(R41="維持",K41,IF(R41="排除",0,IFERROR(INDEX(事件規則!$C$2:$C$53,MATCH(S41,事件規則!$A$2:$A$53,0)),"")))</f>
        <v>0</v>
      </c>
      <c r="V41" s="19"/>
      <c r="W41" s="20"/>
      <c r="X41" s="10" t="str">
        <f t="shared" si="0"/>
        <v/>
      </c>
      <c r="Y41" s="19"/>
      <c r="Z41" s="20"/>
      <c r="AA41" s="12" t="s">
        <v>296</v>
      </c>
      <c r="AB41" s="23"/>
    </row>
    <row r="42" spans="1:28" ht="51">
      <c r="A42" s="15">
        <v>41</v>
      </c>
      <c r="B42" s="9" t="s">
        <v>77</v>
      </c>
      <c r="C42" s="9" t="s">
        <v>297</v>
      </c>
      <c r="D42" s="10" t="s">
        <v>298</v>
      </c>
      <c r="E42" s="21" t="s">
        <v>290</v>
      </c>
      <c r="F42" s="10" t="s">
        <v>291</v>
      </c>
      <c r="G42" s="12" t="s">
        <v>299</v>
      </c>
      <c r="H42" s="13">
        <v>0.01</v>
      </c>
      <c r="I42" s="14" t="s">
        <v>293</v>
      </c>
      <c r="J42" s="22" t="s">
        <v>294</v>
      </c>
      <c r="K42" s="9">
        <v>3</v>
      </c>
      <c r="L42" s="15"/>
      <c r="M42" s="16" t="s">
        <v>74</v>
      </c>
      <c r="N42" s="14"/>
      <c r="O42" s="15" t="s">
        <v>65</v>
      </c>
      <c r="P42" s="10" t="s">
        <v>295</v>
      </c>
      <c r="Q42" s="15"/>
      <c r="R42" s="17" t="s">
        <v>74</v>
      </c>
      <c r="S42" s="18"/>
      <c r="T42" s="22" t="str">
        <f>IF(R42="維持",J42,IF(R42="排除","無關新聞事件",IFERROR(INDEX(事件規則!$B$2:$B$53,MATCH(S42,事件規則!$A$2:$A$53,0)),"")))</f>
        <v>無關新聞事件</v>
      </c>
      <c r="U42" s="9">
        <f>IF(R42="維持",K42,IF(R42="排除",0,IFERROR(INDEX(事件規則!$C$2:$C$53,MATCH(S42,事件規則!$A$2:$A$53,0)),"")))</f>
        <v>0</v>
      </c>
      <c r="V42" s="19"/>
      <c r="W42" s="20"/>
      <c r="X42" s="10" t="str">
        <f t="shared" si="0"/>
        <v/>
      </c>
      <c r="Y42" s="19"/>
      <c r="Z42" s="20"/>
      <c r="AA42" s="12" t="s">
        <v>300</v>
      </c>
      <c r="AB42" s="23"/>
    </row>
    <row r="43" spans="1:28" ht="38.25">
      <c r="A43" s="15">
        <v>42</v>
      </c>
      <c r="B43" s="9" t="s">
        <v>87</v>
      </c>
      <c r="C43" s="9" t="s">
        <v>301</v>
      </c>
      <c r="D43" s="10" t="s">
        <v>302</v>
      </c>
      <c r="E43" s="21" t="s">
        <v>303</v>
      </c>
      <c r="F43" s="22" t="s">
        <v>304</v>
      </c>
      <c r="G43" s="12" t="s">
        <v>305</v>
      </c>
      <c r="H43" s="13">
        <v>0.86799999999999999</v>
      </c>
      <c r="I43" s="14" t="s">
        <v>293</v>
      </c>
      <c r="J43" s="22" t="s">
        <v>294</v>
      </c>
      <c r="K43" s="9">
        <v>3</v>
      </c>
      <c r="L43" s="15"/>
      <c r="M43" s="16" t="s">
        <v>74</v>
      </c>
      <c r="N43" s="14"/>
      <c r="O43" s="15" t="s">
        <v>55</v>
      </c>
      <c r="P43" s="10" t="s">
        <v>306</v>
      </c>
      <c r="Q43" s="15"/>
      <c r="R43" s="17" t="s">
        <v>74</v>
      </c>
      <c r="S43" s="18"/>
      <c r="T43" s="22" t="str">
        <f>IF(R43="維持",J43,IF(R43="排除","無關新聞事件",IFERROR(INDEX(事件規則!$B$2:$B$53,MATCH(S43,事件規則!$A$2:$A$53,0)),"")))</f>
        <v>無關新聞事件</v>
      </c>
      <c r="U43" s="9">
        <f>IF(R43="維持",K43,IF(R43="排除",0,IFERROR(INDEX(事件規則!$C$2:$C$53,MATCH(S43,事件規則!$A$2:$A$53,0)),"")))</f>
        <v>0</v>
      </c>
      <c r="V43" s="19"/>
      <c r="W43" s="20"/>
      <c r="X43" s="10" t="str">
        <f t="shared" si="0"/>
        <v/>
      </c>
      <c r="Y43" s="19"/>
      <c r="Z43" s="20"/>
      <c r="AA43" s="12" t="s">
        <v>307</v>
      </c>
      <c r="AB43" s="23"/>
    </row>
    <row r="44" spans="1:28" ht="38.25">
      <c r="A44" s="15">
        <v>43</v>
      </c>
      <c r="B44" s="9" t="s">
        <v>87</v>
      </c>
      <c r="C44" s="9" t="s">
        <v>308</v>
      </c>
      <c r="D44" s="10" t="s">
        <v>309</v>
      </c>
      <c r="E44" s="21" t="s">
        <v>310</v>
      </c>
      <c r="F44" s="10" t="s">
        <v>311</v>
      </c>
      <c r="G44" s="12" t="s">
        <v>312</v>
      </c>
      <c r="H44" s="13">
        <v>-0.95499999999999996</v>
      </c>
      <c r="I44" s="14" t="s">
        <v>293</v>
      </c>
      <c r="J44" s="22" t="s">
        <v>294</v>
      </c>
      <c r="K44" s="9">
        <v>3</v>
      </c>
      <c r="L44" s="15"/>
      <c r="M44" s="16" t="s">
        <v>74</v>
      </c>
      <c r="N44" s="14"/>
      <c r="O44" s="15" t="s">
        <v>55</v>
      </c>
      <c r="P44" s="10" t="s">
        <v>313</v>
      </c>
      <c r="Q44" s="15"/>
      <c r="R44" s="17" t="s">
        <v>74</v>
      </c>
      <c r="S44" s="18"/>
      <c r="T44" s="22" t="str">
        <f>IF(R44="維持",J44,IF(R44="排除","無關新聞事件",IFERROR(INDEX(事件規則!$B$2:$B$53,MATCH(S44,事件規則!$A$2:$A$53,0)),"")))</f>
        <v>無關新聞事件</v>
      </c>
      <c r="U44" s="9">
        <f>IF(R44="維持",K44,IF(R44="排除",0,IFERROR(INDEX(事件規則!$C$2:$C$53,MATCH(S44,事件規則!$A$2:$A$53,0)),"")))</f>
        <v>0</v>
      </c>
      <c r="V44" s="19"/>
      <c r="W44" s="20"/>
      <c r="X44" s="10" t="str">
        <f t="shared" si="0"/>
        <v/>
      </c>
      <c r="Y44" s="19"/>
      <c r="Z44" s="20"/>
      <c r="AA44" s="12" t="s">
        <v>314</v>
      </c>
      <c r="AB44" s="23"/>
    </row>
    <row r="45" spans="1:28" ht="25.5">
      <c r="A45" s="15">
        <v>44</v>
      </c>
      <c r="B45" s="9" t="s">
        <v>87</v>
      </c>
      <c r="C45" s="9" t="s">
        <v>301</v>
      </c>
      <c r="D45" s="10" t="s">
        <v>302</v>
      </c>
      <c r="E45" s="21" t="s">
        <v>315</v>
      </c>
      <c r="F45" s="10" t="s">
        <v>316</v>
      </c>
      <c r="G45" s="12" t="s">
        <v>312</v>
      </c>
      <c r="H45" s="13">
        <v>-0.94</v>
      </c>
      <c r="I45" s="14" t="s">
        <v>293</v>
      </c>
      <c r="J45" s="22" t="s">
        <v>294</v>
      </c>
      <c r="K45" s="9">
        <v>3</v>
      </c>
      <c r="L45" s="15"/>
      <c r="M45" s="16" t="s">
        <v>74</v>
      </c>
      <c r="N45" s="14"/>
      <c r="O45" s="15" t="s">
        <v>55</v>
      </c>
      <c r="P45" s="10" t="s">
        <v>306</v>
      </c>
      <c r="Q45" s="15"/>
      <c r="R45" s="17" t="s">
        <v>74</v>
      </c>
      <c r="S45" s="18"/>
      <c r="T45" s="22" t="str">
        <f>IF(R45="維持",J45,IF(R45="排除","無關新聞事件",IFERROR(INDEX(事件規則!$B$2:$B$53,MATCH(S45,事件規則!$A$2:$A$53,0)),"")))</f>
        <v>無關新聞事件</v>
      </c>
      <c r="U45" s="9">
        <f>IF(R45="維持",K45,IF(R45="排除",0,IFERROR(INDEX(事件規則!$C$2:$C$53,MATCH(S45,事件規則!$A$2:$A$53,0)),"")))</f>
        <v>0</v>
      </c>
      <c r="V45" s="19"/>
      <c r="W45" s="20"/>
      <c r="X45" s="10" t="str">
        <f t="shared" si="0"/>
        <v/>
      </c>
      <c r="Y45" s="19"/>
      <c r="Z45" s="20"/>
      <c r="AA45" s="12" t="s">
        <v>317</v>
      </c>
      <c r="AB45" s="23"/>
    </row>
    <row r="46" spans="1:28" ht="25.5">
      <c r="A46" s="15">
        <v>45</v>
      </c>
      <c r="B46" s="9" t="s">
        <v>87</v>
      </c>
      <c r="C46" s="9" t="s">
        <v>301</v>
      </c>
      <c r="D46" s="10" t="s">
        <v>302</v>
      </c>
      <c r="E46" s="21" t="s">
        <v>318</v>
      </c>
      <c r="F46" s="10" t="s">
        <v>319</v>
      </c>
      <c r="G46" s="12" t="s">
        <v>312</v>
      </c>
      <c r="H46" s="13">
        <v>-0.91500000000000004</v>
      </c>
      <c r="I46" s="14" t="s">
        <v>293</v>
      </c>
      <c r="J46" s="22" t="s">
        <v>294</v>
      </c>
      <c r="K46" s="9">
        <v>3</v>
      </c>
      <c r="L46" s="15"/>
      <c r="M46" s="16" t="s">
        <v>74</v>
      </c>
      <c r="N46" s="14"/>
      <c r="O46" s="15" t="s">
        <v>55</v>
      </c>
      <c r="P46" s="10" t="s">
        <v>306</v>
      </c>
      <c r="Q46" s="15"/>
      <c r="R46" s="17" t="s">
        <v>74</v>
      </c>
      <c r="S46" s="18"/>
      <c r="T46" s="22" t="str">
        <f>IF(R46="維持",J46,IF(R46="排除","無關新聞事件",IFERROR(INDEX(事件規則!$B$2:$B$53,MATCH(S46,事件規則!$A$2:$A$53,0)),"")))</f>
        <v>無關新聞事件</v>
      </c>
      <c r="U46" s="9">
        <f>IF(R46="維持",K46,IF(R46="排除",0,IFERROR(INDEX(事件規則!$C$2:$C$53,MATCH(S46,事件規則!$A$2:$A$53,0)),"")))</f>
        <v>0</v>
      </c>
      <c r="V46" s="19"/>
      <c r="W46" s="20"/>
      <c r="X46" s="10" t="str">
        <f t="shared" si="0"/>
        <v/>
      </c>
      <c r="Y46" s="19"/>
      <c r="Z46" s="20"/>
      <c r="AA46" s="12" t="s">
        <v>320</v>
      </c>
      <c r="AB46" s="23"/>
    </row>
    <row r="47" spans="1:28" ht="25.5">
      <c r="A47" s="15">
        <v>46</v>
      </c>
      <c r="B47" s="9" t="s">
        <v>87</v>
      </c>
      <c r="C47" s="9" t="s">
        <v>321</v>
      </c>
      <c r="D47" s="10" t="s">
        <v>322</v>
      </c>
      <c r="E47" s="21" t="s">
        <v>323</v>
      </c>
      <c r="F47" s="22" t="s">
        <v>324</v>
      </c>
      <c r="G47" s="12" t="s">
        <v>305</v>
      </c>
      <c r="H47" s="13">
        <v>-0.71099999999999997</v>
      </c>
      <c r="I47" s="14" t="s">
        <v>293</v>
      </c>
      <c r="J47" s="22" t="s">
        <v>294</v>
      </c>
      <c r="K47" s="9">
        <v>3</v>
      </c>
      <c r="L47" s="15"/>
      <c r="M47" s="16" t="s">
        <v>74</v>
      </c>
      <c r="N47" s="14"/>
      <c r="O47" s="15" t="s">
        <v>55</v>
      </c>
      <c r="P47" s="10" t="s">
        <v>325</v>
      </c>
      <c r="Q47" s="15"/>
      <c r="R47" s="17" t="s">
        <v>74</v>
      </c>
      <c r="S47" s="18"/>
      <c r="T47" s="22" t="str">
        <f>IF(R47="維持",J47,IF(R47="排除","無關新聞事件",IFERROR(INDEX(事件規則!$B$2:$B$53,MATCH(S47,事件規則!$A$2:$A$53,0)),"")))</f>
        <v>無關新聞事件</v>
      </c>
      <c r="U47" s="9">
        <f>IF(R47="維持",K47,IF(R47="排除",0,IFERROR(INDEX(事件規則!$C$2:$C$53,MATCH(S47,事件規則!$A$2:$A$53,0)),"")))</f>
        <v>0</v>
      </c>
      <c r="V47" s="19"/>
      <c r="W47" s="20"/>
      <c r="X47" s="10" t="str">
        <f t="shared" si="0"/>
        <v/>
      </c>
      <c r="Y47" s="19"/>
      <c r="Z47" s="20"/>
      <c r="AA47" s="12" t="s">
        <v>326</v>
      </c>
      <c r="AB47" s="23"/>
    </row>
    <row r="48" spans="1:28" ht="25.5">
      <c r="A48" s="15">
        <v>47</v>
      </c>
      <c r="B48" s="9" t="s">
        <v>87</v>
      </c>
      <c r="C48" s="9" t="s">
        <v>327</v>
      </c>
      <c r="D48" s="10" t="s">
        <v>328</v>
      </c>
      <c r="E48" s="21" t="s">
        <v>329</v>
      </c>
      <c r="F48" s="22" t="s">
        <v>330</v>
      </c>
      <c r="G48" s="12" t="s">
        <v>331</v>
      </c>
      <c r="H48" s="13">
        <v>-0.85899999999999999</v>
      </c>
      <c r="I48" s="14" t="s">
        <v>293</v>
      </c>
      <c r="J48" s="22" t="s">
        <v>294</v>
      </c>
      <c r="K48" s="9">
        <v>3</v>
      </c>
      <c r="L48" s="15"/>
      <c r="M48" s="16" t="s">
        <v>74</v>
      </c>
      <c r="N48" s="14"/>
      <c r="O48" s="15" t="s">
        <v>65</v>
      </c>
      <c r="P48" s="10" t="s">
        <v>332</v>
      </c>
      <c r="Q48" s="15"/>
      <c r="R48" s="17" t="s">
        <v>74</v>
      </c>
      <c r="S48" s="18"/>
      <c r="T48" s="22" t="str">
        <f>IF(R48="維持",J48,IF(R48="排除","無關新聞事件",IFERROR(INDEX(事件規則!$B$2:$B$53,MATCH(S48,事件規則!$A$2:$A$53,0)),"")))</f>
        <v>無關新聞事件</v>
      </c>
      <c r="U48" s="9">
        <f>IF(R48="維持",K48,IF(R48="排除",0,IFERROR(INDEX(事件規則!$C$2:$C$53,MATCH(S48,事件規則!$A$2:$A$53,0)),"")))</f>
        <v>0</v>
      </c>
      <c r="V48" s="19"/>
      <c r="W48" s="20"/>
      <c r="X48" s="10" t="str">
        <f t="shared" si="0"/>
        <v/>
      </c>
      <c r="Y48" s="19"/>
      <c r="Z48" s="20"/>
      <c r="AA48" s="12" t="s">
        <v>333</v>
      </c>
      <c r="AB48" s="23"/>
    </row>
    <row r="49" spans="1:28" ht="38.25">
      <c r="A49" s="15">
        <v>48</v>
      </c>
      <c r="B49" s="9" t="s">
        <v>100</v>
      </c>
      <c r="C49" s="9" t="s">
        <v>334</v>
      </c>
      <c r="D49" s="10" t="s">
        <v>335</v>
      </c>
      <c r="E49" s="21" t="s">
        <v>336</v>
      </c>
      <c r="F49" s="22" t="s">
        <v>337</v>
      </c>
      <c r="G49" s="12" t="s">
        <v>338</v>
      </c>
      <c r="H49" s="13">
        <v>-2.3E-2</v>
      </c>
      <c r="I49" s="14" t="s">
        <v>293</v>
      </c>
      <c r="J49" s="22" t="s">
        <v>294</v>
      </c>
      <c r="K49" s="9">
        <v>3</v>
      </c>
      <c r="L49" s="15"/>
      <c r="M49" s="16" t="s">
        <v>74</v>
      </c>
      <c r="N49" s="14"/>
      <c r="O49" s="15" t="s">
        <v>65</v>
      </c>
      <c r="P49" s="22" t="s">
        <v>339</v>
      </c>
      <c r="Q49" s="15"/>
      <c r="R49" s="17" t="s">
        <v>74</v>
      </c>
      <c r="S49" s="18"/>
      <c r="T49" s="22" t="str">
        <f>IF(R49="維持",J49,IF(R49="排除","無關新聞事件",IFERROR(INDEX(事件規則!$B$2:$B$53,MATCH(S49,事件規則!$A$2:$A$53,0)),"")))</f>
        <v>無關新聞事件</v>
      </c>
      <c r="U49" s="9">
        <f>IF(R49="維持",K49,IF(R49="排除",0,IFERROR(INDEX(事件規則!$C$2:$C$53,MATCH(S49,事件規則!$A$2:$A$53,0)),"")))</f>
        <v>0</v>
      </c>
      <c r="V49" s="19"/>
      <c r="W49" s="20"/>
      <c r="X49" s="10" t="str">
        <f t="shared" si="0"/>
        <v/>
      </c>
      <c r="Y49" s="19"/>
      <c r="Z49" s="20"/>
      <c r="AA49" s="12" t="s">
        <v>340</v>
      </c>
      <c r="AB49" s="23"/>
    </row>
    <row r="50" spans="1:28" ht="25.5">
      <c r="A50" s="15">
        <v>49</v>
      </c>
      <c r="B50" s="9" t="s">
        <v>100</v>
      </c>
      <c r="C50" s="9" t="s">
        <v>341</v>
      </c>
      <c r="D50" s="10" t="s">
        <v>342</v>
      </c>
      <c r="E50" s="21" t="s">
        <v>343</v>
      </c>
      <c r="F50" s="22" t="s">
        <v>344</v>
      </c>
      <c r="G50" s="12" t="s">
        <v>64</v>
      </c>
      <c r="H50" s="13">
        <v>-0.93300000000000005</v>
      </c>
      <c r="I50" s="14" t="s">
        <v>293</v>
      </c>
      <c r="J50" s="22" t="s">
        <v>294</v>
      </c>
      <c r="K50" s="9">
        <v>3</v>
      </c>
      <c r="L50" s="15"/>
      <c r="M50" s="16" t="s">
        <v>74</v>
      </c>
      <c r="N50" s="14"/>
      <c r="O50" s="15" t="s">
        <v>55</v>
      </c>
      <c r="P50" s="10" t="s">
        <v>345</v>
      </c>
      <c r="Q50" s="15"/>
      <c r="R50" s="17" t="s">
        <v>74</v>
      </c>
      <c r="S50" s="18"/>
      <c r="T50" s="22" t="str">
        <f>IF(R50="維持",J50,IF(R50="排除","無關新聞事件",IFERROR(INDEX(事件規則!$B$2:$B$53,MATCH(S50,事件規則!$A$2:$A$53,0)),"")))</f>
        <v>無關新聞事件</v>
      </c>
      <c r="U50" s="9">
        <f>IF(R50="維持",K50,IF(R50="排除",0,IFERROR(INDEX(事件規則!$C$2:$C$53,MATCH(S50,事件規則!$A$2:$A$53,0)),"")))</f>
        <v>0</v>
      </c>
      <c r="V50" s="19"/>
      <c r="W50" s="20"/>
      <c r="X50" s="10" t="str">
        <f t="shared" si="0"/>
        <v/>
      </c>
      <c r="Y50" s="19"/>
      <c r="Z50" s="20"/>
      <c r="AA50" s="12" t="s">
        <v>346</v>
      </c>
      <c r="AB50" s="23"/>
    </row>
    <row r="51" spans="1:28" ht="38.25">
      <c r="A51" s="15">
        <v>50</v>
      </c>
      <c r="B51" s="9" t="s">
        <v>159</v>
      </c>
      <c r="C51" s="9" t="s">
        <v>347</v>
      </c>
      <c r="D51" s="10" t="s">
        <v>348</v>
      </c>
      <c r="E51" s="21" t="s">
        <v>349</v>
      </c>
      <c r="F51" s="22" t="s">
        <v>350</v>
      </c>
      <c r="G51" s="12" t="s">
        <v>351</v>
      </c>
      <c r="H51" s="13">
        <v>-0.91900000000000004</v>
      </c>
      <c r="I51" s="14" t="s">
        <v>293</v>
      </c>
      <c r="J51" s="22" t="s">
        <v>294</v>
      </c>
      <c r="K51" s="9">
        <v>3</v>
      </c>
      <c r="L51" s="15"/>
      <c r="M51" s="16" t="s">
        <v>74</v>
      </c>
      <c r="N51" s="14"/>
      <c r="O51" s="15" t="s">
        <v>65</v>
      </c>
      <c r="P51" s="22" t="s">
        <v>339</v>
      </c>
      <c r="Q51" s="15"/>
      <c r="R51" s="17" t="s">
        <v>74</v>
      </c>
      <c r="S51" s="18"/>
      <c r="T51" s="22" t="str">
        <f>IF(R51="維持",J51,IF(R51="排除","無關新聞事件",IFERROR(INDEX(事件規則!$B$2:$B$53,MATCH(S51,事件規則!$A$2:$A$53,0)),"")))</f>
        <v>無關新聞事件</v>
      </c>
      <c r="U51" s="9">
        <f>IF(R51="維持",K51,IF(R51="排除",0,IFERROR(INDEX(事件規則!$C$2:$C$53,MATCH(S51,事件規則!$A$2:$A$53,0)),"")))</f>
        <v>0</v>
      </c>
      <c r="V51" s="19"/>
      <c r="W51" s="20"/>
      <c r="X51" s="10" t="str">
        <f t="shared" si="0"/>
        <v/>
      </c>
      <c r="Y51" s="19"/>
      <c r="Z51" s="20"/>
      <c r="AA51" s="12" t="s">
        <v>352</v>
      </c>
      <c r="AB51" s="23"/>
    </row>
    <row r="52" spans="1:28" ht="38.25">
      <c r="A52" s="15">
        <v>51</v>
      </c>
      <c r="B52" s="9" t="s">
        <v>167</v>
      </c>
      <c r="C52" s="9" t="s">
        <v>353</v>
      </c>
      <c r="D52" s="10" t="s">
        <v>354</v>
      </c>
      <c r="E52" s="21" t="s">
        <v>355</v>
      </c>
      <c r="F52" s="22" t="s">
        <v>356</v>
      </c>
      <c r="G52" s="12" t="s">
        <v>357</v>
      </c>
      <c r="H52" s="13">
        <v>-0.61099999999999999</v>
      </c>
      <c r="I52" s="14" t="s">
        <v>293</v>
      </c>
      <c r="J52" s="22" t="s">
        <v>294</v>
      </c>
      <c r="K52" s="9">
        <v>3</v>
      </c>
      <c r="L52" s="15"/>
      <c r="M52" s="16" t="s">
        <v>54</v>
      </c>
      <c r="N52" s="14"/>
      <c r="O52" s="15" t="s">
        <v>65</v>
      </c>
      <c r="P52" s="10" t="s">
        <v>358</v>
      </c>
      <c r="Q52" s="15"/>
      <c r="R52" s="17" t="s">
        <v>54</v>
      </c>
      <c r="S52" s="18"/>
      <c r="T52" s="22" t="str">
        <f>IF(R52="維持",J52,IF(R52="排除","無關新聞事件",IFERROR(INDEX(事件規則!$B$2:$B$53,MATCH(S52,事件規則!$A$2:$A$53,0)),"")))</f>
        <v>財報不如預期</v>
      </c>
      <c r="U52" s="9">
        <f>IF(R52="維持",K52,IF(R52="排除",0,IFERROR(INDEX(事件規則!$C$2:$C$53,MATCH(S52,事件規則!$A$2:$A$53,0)),"")))</f>
        <v>3</v>
      </c>
      <c r="V52" s="19"/>
      <c r="W52" s="20"/>
      <c r="X52" s="10" t="str">
        <f t="shared" si="0"/>
        <v/>
      </c>
      <c r="Y52" s="19"/>
      <c r="Z52" s="20"/>
      <c r="AA52" s="12" t="s">
        <v>359</v>
      </c>
      <c r="AB52" s="23"/>
    </row>
    <row r="53" spans="1:28" ht="25.5">
      <c r="A53" s="15">
        <v>52</v>
      </c>
      <c r="B53" s="9" t="s">
        <v>167</v>
      </c>
      <c r="C53" s="9" t="s">
        <v>353</v>
      </c>
      <c r="D53" s="10" t="s">
        <v>354</v>
      </c>
      <c r="E53" s="21" t="s">
        <v>360</v>
      </c>
      <c r="F53" s="22" t="s">
        <v>361</v>
      </c>
      <c r="G53" s="12" t="s">
        <v>299</v>
      </c>
      <c r="H53" s="13">
        <v>-0.88400000000000001</v>
      </c>
      <c r="I53" s="14" t="s">
        <v>293</v>
      </c>
      <c r="J53" s="22" t="s">
        <v>294</v>
      </c>
      <c r="K53" s="9">
        <v>3</v>
      </c>
      <c r="L53" s="15"/>
      <c r="M53" s="16" t="s">
        <v>74</v>
      </c>
      <c r="N53" s="14"/>
      <c r="O53" s="15" t="s">
        <v>65</v>
      </c>
      <c r="P53" s="22" t="s">
        <v>362</v>
      </c>
      <c r="Q53" s="15"/>
      <c r="R53" s="17" t="s">
        <v>74</v>
      </c>
      <c r="S53" s="18"/>
      <c r="T53" s="22" t="str">
        <f>IF(R53="維持",J53,IF(R53="排除","無關新聞事件",IFERROR(INDEX(事件規則!$B$2:$B$53,MATCH(S53,事件規則!$A$2:$A$53,0)),"")))</f>
        <v>無關新聞事件</v>
      </c>
      <c r="U53" s="9">
        <f>IF(R53="維持",K53,IF(R53="排除",0,IFERROR(INDEX(事件規則!$C$2:$C$53,MATCH(S53,事件規則!$A$2:$A$53,0)),"")))</f>
        <v>0</v>
      </c>
      <c r="V53" s="19"/>
      <c r="W53" s="20"/>
      <c r="X53" s="10" t="str">
        <f t="shared" si="0"/>
        <v/>
      </c>
      <c r="Y53" s="19"/>
      <c r="Z53" s="20"/>
      <c r="AA53" s="12" t="s">
        <v>363</v>
      </c>
      <c r="AB53" s="23"/>
    </row>
    <row r="54" spans="1:28" ht="38.25">
      <c r="A54" s="15">
        <v>53</v>
      </c>
      <c r="B54" s="9" t="s">
        <v>167</v>
      </c>
      <c r="C54" s="9" t="s">
        <v>347</v>
      </c>
      <c r="D54" s="10" t="s">
        <v>348</v>
      </c>
      <c r="E54" s="21" t="s">
        <v>364</v>
      </c>
      <c r="F54" s="22" t="s">
        <v>365</v>
      </c>
      <c r="G54" s="12" t="s">
        <v>351</v>
      </c>
      <c r="H54" s="13">
        <v>-0.93899999999999995</v>
      </c>
      <c r="I54" s="14" t="s">
        <v>293</v>
      </c>
      <c r="J54" s="22" t="s">
        <v>294</v>
      </c>
      <c r="K54" s="9">
        <v>3</v>
      </c>
      <c r="L54" s="15"/>
      <c r="M54" s="16" t="s">
        <v>74</v>
      </c>
      <c r="N54" s="14"/>
      <c r="O54" s="15" t="s">
        <v>65</v>
      </c>
      <c r="P54" s="22" t="s">
        <v>366</v>
      </c>
      <c r="Q54" s="15"/>
      <c r="R54" s="17" t="s">
        <v>74</v>
      </c>
      <c r="S54" s="18"/>
      <c r="T54" s="22" t="str">
        <f>IF(R54="維持",J54,IF(R54="排除","無關新聞事件",IFERROR(INDEX(事件規則!$B$2:$B$53,MATCH(S54,事件規則!$A$2:$A$53,0)),"")))</f>
        <v>無關新聞事件</v>
      </c>
      <c r="U54" s="9">
        <f>IF(R54="維持",K54,IF(R54="排除",0,IFERROR(INDEX(事件規則!$C$2:$C$53,MATCH(S54,事件規則!$A$2:$A$53,0)),"")))</f>
        <v>0</v>
      </c>
      <c r="V54" s="19"/>
      <c r="W54" s="20"/>
      <c r="X54" s="10" t="str">
        <f t="shared" si="0"/>
        <v/>
      </c>
      <c r="Y54" s="19"/>
      <c r="Z54" s="20"/>
      <c r="AA54" s="12" t="s">
        <v>367</v>
      </c>
      <c r="AB54" s="23"/>
    </row>
    <row r="55" spans="1:28" ht="38.25">
      <c r="A55" s="15">
        <v>54</v>
      </c>
      <c r="B55" s="9" t="s">
        <v>167</v>
      </c>
      <c r="C55" s="9" t="s">
        <v>368</v>
      </c>
      <c r="D55" s="10" t="s">
        <v>369</v>
      </c>
      <c r="E55" s="21" t="s">
        <v>364</v>
      </c>
      <c r="F55" s="22" t="s">
        <v>370</v>
      </c>
      <c r="G55" s="12" t="s">
        <v>351</v>
      </c>
      <c r="H55" s="13">
        <v>-0.93899999999999995</v>
      </c>
      <c r="I55" s="14" t="s">
        <v>293</v>
      </c>
      <c r="J55" s="22" t="s">
        <v>294</v>
      </c>
      <c r="K55" s="9">
        <v>3</v>
      </c>
      <c r="L55" s="15"/>
      <c r="M55" s="16" t="s">
        <v>54</v>
      </c>
      <c r="N55" s="14"/>
      <c r="O55" s="15" t="s">
        <v>65</v>
      </c>
      <c r="P55" s="10" t="s">
        <v>371</v>
      </c>
      <c r="Q55" s="15"/>
      <c r="R55" s="17" t="s">
        <v>54</v>
      </c>
      <c r="S55" s="18"/>
      <c r="T55" s="22" t="str">
        <f>IF(R55="維持",J55,IF(R55="排除","無關新聞事件",IFERROR(INDEX(事件規則!$B$2:$B$53,MATCH(S55,事件規則!$A$2:$A$53,0)),"")))</f>
        <v>財報不如預期</v>
      </c>
      <c r="U55" s="9">
        <f>IF(R55="維持",K55,IF(R55="排除",0,IFERROR(INDEX(事件規則!$C$2:$C$53,MATCH(S55,事件規則!$A$2:$A$53,0)),"")))</f>
        <v>3</v>
      </c>
      <c r="V55" s="19"/>
      <c r="W55" s="20"/>
      <c r="X55" s="10" t="str">
        <f t="shared" si="0"/>
        <v/>
      </c>
      <c r="Y55" s="19"/>
      <c r="Z55" s="20"/>
      <c r="AA55" s="12" t="s">
        <v>372</v>
      </c>
      <c r="AB55" s="23"/>
    </row>
    <row r="56" spans="1:28" ht="38.25">
      <c r="A56" s="15">
        <v>55</v>
      </c>
      <c r="B56" s="9" t="s">
        <v>167</v>
      </c>
      <c r="C56" s="9" t="s">
        <v>373</v>
      </c>
      <c r="D56" s="10" t="s">
        <v>374</v>
      </c>
      <c r="E56" s="21" t="s">
        <v>375</v>
      </c>
      <c r="F56" s="10" t="s">
        <v>376</v>
      </c>
      <c r="G56" s="12" t="s">
        <v>351</v>
      </c>
      <c r="H56" s="13">
        <v>-0.95699999999999996</v>
      </c>
      <c r="I56" s="14" t="s">
        <v>293</v>
      </c>
      <c r="J56" s="22" t="s">
        <v>294</v>
      </c>
      <c r="K56" s="9">
        <v>3</v>
      </c>
      <c r="L56" s="15"/>
      <c r="M56" s="16" t="s">
        <v>54</v>
      </c>
      <c r="N56" s="14"/>
      <c r="O56" s="15" t="s">
        <v>55</v>
      </c>
      <c r="P56" s="10" t="s">
        <v>377</v>
      </c>
      <c r="Q56" s="15"/>
      <c r="R56" s="17" t="s">
        <v>54</v>
      </c>
      <c r="S56" s="18"/>
      <c r="T56" s="22" t="str">
        <f>IF(R56="維持",J56,IF(R56="排除","無關新聞事件",IFERROR(INDEX(事件規則!$B$2:$B$53,MATCH(S56,事件規則!$A$2:$A$53,0)),"")))</f>
        <v>財報不如預期</v>
      </c>
      <c r="U56" s="9">
        <f>IF(R56="維持",K56,IF(R56="排除",0,IFERROR(INDEX(事件規則!$C$2:$C$53,MATCH(S56,事件規則!$A$2:$A$53,0)),"")))</f>
        <v>3</v>
      </c>
      <c r="V56" s="19"/>
      <c r="W56" s="20"/>
      <c r="X56" s="10" t="str">
        <f t="shared" si="0"/>
        <v/>
      </c>
      <c r="Y56" s="19"/>
      <c r="Z56" s="20"/>
      <c r="AA56" s="12" t="s">
        <v>378</v>
      </c>
      <c r="AB56" s="23"/>
    </row>
    <row r="57" spans="1:28" ht="51">
      <c r="A57" s="15">
        <v>56</v>
      </c>
      <c r="B57" s="9" t="s">
        <v>203</v>
      </c>
      <c r="C57" s="9" t="s">
        <v>379</v>
      </c>
      <c r="D57" s="10" t="s">
        <v>380</v>
      </c>
      <c r="E57" s="21" t="s">
        <v>381</v>
      </c>
      <c r="F57" s="22"/>
      <c r="G57" s="12" t="s">
        <v>382</v>
      </c>
      <c r="H57" s="13">
        <v>0.32200000000000001</v>
      </c>
      <c r="I57" s="14" t="s">
        <v>293</v>
      </c>
      <c r="J57" s="22" t="s">
        <v>294</v>
      </c>
      <c r="K57" s="9">
        <v>3</v>
      </c>
      <c r="L57" s="15"/>
      <c r="M57" s="16" t="s">
        <v>74</v>
      </c>
      <c r="N57" s="14"/>
      <c r="O57" s="15" t="s">
        <v>65</v>
      </c>
      <c r="P57" s="10" t="s">
        <v>383</v>
      </c>
      <c r="Q57" s="15"/>
      <c r="R57" s="17" t="s">
        <v>74</v>
      </c>
      <c r="S57" s="18"/>
      <c r="T57" s="22" t="str">
        <f>IF(R57="維持",J57,IF(R57="排除","無關新聞事件",IFERROR(INDEX(事件規則!$B$2:$B$53,MATCH(S57,事件規則!$A$2:$A$53,0)),"")))</f>
        <v>無關新聞事件</v>
      </c>
      <c r="U57" s="9">
        <f>IF(R57="維持",K57,IF(R57="排除",0,IFERROR(INDEX(事件規則!$C$2:$C$53,MATCH(S57,事件規則!$A$2:$A$53,0)),"")))</f>
        <v>0</v>
      </c>
      <c r="V57" s="19"/>
      <c r="W57" s="20"/>
      <c r="X57" s="10" t="str">
        <f t="shared" si="0"/>
        <v/>
      </c>
      <c r="Y57" s="19"/>
      <c r="Z57" s="20"/>
      <c r="AA57" s="12" t="s">
        <v>384</v>
      </c>
      <c r="AB57" s="23"/>
    </row>
    <row r="58" spans="1:28" ht="25.5">
      <c r="A58" s="15">
        <v>57</v>
      </c>
      <c r="B58" s="9" t="s">
        <v>207</v>
      </c>
      <c r="C58" s="9" t="s">
        <v>188</v>
      </c>
      <c r="D58" s="10" t="s">
        <v>189</v>
      </c>
      <c r="E58" s="21" t="s">
        <v>385</v>
      </c>
      <c r="F58" s="22"/>
      <c r="G58" s="12" t="s">
        <v>386</v>
      </c>
      <c r="H58" s="13">
        <v>-0.86699999999999999</v>
      </c>
      <c r="I58" s="14" t="s">
        <v>293</v>
      </c>
      <c r="J58" s="22" t="s">
        <v>294</v>
      </c>
      <c r="K58" s="9">
        <v>3</v>
      </c>
      <c r="L58" s="15"/>
      <c r="M58" s="16" t="s">
        <v>74</v>
      </c>
      <c r="N58" s="14"/>
      <c r="O58" s="15" t="s">
        <v>55</v>
      </c>
      <c r="P58" s="22" t="s">
        <v>387</v>
      </c>
      <c r="Q58" s="15"/>
      <c r="R58" s="17" t="s">
        <v>74</v>
      </c>
      <c r="S58" s="18"/>
      <c r="T58" s="22" t="str">
        <f>IF(R58="維持",J58,IF(R58="排除","無關新聞事件",IFERROR(INDEX(事件規則!$B$2:$B$53,MATCH(S58,事件規則!$A$2:$A$53,0)),"")))</f>
        <v>無關新聞事件</v>
      </c>
      <c r="U58" s="9">
        <f>IF(R58="維持",K58,IF(R58="排除",0,IFERROR(INDEX(事件規則!$C$2:$C$53,MATCH(S58,事件規則!$A$2:$A$53,0)),"")))</f>
        <v>0</v>
      </c>
      <c r="V58" s="19"/>
      <c r="W58" s="20"/>
      <c r="X58" s="10" t="str">
        <f t="shared" si="0"/>
        <v/>
      </c>
      <c r="Y58" s="19"/>
      <c r="Z58" s="20"/>
      <c r="AA58" s="12" t="s">
        <v>388</v>
      </c>
      <c r="AB58" s="23"/>
    </row>
    <row r="59" spans="1:28" ht="38.25">
      <c r="A59" s="15">
        <v>58</v>
      </c>
      <c r="B59" s="9" t="s">
        <v>207</v>
      </c>
      <c r="C59" s="9" t="s">
        <v>389</v>
      </c>
      <c r="D59" s="10" t="s">
        <v>390</v>
      </c>
      <c r="E59" s="21" t="s">
        <v>391</v>
      </c>
      <c r="F59" s="22"/>
      <c r="G59" s="12" t="s">
        <v>392</v>
      </c>
      <c r="H59" s="13">
        <v>-0.94799999999999995</v>
      </c>
      <c r="I59" s="14" t="s">
        <v>293</v>
      </c>
      <c r="J59" s="22" t="s">
        <v>294</v>
      </c>
      <c r="K59" s="9">
        <v>3</v>
      </c>
      <c r="L59" s="15"/>
      <c r="M59" s="16" t="s">
        <v>74</v>
      </c>
      <c r="N59" s="14"/>
      <c r="O59" s="15" t="s">
        <v>65</v>
      </c>
      <c r="P59" s="22" t="s">
        <v>393</v>
      </c>
      <c r="Q59" s="15"/>
      <c r="R59" s="17" t="s">
        <v>74</v>
      </c>
      <c r="S59" s="18"/>
      <c r="T59" s="22" t="str">
        <f>IF(R59="維持",J59,IF(R59="排除","無關新聞事件",IFERROR(INDEX(事件規則!$B$2:$B$53,MATCH(S59,事件規則!$A$2:$A$53,0)),"")))</f>
        <v>無關新聞事件</v>
      </c>
      <c r="U59" s="9">
        <f>IF(R59="維持",K59,IF(R59="排除",0,IFERROR(INDEX(事件規則!$C$2:$C$53,MATCH(S59,事件規則!$A$2:$A$53,0)),"")))</f>
        <v>0</v>
      </c>
      <c r="V59" s="19"/>
      <c r="W59" s="20"/>
      <c r="X59" s="10" t="str">
        <f t="shared" si="0"/>
        <v/>
      </c>
      <c r="Y59" s="19"/>
      <c r="Z59" s="20"/>
      <c r="AA59" s="12" t="s">
        <v>394</v>
      </c>
      <c r="AB59" s="23"/>
    </row>
    <row r="60" spans="1:28" ht="38.25">
      <c r="A60" s="15">
        <v>59</v>
      </c>
      <c r="B60" s="9" t="s">
        <v>395</v>
      </c>
      <c r="C60" s="9" t="s">
        <v>347</v>
      </c>
      <c r="D60" s="10" t="s">
        <v>348</v>
      </c>
      <c r="E60" s="21" t="s">
        <v>396</v>
      </c>
      <c r="F60" s="22"/>
      <c r="G60" s="12" t="s">
        <v>351</v>
      </c>
      <c r="H60" s="13">
        <v>-0.94</v>
      </c>
      <c r="I60" s="14" t="s">
        <v>293</v>
      </c>
      <c r="J60" s="22" t="s">
        <v>294</v>
      </c>
      <c r="K60" s="9">
        <v>3</v>
      </c>
      <c r="L60" s="15"/>
      <c r="M60" s="16" t="s">
        <v>54</v>
      </c>
      <c r="N60" s="14"/>
      <c r="O60" s="15" t="s">
        <v>65</v>
      </c>
      <c r="P60" s="10" t="s">
        <v>397</v>
      </c>
      <c r="Q60" s="15"/>
      <c r="R60" s="17" t="s">
        <v>54</v>
      </c>
      <c r="S60" s="18"/>
      <c r="T60" s="22" t="str">
        <f>IF(R60="維持",J60,IF(R60="排除","無關新聞事件",IFERROR(INDEX(事件規則!$B$2:$B$53,MATCH(S60,事件規則!$A$2:$A$53,0)),"")))</f>
        <v>財報不如預期</v>
      </c>
      <c r="U60" s="9">
        <f>IF(R60="維持",K60,IF(R60="排除",0,IFERROR(INDEX(事件規則!$C$2:$C$53,MATCH(S60,事件規則!$A$2:$A$53,0)),"")))</f>
        <v>3</v>
      </c>
      <c r="V60" s="19"/>
      <c r="W60" s="20"/>
      <c r="X60" s="10" t="str">
        <f t="shared" si="0"/>
        <v/>
      </c>
      <c r="Y60" s="19"/>
      <c r="Z60" s="20"/>
      <c r="AA60" s="12" t="s">
        <v>398</v>
      </c>
      <c r="AB60" s="23"/>
    </row>
    <row r="61" spans="1:28" ht="38.25">
      <c r="A61" s="15">
        <v>60</v>
      </c>
      <c r="B61" s="9" t="s">
        <v>399</v>
      </c>
      <c r="C61" s="9" t="s">
        <v>400</v>
      </c>
      <c r="D61" s="10" t="s">
        <v>401</v>
      </c>
      <c r="E61" s="21" t="s">
        <v>402</v>
      </c>
      <c r="F61" s="10" t="s">
        <v>403</v>
      </c>
      <c r="G61" s="12" t="s">
        <v>64</v>
      </c>
      <c r="H61" s="13">
        <v>-0.93500000000000005</v>
      </c>
      <c r="I61" s="14" t="s">
        <v>293</v>
      </c>
      <c r="J61" s="22" t="s">
        <v>294</v>
      </c>
      <c r="K61" s="9">
        <v>3</v>
      </c>
      <c r="L61" s="15"/>
      <c r="M61" s="16" t="s">
        <v>54</v>
      </c>
      <c r="N61" s="14"/>
      <c r="O61" s="15" t="s">
        <v>55</v>
      </c>
      <c r="P61" s="10" t="s">
        <v>404</v>
      </c>
      <c r="Q61" s="15"/>
      <c r="R61" s="17" t="s">
        <v>54</v>
      </c>
      <c r="S61" s="18"/>
      <c r="T61" s="22" t="str">
        <f>IF(R61="維持",J61,IF(R61="排除","無關新聞事件",IFERROR(INDEX(事件規則!$B$2:$B$53,MATCH(S61,事件規則!$A$2:$A$53,0)),"")))</f>
        <v>財報不如預期</v>
      </c>
      <c r="U61" s="9">
        <f>IF(R61="維持",K61,IF(R61="排除",0,IFERROR(INDEX(事件規則!$C$2:$C$53,MATCH(S61,事件規則!$A$2:$A$53,0)),"")))</f>
        <v>3</v>
      </c>
      <c r="V61" s="19"/>
      <c r="W61" s="20"/>
      <c r="X61" s="10" t="str">
        <f t="shared" si="0"/>
        <v/>
      </c>
      <c r="Y61" s="19"/>
      <c r="Z61" s="20"/>
      <c r="AA61" s="12" t="s">
        <v>405</v>
      </c>
      <c r="AB61" s="23"/>
    </row>
    <row r="62" spans="1:28" ht="38.25">
      <c r="A62" s="15">
        <v>61</v>
      </c>
      <c r="B62" s="9" t="s">
        <v>399</v>
      </c>
      <c r="C62" s="9" t="s">
        <v>400</v>
      </c>
      <c r="D62" s="10" t="s">
        <v>401</v>
      </c>
      <c r="E62" s="21" t="s">
        <v>406</v>
      </c>
      <c r="F62" s="10" t="s">
        <v>407</v>
      </c>
      <c r="G62" s="12" t="s">
        <v>408</v>
      </c>
      <c r="H62" s="13">
        <v>-0.96599999999999997</v>
      </c>
      <c r="I62" s="14" t="s">
        <v>293</v>
      </c>
      <c r="J62" s="22" t="s">
        <v>294</v>
      </c>
      <c r="K62" s="9">
        <v>3</v>
      </c>
      <c r="L62" s="15"/>
      <c r="M62" s="16" t="s">
        <v>54</v>
      </c>
      <c r="N62" s="14"/>
      <c r="O62" s="15" t="s">
        <v>55</v>
      </c>
      <c r="P62" s="10" t="s">
        <v>404</v>
      </c>
      <c r="Q62" s="15"/>
      <c r="R62" s="17" t="s">
        <v>54</v>
      </c>
      <c r="S62" s="18"/>
      <c r="T62" s="22" t="str">
        <f>IF(R62="維持",J62,IF(R62="排除","無關新聞事件",IFERROR(INDEX(事件規則!$B$2:$B$53,MATCH(S62,事件規則!$A$2:$A$53,0)),"")))</f>
        <v>財報不如預期</v>
      </c>
      <c r="U62" s="9">
        <f>IF(R62="維持",K62,IF(R62="排除",0,IFERROR(INDEX(事件規則!$C$2:$C$53,MATCH(S62,事件規則!$A$2:$A$53,0)),"")))</f>
        <v>3</v>
      </c>
      <c r="V62" s="19"/>
      <c r="W62" s="20"/>
      <c r="X62" s="10" t="str">
        <f t="shared" si="0"/>
        <v/>
      </c>
      <c r="Y62" s="19"/>
      <c r="Z62" s="20"/>
      <c r="AA62" s="12" t="s">
        <v>409</v>
      </c>
      <c r="AB62" s="23"/>
    </row>
    <row r="63" spans="1:28" ht="38.25">
      <c r="A63" s="15">
        <v>62</v>
      </c>
      <c r="B63" s="9" t="s">
        <v>125</v>
      </c>
      <c r="C63" s="9" t="s">
        <v>410</v>
      </c>
      <c r="D63" s="10" t="s">
        <v>411</v>
      </c>
      <c r="E63" s="21" t="s">
        <v>412</v>
      </c>
      <c r="F63" s="22"/>
      <c r="G63" s="12" t="s">
        <v>408</v>
      </c>
      <c r="H63" s="13">
        <v>0.61</v>
      </c>
      <c r="I63" s="14" t="s">
        <v>293</v>
      </c>
      <c r="J63" s="22" t="s">
        <v>294</v>
      </c>
      <c r="K63" s="9">
        <v>3</v>
      </c>
      <c r="L63" s="15"/>
      <c r="M63" s="16" t="s">
        <v>74</v>
      </c>
      <c r="N63" s="14"/>
      <c r="O63" s="15" t="s">
        <v>65</v>
      </c>
      <c r="P63" s="22" t="s">
        <v>339</v>
      </c>
      <c r="Q63" s="15"/>
      <c r="R63" s="17" t="s">
        <v>74</v>
      </c>
      <c r="S63" s="18"/>
      <c r="T63" s="22" t="str">
        <f>IF(R63="維持",J63,IF(R63="排除","無關新聞事件",IFERROR(INDEX(事件規則!$B$2:$B$53,MATCH(S63,事件規則!$A$2:$A$53,0)),"")))</f>
        <v>無關新聞事件</v>
      </c>
      <c r="U63" s="9">
        <f>IF(R63="維持",K63,IF(R63="排除",0,IFERROR(INDEX(事件規則!$C$2:$C$53,MATCH(S63,事件規則!$A$2:$A$53,0)),"")))</f>
        <v>0</v>
      </c>
      <c r="V63" s="19"/>
      <c r="W63" s="20"/>
      <c r="X63" s="10" t="str">
        <f t="shared" si="0"/>
        <v/>
      </c>
      <c r="Y63" s="19"/>
      <c r="Z63" s="20"/>
      <c r="AA63" s="12" t="s">
        <v>413</v>
      </c>
      <c r="AB63" s="23"/>
    </row>
    <row r="64" spans="1:28" ht="38.25">
      <c r="A64" s="15">
        <v>63</v>
      </c>
      <c r="B64" s="9" t="s">
        <v>414</v>
      </c>
      <c r="C64" s="9" t="s">
        <v>168</v>
      </c>
      <c r="D64" s="10" t="s">
        <v>169</v>
      </c>
      <c r="E64" s="21" t="s">
        <v>415</v>
      </c>
      <c r="F64" s="22"/>
      <c r="G64" s="12" t="s">
        <v>416</v>
      </c>
      <c r="H64" s="13">
        <v>-0.95299999999999996</v>
      </c>
      <c r="I64" s="14" t="s">
        <v>293</v>
      </c>
      <c r="J64" s="22" t="s">
        <v>294</v>
      </c>
      <c r="K64" s="9">
        <v>3</v>
      </c>
      <c r="L64" s="15"/>
      <c r="M64" s="16" t="s">
        <v>54</v>
      </c>
      <c r="N64" s="14"/>
      <c r="O64" s="15" t="s">
        <v>55</v>
      </c>
      <c r="P64" s="10" t="s">
        <v>417</v>
      </c>
      <c r="Q64" s="15"/>
      <c r="R64" s="17" t="s">
        <v>54</v>
      </c>
      <c r="S64" s="18"/>
      <c r="T64" s="22" t="str">
        <f>IF(R64="維持",J64,IF(R64="排除","無關新聞事件",IFERROR(INDEX(事件規則!$B$2:$B$53,MATCH(S64,事件規則!$A$2:$A$53,0)),"")))</f>
        <v>財報不如預期</v>
      </c>
      <c r="U64" s="9">
        <f>IF(R64="維持",K64,IF(R64="排除",0,IFERROR(INDEX(事件規則!$C$2:$C$53,MATCH(S64,事件規則!$A$2:$A$53,0)),"")))</f>
        <v>3</v>
      </c>
      <c r="V64" s="19"/>
      <c r="W64" s="20"/>
      <c r="X64" s="10" t="str">
        <f t="shared" si="0"/>
        <v/>
      </c>
      <c r="Y64" s="19"/>
      <c r="Z64" s="20"/>
      <c r="AA64" s="12" t="s">
        <v>418</v>
      </c>
      <c r="AB64" s="23"/>
    </row>
    <row r="65" spans="1:28" ht="38.25">
      <c r="A65" s="15">
        <v>64</v>
      </c>
      <c r="B65" s="9" t="s">
        <v>236</v>
      </c>
      <c r="C65" s="9" t="s">
        <v>168</v>
      </c>
      <c r="D65" s="10" t="s">
        <v>169</v>
      </c>
      <c r="E65" s="21" t="s">
        <v>419</v>
      </c>
      <c r="F65" s="22"/>
      <c r="G65" s="12" t="s">
        <v>299</v>
      </c>
      <c r="H65" s="13">
        <v>-0.95499999999999996</v>
      </c>
      <c r="I65" s="14" t="s">
        <v>293</v>
      </c>
      <c r="J65" s="22" t="s">
        <v>294</v>
      </c>
      <c r="K65" s="9">
        <v>3</v>
      </c>
      <c r="L65" s="15"/>
      <c r="M65" s="16" t="s">
        <v>54</v>
      </c>
      <c r="N65" s="14"/>
      <c r="O65" s="15" t="s">
        <v>55</v>
      </c>
      <c r="P65" s="10" t="s">
        <v>417</v>
      </c>
      <c r="Q65" s="15"/>
      <c r="R65" s="17" t="s">
        <v>54</v>
      </c>
      <c r="S65" s="18"/>
      <c r="T65" s="22" t="str">
        <f>IF(R65="維持",J65,IF(R65="排除","無關新聞事件",IFERROR(INDEX(事件規則!$B$2:$B$53,MATCH(S65,事件規則!$A$2:$A$53,0)),"")))</f>
        <v>財報不如預期</v>
      </c>
      <c r="U65" s="9">
        <f>IF(R65="維持",K65,IF(R65="排除",0,IFERROR(INDEX(事件規則!$C$2:$C$53,MATCH(S65,事件規則!$A$2:$A$53,0)),"")))</f>
        <v>3</v>
      </c>
      <c r="V65" s="19"/>
      <c r="W65" s="20"/>
      <c r="X65" s="10" t="str">
        <f t="shared" si="0"/>
        <v/>
      </c>
      <c r="Y65" s="19"/>
      <c r="Z65" s="20"/>
      <c r="AA65" s="12" t="s">
        <v>420</v>
      </c>
      <c r="AB65" s="23"/>
    </row>
    <row r="66" spans="1:28" ht="38.25">
      <c r="A66" s="15">
        <v>65</v>
      </c>
      <c r="B66" s="9" t="s">
        <v>421</v>
      </c>
      <c r="C66" s="9" t="s">
        <v>168</v>
      </c>
      <c r="D66" s="10" t="s">
        <v>169</v>
      </c>
      <c r="E66" s="21" t="s">
        <v>422</v>
      </c>
      <c r="F66" s="22"/>
      <c r="G66" s="12" t="s">
        <v>299</v>
      </c>
      <c r="H66" s="13">
        <v>-0.92100000000000004</v>
      </c>
      <c r="I66" s="14" t="s">
        <v>293</v>
      </c>
      <c r="J66" s="22" t="s">
        <v>294</v>
      </c>
      <c r="K66" s="9">
        <v>3</v>
      </c>
      <c r="L66" s="15"/>
      <c r="M66" s="16" t="s">
        <v>54</v>
      </c>
      <c r="N66" s="14"/>
      <c r="O66" s="15" t="s">
        <v>65</v>
      </c>
      <c r="P66" s="10" t="s">
        <v>423</v>
      </c>
      <c r="Q66" s="15"/>
      <c r="R66" s="17" t="s">
        <v>54</v>
      </c>
      <c r="S66" s="18"/>
      <c r="T66" s="22" t="str">
        <f>IF(R66="維持",J66,IF(R66="排除","無關新聞事件",IFERROR(INDEX(事件規則!$B$2:$B$53,MATCH(S66,事件規則!$A$2:$A$53,0)),"")))</f>
        <v>財報不如預期</v>
      </c>
      <c r="U66" s="9">
        <f>IF(R66="維持",K66,IF(R66="排除",0,IFERROR(INDEX(事件規則!$C$2:$C$53,MATCH(S66,事件規則!$A$2:$A$53,0)),"")))</f>
        <v>3</v>
      </c>
      <c r="V66" s="19"/>
      <c r="W66" s="20"/>
      <c r="X66" s="10" t="str">
        <f t="shared" ref="X66:X129" si="1">IF(AND(R66="修改",S66=""),"請選新事件代碼",IF(AND(R66&lt;&gt;"修改",S66&lt;&gt;""),"只有「修改」才需填代碼",""))</f>
        <v/>
      </c>
      <c r="Y66" s="19"/>
      <c r="Z66" s="20"/>
      <c r="AA66" s="12" t="s">
        <v>424</v>
      </c>
      <c r="AB66" s="23"/>
    </row>
    <row r="67" spans="1:28" ht="38.25">
      <c r="A67" s="15">
        <v>66</v>
      </c>
      <c r="B67" s="9" t="s">
        <v>425</v>
      </c>
      <c r="C67" s="9" t="s">
        <v>389</v>
      </c>
      <c r="D67" s="10" t="s">
        <v>390</v>
      </c>
      <c r="E67" s="21" t="s">
        <v>426</v>
      </c>
      <c r="F67" s="22"/>
      <c r="G67" s="12" t="s">
        <v>392</v>
      </c>
      <c r="H67" s="13">
        <v>0.89500000000000002</v>
      </c>
      <c r="I67" s="14" t="s">
        <v>293</v>
      </c>
      <c r="J67" s="22" t="s">
        <v>294</v>
      </c>
      <c r="K67" s="9">
        <v>3</v>
      </c>
      <c r="L67" s="15"/>
      <c r="M67" s="16" t="s">
        <v>74</v>
      </c>
      <c r="N67" s="14"/>
      <c r="O67" s="15" t="s">
        <v>55</v>
      </c>
      <c r="P67" s="22" t="s">
        <v>427</v>
      </c>
      <c r="Q67" s="15"/>
      <c r="R67" s="17" t="s">
        <v>74</v>
      </c>
      <c r="S67" s="18"/>
      <c r="T67" s="22" t="str">
        <f>IF(R67="維持",J67,IF(R67="排除","無關新聞事件",IFERROR(INDEX(事件規則!$B$2:$B$53,MATCH(S67,事件規則!$A$2:$A$53,0)),"")))</f>
        <v>無關新聞事件</v>
      </c>
      <c r="U67" s="9">
        <f>IF(R67="維持",K67,IF(R67="排除",0,IFERROR(INDEX(事件規則!$C$2:$C$53,MATCH(S67,事件規則!$A$2:$A$53,0)),"")))</f>
        <v>0</v>
      </c>
      <c r="V67" s="19"/>
      <c r="W67" s="20"/>
      <c r="X67" s="10" t="str">
        <f t="shared" si="1"/>
        <v/>
      </c>
      <c r="Y67" s="19"/>
      <c r="Z67" s="20"/>
      <c r="AA67" s="12" t="s">
        <v>428</v>
      </c>
      <c r="AB67" s="23"/>
    </row>
    <row r="68" spans="1:28" ht="25.5">
      <c r="A68" s="15">
        <v>67</v>
      </c>
      <c r="B68" s="9" t="s">
        <v>429</v>
      </c>
      <c r="C68" s="9" t="s">
        <v>430</v>
      </c>
      <c r="D68" s="10" t="s">
        <v>431</v>
      </c>
      <c r="E68" s="21" t="s">
        <v>432</v>
      </c>
      <c r="F68" s="22"/>
      <c r="G68" s="12" t="s">
        <v>433</v>
      </c>
      <c r="H68" s="13">
        <v>-0.83099999999999996</v>
      </c>
      <c r="I68" s="14" t="s">
        <v>293</v>
      </c>
      <c r="J68" s="22" t="s">
        <v>294</v>
      </c>
      <c r="K68" s="9">
        <v>3</v>
      </c>
      <c r="L68" s="15"/>
      <c r="M68" s="16" t="s">
        <v>74</v>
      </c>
      <c r="N68" s="14"/>
      <c r="O68" s="15" t="s">
        <v>65</v>
      </c>
      <c r="P68" s="22" t="s">
        <v>362</v>
      </c>
      <c r="Q68" s="15"/>
      <c r="R68" s="17" t="s">
        <v>74</v>
      </c>
      <c r="S68" s="18"/>
      <c r="T68" s="22" t="str">
        <f>IF(R68="維持",J68,IF(R68="排除","無關新聞事件",IFERROR(INDEX(事件規則!$B$2:$B$53,MATCH(S68,事件規則!$A$2:$A$53,0)),"")))</f>
        <v>無關新聞事件</v>
      </c>
      <c r="U68" s="9">
        <f>IF(R68="維持",K68,IF(R68="排除",0,IFERROR(INDEX(事件規則!$C$2:$C$53,MATCH(S68,事件規則!$A$2:$A$53,0)),"")))</f>
        <v>0</v>
      </c>
      <c r="V68" s="19"/>
      <c r="W68" s="20"/>
      <c r="X68" s="10" t="str">
        <f t="shared" si="1"/>
        <v/>
      </c>
      <c r="Y68" s="19"/>
      <c r="Z68" s="20"/>
      <c r="AA68" s="12" t="s">
        <v>434</v>
      </c>
      <c r="AB68" s="23"/>
    </row>
    <row r="69" spans="1:28" ht="25.5">
      <c r="A69" s="15">
        <v>68</v>
      </c>
      <c r="B69" s="9" t="s">
        <v>429</v>
      </c>
      <c r="C69" s="9" t="s">
        <v>301</v>
      </c>
      <c r="D69" s="10" t="s">
        <v>302</v>
      </c>
      <c r="E69" s="21" t="s">
        <v>435</v>
      </c>
      <c r="F69" s="22"/>
      <c r="G69" s="12" t="s">
        <v>299</v>
      </c>
      <c r="H69" s="13">
        <v>-0.82399999999999995</v>
      </c>
      <c r="I69" s="14" t="s">
        <v>293</v>
      </c>
      <c r="J69" s="22" t="s">
        <v>294</v>
      </c>
      <c r="K69" s="9">
        <v>3</v>
      </c>
      <c r="L69" s="15"/>
      <c r="M69" s="16" t="s">
        <v>74</v>
      </c>
      <c r="N69" s="14"/>
      <c r="O69" s="15" t="s">
        <v>65</v>
      </c>
      <c r="P69" s="22" t="s">
        <v>362</v>
      </c>
      <c r="Q69" s="15"/>
      <c r="R69" s="17" t="s">
        <v>74</v>
      </c>
      <c r="S69" s="18"/>
      <c r="T69" s="22" t="str">
        <f>IF(R69="維持",J69,IF(R69="排除","無關新聞事件",IFERROR(INDEX(事件規則!$B$2:$B$53,MATCH(S69,事件規則!$A$2:$A$53,0)),"")))</f>
        <v>無關新聞事件</v>
      </c>
      <c r="U69" s="9">
        <f>IF(R69="維持",K69,IF(R69="排除",0,IFERROR(INDEX(事件規則!$C$2:$C$53,MATCH(S69,事件規則!$A$2:$A$53,0)),"")))</f>
        <v>0</v>
      </c>
      <c r="V69" s="19"/>
      <c r="W69" s="20"/>
      <c r="X69" s="10" t="str">
        <f t="shared" si="1"/>
        <v/>
      </c>
      <c r="Y69" s="19"/>
      <c r="Z69" s="20"/>
      <c r="AA69" s="12" t="s">
        <v>436</v>
      </c>
      <c r="AB69" s="23"/>
    </row>
    <row r="70" spans="1:28" ht="25.5">
      <c r="A70" s="15">
        <v>69</v>
      </c>
      <c r="B70" s="9" t="s">
        <v>145</v>
      </c>
      <c r="C70" s="9" t="s">
        <v>437</v>
      </c>
      <c r="D70" s="10" t="s">
        <v>438</v>
      </c>
      <c r="E70" s="21" t="s">
        <v>439</v>
      </c>
      <c r="F70" s="22"/>
      <c r="G70" s="12" t="s">
        <v>299</v>
      </c>
      <c r="H70" s="13">
        <v>-0.95099999999999996</v>
      </c>
      <c r="I70" s="14" t="s">
        <v>293</v>
      </c>
      <c r="J70" s="22" t="s">
        <v>294</v>
      </c>
      <c r="K70" s="9">
        <v>3</v>
      </c>
      <c r="L70" s="15"/>
      <c r="M70" s="16" t="s">
        <v>54</v>
      </c>
      <c r="N70" s="14"/>
      <c r="O70" s="15" t="s">
        <v>65</v>
      </c>
      <c r="P70" s="10" t="s">
        <v>440</v>
      </c>
      <c r="Q70" s="15"/>
      <c r="R70" s="17" t="s">
        <v>54</v>
      </c>
      <c r="S70" s="18"/>
      <c r="T70" s="22" t="str">
        <f>IF(R70="維持",J70,IF(R70="排除","無關新聞事件",IFERROR(INDEX(事件規則!$B$2:$B$53,MATCH(S70,事件規則!$A$2:$A$53,0)),"")))</f>
        <v>財報不如預期</v>
      </c>
      <c r="U70" s="9">
        <f>IF(R70="維持",K70,IF(R70="排除",0,IFERROR(INDEX(事件規則!$C$2:$C$53,MATCH(S70,事件規則!$A$2:$A$53,0)),"")))</f>
        <v>3</v>
      </c>
      <c r="V70" s="19"/>
      <c r="W70" s="20"/>
      <c r="X70" s="10" t="str">
        <f t="shared" si="1"/>
        <v/>
      </c>
      <c r="Y70" s="19"/>
      <c r="Z70" s="20"/>
      <c r="AA70" s="12" t="s">
        <v>441</v>
      </c>
      <c r="AB70" s="23"/>
    </row>
    <row r="71" spans="1:28" ht="38.25">
      <c r="A71" s="15">
        <v>70</v>
      </c>
      <c r="B71" s="9" t="s">
        <v>145</v>
      </c>
      <c r="C71" s="9" t="s">
        <v>437</v>
      </c>
      <c r="D71" s="10" t="s">
        <v>438</v>
      </c>
      <c r="E71" s="21" t="s">
        <v>442</v>
      </c>
      <c r="F71" s="22"/>
      <c r="G71" s="12" t="s">
        <v>299</v>
      </c>
      <c r="H71" s="13">
        <v>-0.96399999999999997</v>
      </c>
      <c r="I71" s="14" t="s">
        <v>293</v>
      </c>
      <c r="J71" s="22" t="s">
        <v>294</v>
      </c>
      <c r="K71" s="9">
        <v>3</v>
      </c>
      <c r="L71" s="15"/>
      <c r="M71" s="16" t="s">
        <v>54</v>
      </c>
      <c r="N71" s="14"/>
      <c r="O71" s="15" t="s">
        <v>55</v>
      </c>
      <c r="P71" s="10" t="s">
        <v>443</v>
      </c>
      <c r="Q71" s="15"/>
      <c r="R71" s="17" t="s">
        <v>54</v>
      </c>
      <c r="S71" s="18"/>
      <c r="T71" s="22" t="str">
        <f>IF(R71="維持",J71,IF(R71="排除","無關新聞事件",IFERROR(INDEX(事件規則!$B$2:$B$53,MATCH(S71,事件規則!$A$2:$A$53,0)),"")))</f>
        <v>財報不如預期</v>
      </c>
      <c r="U71" s="9">
        <f>IF(R71="維持",K71,IF(R71="排除",0,IFERROR(INDEX(事件規則!$C$2:$C$53,MATCH(S71,事件規則!$A$2:$A$53,0)),"")))</f>
        <v>3</v>
      </c>
      <c r="V71" s="19"/>
      <c r="W71" s="20"/>
      <c r="X71" s="10" t="str">
        <f t="shared" si="1"/>
        <v/>
      </c>
      <c r="Y71" s="19"/>
      <c r="Z71" s="20"/>
      <c r="AA71" s="12" t="s">
        <v>444</v>
      </c>
      <c r="AB71" s="23"/>
    </row>
    <row r="72" spans="1:28" ht="25.5">
      <c r="A72" s="15">
        <v>71</v>
      </c>
      <c r="B72" s="9" t="s">
        <v>269</v>
      </c>
      <c r="C72" s="9" t="s">
        <v>321</v>
      </c>
      <c r="D72" s="10" t="s">
        <v>322</v>
      </c>
      <c r="E72" s="21" t="s">
        <v>445</v>
      </c>
      <c r="F72" s="10" t="s">
        <v>446</v>
      </c>
      <c r="G72" s="12" t="s">
        <v>260</v>
      </c>
      <c r="H72" s="13">
        <v>0.02</v>
      </c>
      <c r="I72" s="14" t="s">
        <v>293</v>
      </c>
      <c r="J72" s="22" t="s">
        <v>294</v>
      </c>
      <c r="K72" s="9">
        <v>3</v>
      </c>
      <c r="L72" s="15"/>
      <c r="M72" s="16" t="s">
        <v>74</v>
      </c>
      <c r="N72" s="14"/>
      <c r="O72" s="15" t="s">
        <v>65</v>
      </c>
      <c r="P72" s="22" t="s">
        <v>339</v>
      </c>
      <c r="Q72" s="15"/>
      <c r="R72" s="17" t="s">
        <v>74</v>
      </c>
      <c r="S72" s="18"/>
      <c r="T72" s="22" t="str">
        <f>IF(R72="維持",J72,IF(R72="排除","無關新聞事件",IFERROR(INDEX(事件規則!$B$2:$B$53,MATCH(S72,事件規則!$A$2:$A$53,0)),"")))</f>
        <v>無關新聞事件</v>
      </c>
      <c r="U72" s="9">
        <f>IF(R72="維持",K72,IF(R72="排除",0,IFERROR(INDEX(事件規則!$C$2:$C$53,MATCH(S72,事件規則!$A$2:$A$53,0)),"")))</f>
        <v>0</v>
      </c>
      <c r="V72" s="19"/>
      <c r="W72" s="20"/>
      <c r="X72" s="10" t="str">
        <f t="shared" si="1"/>
        <v/>
      </c>
      <c r="Y72" s="19"/>
      <c r="Z72" s="20"/>
      <c r="AA72" s="12" t="s">
        <v>447</v>
      </c>
      <c r="AB72" s="23"/>
    </row>
    <row r="73" spans="1:28" ht="25.5">
      <c r="A73" s="15">
        <v>72</v>
      </c>
      <c r="B73" s="9" t="s">
        <v>269</v>
      </c>
      <c r="C73" s="9" t="s">
        <v>448</v>
      </c>
      <c r="D73" s="10" t="s">
        <v>449</v>
      </c>
      <c r="E73" s="21" t="s">
        <v>450</v>
      </c>
      <c r="F73" s="22" t="s">
        <v>451</v>
      </c>
      <c r="G73" s="12" t="s">
        <v>299</v>
      </c>
      <c r="H73" s="13">
        <v>8.5000000000000006E-2</v>
      </c>
      <c r="I73" s="14" t="s">
        <v>293</v>
      </c>
      <c r="J73" s="22" t="s">
        <v>294</v>
      </c>
      <c r="K73" s="9">
        <v>3</v>
      </c>
      <c r="L73" s="15"/>
      <c r="M73" s="16" t="s">
        <v>74</v>
      </c>
      <c r="N73" s="14"/>
      <c r="O73" s="15" t="s">
        <v>55</v>
      </c>
      <c r="P73" s="22" t="s">
        <v>427</v>
      </c>
      <c r="Q73" s="15"/>
      <c r="R73" s="17" t="s">
        <v>74</v>
      </c>
      <c r="S73" s="18"/>
      <c r="T73" s="22" t="str">
        <f>IF(R73="維持",J73,IF(R73="排除","無關新聞事件",IFERROR(INDEX(事件規則!$B$2:$B$53,MATCH(S73,事件規則!$A$2:$A$53,0)),"")))</f>
        <v>無關新聞事件</v>
      </c>
      <c r="U73" s="9">
        <f>IF(R73="維持",K73,IF(R73="排除",0,IFERROR(INDEX(事件規則!$C$2:$C$53,MATCH(S73,事件規則!$A$2:$A$53,0)),"")))</f>
        <v>0</v>
      </c>
      <c r="V73" s="19"/>
      <c r="W73" s="20"/>
      <c r="X73" s="10" t="str">
        <f t="shared" si="1"/>
        <v/>
      </c>
      <c r="Y73" s="19"/>
      <c r="Z73" s="20"/>
      <c r="AA73" s="12" t="s">
        <v>452</v>
      </c>
      <c r="AB73" s="23"/>
    </row>
    <row r="74" spans="1:28" ht="25.5">
      <c r="A74" s="15">
        <v>73</v>
      </c>
      <c r="B74" s="9" t="s">
        <v>269</v>
      </c>
      <c r="C74" s="9" t="s">
        <v>448</v>
      </c>
      <c r="D74" s="10" t="s">
        <v>449</v>
      </c>
      <c r="E74" s="21" t="s">
        <v>453</v>
      </c>
      <c r="F74" s="22" t="s">
        <v>454</v>
      </c>
      <c r="G74" s="12" t="s">
        <v>416</v>
      </c>
      <c r="H74" s="13">
        <v>0.80600000000000005</v>
      </c>
      <c r="I74" s="14" t="s">
        <v>293</v>
      </c>
      <c r="J74" s="22" t="s">
        <v>294</v>
      </c>
      <c r="K74" s="9">
        <v>3</v>
      </c>
      <c r="L74" s="15"/>
      <c r="M74" s="16" t="s">
        <v>74</v>
      </c>
      <c r="N74" s="14"/>
      <c r="O74" s="15" t="s">
        <v>55</v>
      </c>
      <c r="P74" s="22" t="s">
        <v>427</v>
      </c>
      <c r="Q74" s="15"/>
      <c r="R74" s="17" t="s">
        <v>74</v>
      </c>
      <c r="S74" s="18"/>
      <c r="T74" s="22" t="str">
        <f>IF(R74="維持",J74,IF(R74="排除","無關新聞事件",IFERROR(INDEX(事件規則!$B$2:$B$53,MATCH(S74,事件規則!$A$2:$A$53,0)),"")))</f>
        <v>無關新聞事件</v>
      </c>
      <c r="U74" s="9">
        <f>IF(R74="維持",K74,IF(R74="排除",0,IFERROR(INDEX(事件規則!$C$2:$C$53,MATCH(S74,事件規則!$A$2:$A$53,0)),"")))</f>
        <v>0</v>
      </c>
      <c r="V74" s="19"/>
      <c r="W74" s="20"/>
      <c r="X74" s="10" t="str">
        <f t="shared" si="1"/>
        <v/>
      </c>
      <c r="Y74" s="19"/>
      <c r="Z74" s="20"/>
      <c r="AA74" s="12" t="s">
        <v>455</v>
      </c>
      <c r="AB74" s="23"/>
    </row>
    <row r="75" spans="1:28" ht="25.5">
      <c r="A75" s="15">
        <v>74</v>
      </c>
      <c r="B75" s="9" t="s">
        <v>269</v>
      </c>
      <c r="C75" s="9" t="s">
        <v>321</v>
      </c>
      <c r="D75" s="10" t="s">
        <v>322</v>
      </c>
      <c r="E75" s="21" t="s">
        <v>456</v>
      </c>
      <c r="F75" s="22" t="s">
        <v>457</v>
      </c>
      <c r="G75" s="12" t="s">
        <v>299</v>
      </c>
      <c r="H75" s="13">
        <v>-0.93899999999999995</v>
      </c>
      <c r="I75" s="14" t="s">
        <v>293</v>
      </c>
      <c r="J75" s="22" t="s">
        <v>294</v>
      </c>
      <c r="K75" s="9">
        <v>3</v>
      </c>
      <c r="L75" s="15"/>
      <c r="M75" s="16" t="s">
        <v>74</v>
      </c>
      <c r="N75" s="14"/>
      <c r="O75" s="15" t="s">
        <v>65</v>
      </c>
      <c r="P75" s="22" t="s">
        <v>339</v>
      </c>
      <c r="Q75" s="15"/>
      <c r="R75" s="17" t="s">
        <v>74</v>
      </c>
      <c r="S75" s="18"/>
      <c r="T75" s="22" t="str">
        <f>IF(R75="維持",J75,IF(R75="排除","無關新聞事件",IFERROR(INDEX(事件規則!$B$2:$B$53,MATCH(S75,事件規則!$A$2:$A$53,0)),"")))</f>
        <v>無關新聞事件</v>
      </c>
      <c r="U75" s="9">
        <f>IF(R75="維持",K75,IF(R75="排除",0,IFERROR(INDEX(事件規則!$C$2:$C$53,MATCH(S75,事件規則!$A$2:$A$53,0)),"")))</f>
        <v>0</v>
      </c>
      <c r="V75" s="19"/>
      <c r="W75" s="20"/>
      <c r="X75" s="10" t="str">
        <f t="shared" si="1"/>
        <v/>
      </c>
      <c r="Y75" s="19"/>
      <c r="Z75" s="20"/>
      <c r="AA75" s="12" t="s">
        <v>458</v>
      </c>
      <c r="AB75" s="23"/>
    </row>
    <row r="76" spans="1:28" ht="25.5">
      <c r="A76" s="15">
        <v>75</v>
      </c>
      <c r="B76" s="9" t="s">
        <v>459</v>
      </c>
      <c r="C76" s="9" t="s">
        <v>321</v>
      </c>
      <c r="D76" s="10" t="s">
        <v>322</v>
      </c>
      <c r="E76" s="21" t="s">
        <v>460</v>
      </c>
      <c r="F76" s="10" t="s">
        <v>461</v>
      </c>
      <c r="G76" s="12" t="s">
        <v>462</v>
      </c>
      <c r="H76" s="13">
        <v>0.89900000000000002</v>
      </c>
      <c r="I76" s="14" t="s">
        <v>293</v>
      </c>
      <c r="J76" s="22" t="s">
        <v>294</v>
      </c>
      <c r="K76" s="9">
        <v>3</v>
      </c>
      <c r="L76" s="15"/>
      <c r="M76" s="16" t="s">
        <v>74</v>
      </c>
      <c r="N76" s="14"/>
      <c r="O76" s="15" t="s">
        <v>55</v>
      </c>
      <c r="P76" s="22" t="s">
        <v>427</v>
      </c>
      <c r="Q76" s="15"/>
      <c r="R76" s="17" t="s">
        <v>74</v>
      </c>
      <c r="S76" s="18"/>
      <c r="T76" s="22" t="str">
        <f>IF(R76="維持",J76,IF(R76="排除","無關新聞事件",IFERROR(INDEX(事件規則!$B$2:$B$53,MATCH(S76,事件規則!$A$2:$A$53,0)),"")))</f>
        <v>無關新聞事件</v>
      </c>
      <c r="U76" s="9">
        <f>IF(R76="維持",K76,IF(R76="排除",0,IFERROR(INDEX(事件規則!$C$2:$C$53,MATCH(S76,事件規則!$A$2:$A$53,0)),"")))</f>
        <v>0</v>
      </c>
      <c r="V76" s="19"/>
      <c r="W76" s="20"/>
      <c r="X76" s="10" t="str">
        <f t="shared" si="1"/>
        <v/>
      </c>
      <c r="Y76" s="19"/>
      <c r="Z76" s="20"/>
      <c r="AA76" s="12" t="s">
        <v>463</v>
      </c>
      <c r="AB76" s="23"/>
    </row>
    <row r="77" spans="1:28" ht="38.25">
      <c r="A77" s="15">
        <v>76</v>
      </c>
      <c r="B77" s="9" t="s">
        <v>459</v>
      </c>
      <c r="C77" s="9" t="s">
        <v>321</v>
      </c>
      <c r="D77" s="10" t="s">
        <v>322</v>
      </c>
      <c r="E77" s="21" t="s">
        <v>464</v>
      </c>
      <c r="F77" s="10" t="s">
        <v>465</v>
      </c>
      <c r="G77" s="12" t="s">
        <v>466</v>
      </c>
      <c r="H77" s="13">
        <v>0.91500000000000004</v>
      </c>
      <c r="I77" s="14" t="s">
        <v>293</v>
      </c>
      <c r="J77" s="22" t="s">
        <v>294</v>
      </c>
      <c r="K77" s="9">
        <v>3</v>
      </c>
      <c r="L77" s="15"/>
      <c r="M77" s="16" t="s">
        <v>74</v>
      </c>
      <c r="N77" s="14"/>
      <c r="O77" s="15" t="s">
        <v>55</v>
      </c>
      <c r="P77" s="22" t="s">
        <v>427</v>
      </c>
      <c r="Q77" s="15"/>
      <c r="R77" s="17" t="s">
        <v>74</v>
      </c>
      <c r="S77" s="18"/>
      <c r="T77" s="22" t="str">
        <f>IF(R77="維持",J77,IF(R77="排除","無關新聞事件",IFERROR(INDEX(事件規則!$B$2:$B$53,MATCH(S77,事件規則!$A$2:$A$53,0)),"")))</f>
        <v>無關新聞事件</v>
      </c>
      <c r="U77" s="9">
        <f>IF(R77="維持",K77,IF(R77="排除",0,IFERROR(INDEX(事件規則!$C$2:$C$53,MATCH(S77,事件規則!$A$2:$A$53,0)),"")))</f>
        <v>0</v>
      </c>
      <c r="V77" s="19"/>
      <c r="W77" s="20"/>
      <c r="X77" s="10" t="str">
        <f t="shared" si="1"/>
        <v/>
      </c>
      <c r="Y77" s="19"/>
      <c r="Z77" s="20"/>
      <c r="AA77" s="12" t="s">
        <v>467</v>
      </c>
      <c r="AB77" s="23"/>
    </row>
    <row r="78" spans="1:28" ht="38.25">
      <c r="A78" s="15">
        <v>77</v>
      </c>
      <c r="B78" s="9" t="s">
        <v>468</v>
      </c>
      <c r="C78" s="9" t="s">
        <v>469</v>
      </c>
      <c r="D78" s="10" t="s">
        <v>470</v>
      </c>
      <c r="E78" s="21" t="s">
        <v>471</v>
      </c>
      <c r="F78" s="22" t="s">
        <v>472</v>
      </c>
      <c r="G78" s="12" t="s">
        <v>416</v>
      </c>
      <c r="H78" s="13"/>
      <c r="I78" s="14" t="s">
        <v>293</v>
      </c>
      <c r="J78" s="22" t="s">
        <v>294</v>
      </c>
      <c r="K78" s="9">
        <v>3</v>
      </c>
      <c r="L78" s="15" t="s">
        <v>53</v>
      </c>
      <c r="M78" s="16" t="s">
        <v>54</v>
      </c>
      <c r="N78" s="14"/>
      <c r="O78" s="15" t="s">
        <v>65</v>
      </c>
      <c r="P78" s="10" t="s">
        <v>473</v>
      </c>
      <c r="Q78" s="15"/>
      <c r="R78" s="17" t="s">
        <v>54</v>
      </c>
      <c r="S78" s="18"/>
      <c r="T78" s="22" t="str">
        <f>IF(R78="維持",J78,IF(R78="排除","無關新聞事件",IFERROR(INDEX(事件規則!$B$2:$B$53,MATCH(S78,事件規則!$A$2:$A$53,0)),"")))</f>
        <v>財報不如預期</v>
      </c>
      <c r="U78" s="9">
        <f>IF(R78="維持",K78,IF(R78="排除",0,IFERROR(INDEX(事件規則!$C$2:$C$53,MATCH(S78,事件規則!$A$2:$A$53,0)),"")))</f>
        <v>3</v>
      </c>
      <c r="V78" s="19"/>
      <c r="W78" s="20"/>
      <c r="X78" s="10" t="str">
        <f t="shared" si="1"/>
        <v/>
      </c>
      <c r="Y78" s="19"/>
      <c r="Z78" s="20"/>
      <c r="AA78" s="12" t="s">
        <v>474</v>
      </c>
      <c r="AB78" s="23"/>
    </row>
    <row r="79" spans="1:28" ht="25.5">
      <c r="A79" s="15">
        <v>78</v>
      </c>
      <c r="B79" s="9" t="s">
        <v>87</v>
      </c>
      <c r="C79" s="9" t="s">
        <v>475</v>
      </c>
      <c r="D79" s="10" t="s">
        <v>476</v>
      </c>
      <c r="E79" s="21" t="s">
        <v>477</v>
      </c>
      <c r="F79" s="22" t="s">
        <v>478</v>
      </c>
      <c r="G79" s="12" t="s">
        <v>479</v>
      </c>
      <c r="H79" s="13">
        <v>-0.876</v>
      </c>
      <c r="I79" s="14" t="s">
        <v>480</v>
      </c>
      <c r="J79" s="22" t="s">
        <v>481</v>
      </c>
      <c r="K79" s="9">
        <v>3</v>
      </c>
      <c r="L79" s="15"/>
      <c r="M79" s="16" t="s">
        <v>54</v>
      </c>
      <c r="N79" s="14"/>
      <c r="O79" s="15" t="s">
        <v>55</v>
      </c>
      <c r="P79" s="10" t="s">
        <v>482</v>
      </c>
      <c r="Q79" s="15"/>
      <c r="R79" s="17" t="s">
        <v>54</v>
      </c>
      <c r="S79" s="18"/>
      <c r="T79" s="22" t="str">
        <f>IF(R79="維持",J79,IF(R79="排除","無關新聞事件",IFERROR(INDEX(事件規則!$B$2:$B$53,MATCH(S79,事件規則!$A$2:$A$53,0)),"")))</f>
        <v>財測下修</v>
      </c>
      <c r="U79" s="9">
        <f>IF(R79="維持",K79,IF(R79="排除",0,IFERROR(INDEX(事件規則!$C$2:$C$53,MATCH(S79,事件規則!$A$2:$A$53,0)),"")))</f>
        <v>3</v>
      </c>
      <c r="V79" s="19"/>
      <c r="W79" s="20"/>
      <c r="X79" s="10" t="str">
        <f t="shared" si="1"/>
        <v/>
      </c>
      <c r="Y79" s="19"/>
      <c r="Z79" s="20"/>
      <c r="AA79" s="12" t="s">
        <v>483</v>
      </c>
      <c r="AB79" s="23"/>
    </row>
    <row r="80" spans="1:28" ht="25.5">
      <c r="A80" s="15">
        <v>79</v>
      </c>
      <c r="B80" s="9" t="s">
        <v>87</v>
      </c>
      <c r="C80" s="9" t="s">
        <v>373</v>
      </c>
      <c r="D80" s="10" t="s">
        <v>374</v>
      </c>
      <c r="E80" s="21" t="s">
        <v>484</v>
      </c>
      <c r="F80" s="10" t="s">
        <v>485</v>
      </c>
      <c r="G80" s="12" t="s">
        <v>338</v>
      </c>
      <c r="H80" s="13">
        <v>-0.105</v>
      </c>
      <c r="I80" s="14" t="s">
        <v>480</v>
      </c>
      <c r="J80" s="22" t="s">
        <v>481</v>
      </c>
      <c r="K80" s="9">
        <v>3</v>
      </c>
      <c r="L80" s="15"/>
      <c r="M80" s="16" t="s">
        <v>54</v>
      </c>
      <c r="N80" s="14"/>
      <c r="O80" s="15" t="s">
        <v>65</v>
      </c>
      <c r="P80" s="22" t="s">
        <v>486</v>
      </c>
      <c r="Q80" s="15"/>
      <c r="R80" s="17" t="s">
        <v>54</v>
      </c>
      <c r="S80" s="18"/>
      <c r="T80" s="22" t="str">
        <f>IF(R80="維持",J80,IF(R80="排除","無關新聞事件",IFERROR(INDEX(事件規則!$B$2:$B$53,MATCH(S80,事件規則!$A$2:$A$53,0)),"")))</f>
        <v>財測下修</v>
      </c>
      <c r="U80" s="9">
        <f>IF(R80="維持",K80,IF(R80="排除",0,IFERROR(INDEX(事件規則!$C$2:$C$53,MATCH(S80,事件規則!$A$2:$A$53,0)),"")))</f>
        <v>3</v>
      </c>
      <c r="V80" s="19"/>
      <c r="W80" s="20"/>
      <c r="X80" s="10" t="str">
        <f t="shared" si="1"/>
        <v/>
      </c>
      <c r="Y80" s="19"/>
      <c r="Z80" s="20"/>
      <c r="AA80" s="12" t="s">
        <v>487</v>
      </c>
      <c r="AB80" s="23"/>
    </row>
    <row r="81" spans="1:28" ht="38.25">
      <c r="A81" s="15">
        <v>80</v>
      </c>
      <c r="B81" s="9" t="s">
        <v>100</v>
      </c>
      <c r="C81" s="9" t="s">
        <v>488</v>
      </c>
      <c r="D81" s="10" t="s">
        <v>489</v>
      </c>
      <c r="E81" s="21" t="s">
        <v>490</v>
      </c>
      <c r="F81" s="22" t="s">
        <v>491</v>
      </c>
      <c r="G81" s="12" t="s">
        <v>299</v>
      </c>
      <c r="H81" s="13">
        <v>-0.92100000000000004</v>
      </c>
      <c r="I81" s="14" t="s">
        <v>480</v>
      </c>
      <c r="J81" s="22" t="s">
        <v>481</v>
      </c>
      <c r="K81" s="9">
        <v>3</v>
      </c>
      <c r="L81" s="15"/>
      <c r="M81" s="16" t="s">
        <v>54</v>
      </c>
      <c r="N81" s="14"/>
      <c r="O81" s="15" t="s">
        <v>55</v>
      </c>
      <c r="P81" s="10" t="s">
        <v>492</v>
      </c>
      <c r="Q81" s="15"/>
      <c r="R81" s="17" t="s">
        <v>54</v>
      </c>
      <c r="S81" s="18"/>
      <c r="T81" s="22" t="str">
        <f>IF(R81="維持",J81,IF(R81="排除","無關新聞事件",IFERROR(INDEX(事件規則!$B$2:$B$53,MATCH(S81,事件規則!$A$2:$A$53,0)),"")))</f>
        <v>財測下修</v>
      </c>
      <c r="U81" s="9">
        <f>IF(R81="維持",K81,IF(R81="排除",0,IFERROR(INDEX(事件規則!$C$2:$C$53,MATCH(S81,事件規則!$A$2:$A$53,0)),"")))</f>
        <v>3</v>
      </c>
      <c r="V81" s="19"/>
      <c r="W81" s="20"/>
      <c r="X81" s="10" t="str">
        <f t="shared" si="1"/>
        <v/>
      </c>
      <c r="Y81" s="19"/>
      <c r="Z81" s="20"/>
      <c r="AA81" s="12" t="s">
        <v>493</v>
      </c>
      <c r="AB81" s="23"/>
    </row>
    <row r="82" spans="1:28" ht="25.5">
      <c r="A82" s="15">
        <v>81</v>
      </c>
      <c r="B82" s="9" t="s">
        <v>494</v>
      </c>
      <c r="C82" s="9" t="s">
        <v>475</v>
      </c>
      <c r="D82" s="10" t="s">
        <v>476</v>
      </c>
      <c r="E82" s="21" t="s">
        <v>495</v>
      </c>
      <c r="F82" s="22"/>
      <c r="G82" s="12" t="s">
        <v>338</v>
      </c>
      <c r="H82" s="13">
        <v>-1.0999999999999999E-2</v>
      </c>
      <c r="I82" s="14" t="s">
        <v>480</v>
      </c>
      <c r="J82" s="22" t="s">
        <v>481</v>
      </c>
      <c r="K82" s="9">
        <v>3</v>
      </c>
      <c r="L82" s="15"/>
      <c r="M82" s="16" t="s">
        <v>54</v>
      </c>
      <c r="N82" s="14"/>
      <c r="O82" s="15" t="s">
        <v>65</v>
      </c>
      <c r="P82" s="22" t="s">
        <v>486</v>
      </c>
      <c r="Q82" s="15"/>
      <c r="R82" s="17" t="s">
        <v>54</v>
      </c>
      <c r="S82" s="18"/>
      <c r="T82" s="22" t="str">
        <f>IF(R82="維持",J82,IF(R82="排除","無關新聞事件",IFERROR(INDEX(事件規則!$B$2:$B$53,MATCH(S82,事件規則!$A$2:$A$53,0)),"")))</f>
        <v>財測下修</v>
      </c>
      <c r="U82" s="9">
        <f>IF(R82="維持",K82,IF(R82="排除",0,IFERROR(INDEX(事件規則!$C$2:$C$53,MATCH(S82,事件規則!$A$2:$A$53,0)),"")))</f>
        <v>3</v>
      </c>
      <c r="V82" s="19"/>
      <c r="W82" s="20"/>
      <c r="X82" s="10" t="str">
        <f t="shared" si="1"/>
        <v/>
      </c>
      <c r="Y82" s="19"/>
      <c r="Z82" s="20"/>
      <c r="AA82" s="12" t="s">
        <v>496</v>
      </c>
      <c r="AB82" s="23"/>
    </row>
    <row r="83" spans="1:28" ht="25.5">
      <c r="A83" s="15">
        <v>82</v>
      </c>
      <c r="B83" s="9" t="s">
        <v>125</v>
      </c>
      <c r="C83" s="9" t="s">
        <v>497</v>
      </c>
      <c r="D83" s="10" t="s">
        <v>498</v>
      </c>
      <c r="E83" s="21" t="s">
        <v>499</v>
      </c>
      <c r="F83" s="22"/>
      <c r="G83" s="12" t="s">
        <v>305</v>
      </c>
      <c r="H83" s="13">
        <v>-0.754</v>
      </c>
      <c r="I83" s="14" t="s">
        <v>480</v>
      </c>
      <c r="J83" s="22" t="s">
        <v>481</v>
      </c>
      <c r="K83" s="9">
        <v>3</v>
      </c>
      <c r="L83" s="15"/>
      <c r="M83" s="16" t="s">
        <v>54</v>
      </c>
      <c r="N83" s="14"/>
      <c r="O83" s="15" t="s">
        <v>65</v>
      </c>
      <c r="P83" s="10" t="s">
        <v>500</v>
      </c>
      <c r="Q83" s="15"/>
      <c r="R83" s="17" t="s">
        <v>54</v>
      </c>
      <c r="S83" s="18"/>
      <c r="T83" s="22" t="str">
        <f>IF(R83="維持",J83,IF(R83="排除","無關新聞事件",IFERROR(INDEX(事件規則!$B$2:$B$53,MATCH(S83,事件規則!$A$2:$A$53,0)),"")))</f>
        <v>財測下修</v>
      </c>
      <c r="U83" s="9">
        <f>IF(R83="維持",K83,IF(R83="排除",0,IFERROR(INDEX(事件規則!$C$2:$C$53,MATCH(S83,事件規則!$A$2:$A$53,0)),"")))</f>
        <v>3</v>
      </c>
      <c r="V83" s="19"/>
      <c r="W83" s="20"/>
      <c r="X83" s="10" t="str">
        <f t="shared" si="1"/>
        <v/>
      </c>
      <c r="Y83" s="19"/>
      <c r="Z83" s="20"/>
      <c r="AA83" s="12" t="s">
        <v>501</v>
      </c>
      <c r="AB83" s="23"/>
    </row>
    <row r="84" spans="1:28" ht="25.5">
      <c r="A84" s="15">
        <v>83</v>
      </c>
      <c r="B84" s="9" t="s">
        <v>134</v>
      </c>
      <c r="C84" s="9" t="s">
        <v>502</v>
      </c>
      <c r="D84" s="10" t="s">
        <v>503</v>
      </c>
      <c r="E84" s="21" t="s">
        <v>504</v>
      </c>
      <c r="F84" s="22"/>
      <c r="G84" s="12" t="s">
        <v>260</v>
      </c>
      <c r="H84" s="13">
        <v>-0.96099999999999997</v>
      </c>
      <c r="I84" s="14" t="s">
        <v>480</v>
      </c>
      <c r="J84" s="22" t="s">
        <v>481</v>
      </c>
      <c r="K84" s="9">
        <v>3</v>
      </c>
      <c r="L84" s="15"/>
      <c r="M84" s="16" t="s">
        <v>54</v>
      </c>
      <c r="N84" s="14"/>
      <c r="O84" s="15" t="s">
        <v>55</v>
      </c>
      <c r="P84" s="10" t="s">
        <v>505</v>
      </c>
      <c r="Q84" s="15"/>
      <c r="R84" s="17" t="s">
        <v>54</v>
      </c>
      <c r="S84" s="18"/>
      <c r="T84" s="22" t="str">
        <f>IF(R84="維持",J84,IF(R84="排除","無關新聞事件",IFERROR(INDEX(事件規則!$B$2:$B$53,MATCH(S84,事件規則!$A$2:$A$53,0)),"")))</f>
        <v>財測下修</v>
      </c>
      <c r="U84" s="9">
        <f>IF(R84="維持",K84,IF(R84="排除",0,IFERROR(INDEX(事件規則!$C$2:$C$53,MATCH(S84,事件規則!$A$2:$A$53,0)),"")))</f>
        <v>3</v>
      </c>
      <c r="V84" s="19"/>
      <c r="W84" s="20"/>
      <c r="X84" s="10" t="str">
        <f t="shared" si="1"/>
        <v/>
      </c>
      <c r="Y84" s="19"/>
      <c r="Z84" s="20"/>
      <c r="AA84" s="12" t="s">
        <v>506</v>
      </c>
      <c r="AB84" s="23"/>
    </row>
    <row r="85" spans="1:28" ht="25.5">
      <c r="A85" s="15">
        <v>84</v>
      </c>
      <c r="B85" s="9" t="s">
        <v>507</v>
      </c>
      <c r="C85" s="9" t="s">
        <v>508</v>
      </c>
      <c r="D85" s="10" t="s">
        <v>509</v>
      </c>
      <c r="E85" s="21" t="s">
        <v>510</v>
      </c>
      <c r="F85" s="22"/>
      <c r="G85" s="12" t="s">
        <v>299</v>
      </c>
      <c r="H85" s="13">
        <v>-0.95899999999999996</v>
      </c>
      <c r="I85" s="14" t="s">
        <v>480</v>
      </c>
      <c r="J85" s="22" t="s">
        <v>481</v>
      </c>
      <c r="K85" s="9">
        <v>3</v>
      </c>
      <c r="L85" s="15"/>
      <c r="M85" s="16" t="s">
        <v>54</v>
      </c>
      <c r="N85" s="14"/>
      <c r="O85" s="15" t="s">
        <v>55</v>
      </c>
      <c r="P85" s="10" t="s">
        <v>511</v>
      </c>
      <c r="Q85" s="15"/>
      <c r="R85" s="17" t="s">
        <v>54</v>
      </c>
      <c r="S85" s="18"/>
      <c r="T85" s="22" t="str">
        <f>IF(R85="維持",J85,IF(R85="排除","無關新聞事件",IFERROR(INDEX(事件規則!$B$2:$B$53,MATCH(S85,事件規則!$A$2:$A$53,0)),"")))</f>
        <v>財測下修</v>
      </c>
      <c r="U85" s="9">
        <f>IF(R85="維持",K85,IF(R85="排除",0,IFERROR(INDEX(事件規則!$C$2:$C$53,MATCH(S85,事件規則!$A$2:$A$53,0)),"")))</f>
        <v>3</v>
      </c>
      <c r="V85" s="19"/>
      <c r="W85" s="20"/>
      <c r="X85" s="10" t="str">
        <f t="shared" si="1"/>
        <v/>
      </c>
      <c r="Y85" s="19"/>
      <c r="Z85" s="20"/>
      <c r="AA85" s="12" t="s">
        <v>512</v>
      </c>
      <c r="AB85" s="23"/>
    </row>
    <row r="86" spans="1:28" ht="25.5">
      <c r="A86" s="15">
        <v>85</v>
      </c>
      <c r="B86" s="9" t="s">
        <v>459</v>
      </c>
      <c r="C86" s="9" t="s">
        <v>475</v>
      </c>
      <c r="D86" s="10" t="s">
        <v>476</v>
      </c>
      <c r="E86" s="21" t="s">
        <v>513</v>
      </c>
      <c r="F86" s="10" t="s">
        <v>514</v>
      </c>
      <c r="G86" s="12" t="s">
        <v>299</v>
      </c>
      <c r="H86" s="13">
        <v>-0.46100000000000002</v>
      </c>
      <c r="I86" s="14" t="s">
        <v>480</v>
      </c>
      <c r="J86" s="22" t="s">
        <v>481</v>
      </c>
      <c r="K86" s="9">
        <v>3</v>
      </c>
      <c r="L86" s="15"/>
      <c r="M86" s="16" t="s">
        <v>54</v>
      </c>
      <c r="N86" s="14"/>
      <c r="O86" s="15" t="s">
        <v>65</v>
      </c>
      <c r="P86" s="22" t="s">
        <v>486</v>
      </c>
      <c r="Q86" s="15"/>
      <c r="R86" s="17" t="s">
        <v>54</v>
      </c>
      <c r="S86" s="18"/>
      <c r="T86" s="22" t="str">
        <f>IF(R86="維持",J86,IF(R86="排除","無關新聞事件",IFERROR(INDEX(事件規則!$B$2:$B$53,MATCH(S86,事件規則!$A$2:$A$53,0)),"")))</f>
        <v>財測下修</v>
      </c>
      <c r="U86" s="9">
        <f>IF(R86="維持",K86,IF(R86="排除",0,IFERROR(INDEX(事件規則!$C$2:$C$53,MATCH(S86,事件規則!$A$2:$A$53,0)),"")))</f>
        <v>3</v>
      </c>
      <c r="V86" s="19"/>
      <c r="W86" s="20"/>
      <c r="X86" s="10" t="str">
        <f t="shared" si="1"/>
        <v/>
      </c>
      <c r="Y86" s="19"/>
      <c r="Z86" s="20"/>
      <c r="AA86" s="12" t="s">
        <v>515</v>
      </c>
      <c r="AB86" s="23"/>
    </row>
    <row r="87" spans="1:28" ht="25.5">
      <c r="A87" s="15">
        <v>86</v>
      </c>
      <c r="B87" s="9" t="s">
        <v>516</v>
      </c>
      <c r="C87" s="9" t="s">
        <v>288</v>
      </c>
      <c r="D87" s="10" t="s">
        <v>517</v>
      </c>
      <c r="E87" s="21" t="s">
        <v>518</v>
      </c>
      <c r="F87" s="10" t="s">
        <v>519</v>
      </c>
      <c r="G87" s="12" t="s">
        <v>416</v>
      </c>
      <c r="H87" s="13">
        <v>-5.6000000000000001E-2</v>
      </c>
      <c r="I87" s="14" t="s">
        <v>480</v>
      </c>
      <c r="J87" s="22" t="s">
        <v>481</v>
      </c>
      <c r="K87" s="9">
        <v>3</v>
      </c>
      <c r="L87" s="15" t="s">
        <v>53</v>
      </c>
      <c r="M87" s="16" t="s">
        <v>74</v>
      </c>
      <c r="N87" s="14"/>
      <c r="O87" s="15" t="s">
        <v>65</v>
      </c>
      <c r="P87" s="22" t="s">
        <v>520</v>
      </c>
      <c r="Q87" s="15"/>
      <c r="R87" s="17" t="s">
        <v>74</v>
      </c>
      <c r="S87" s="18"/>
      <c r="T87" s="22" t="str">
        <f>IF(R87="維持",J87,IF(R87="排除","無關新聞事件",IFERROR(INDEX(事件規則!$B$2:$B$53,MATCH(S87,事件規則!$A$2:$A$53,0)),"")))</f>
        <v>無關新聞事件</v>
      </c>
      <c r="U87" s="9">
        <f>IF(R87="維持",K87,IF(R87="排除",0,IFERROR(INDEX(事件規則!$C$2:$C$53,MATCH(S87,事件規則!$A$2:$A$53,0)),"")))</f>
        <v>0</v>
      </c>
      <c r="V87" s="19"/>
      <c r="W87" s="20"/>
      <c r="X87" s="10" t="str">
        <f t="shared" si="1"/>
        <v/>
      </c>
      <c r="Y87" s="19"/>
      <c r="Z87" s="20"/>
      <c r="AA87" s="12" t="s">
        <v>521</v>
      </c>
      <c r="AB87" s="23"/>
    </row>
    <row r="88" spans="1:28" ht="38.25">
      <c r="A88" s="15">
        <v>87</v>
      </c>
      <c r="B88" s="9" t="s">
        <v>241</v>
      </c>
      <c r="C88" s="9" t="s">
        <v>522</v>
      </c>
      <c r="D88" s="10" t="s">
        <v>523</v>
      </c>
      <c r="E88" s="21" t="s">
        <v>524</v>
      </c>
      <c r="F88" s="22"/>
      <c r="G88" s="12" t="s">
        <v>299</v>
      </c>
      <c r="H88" s="13">
        <v>0.125</v>
      </c>
      <c r="I88" s="14" t="s">
        <v>525</v>
      </c>
      <c r="J88" s="22" t="s">
        <v>526</v>
      </c>
      <c r="K88" s="9">
        <v>3</v>
      </c>
      <c r="L88" s="15"/>
      <c r="M88" s="16" t="s">
        <v>54</v>
      </c>
      <c r="N88" s="14"/>
      <c r="O88" s="15" t="s">
        <v>65</v>
      </c>
      <c r="P88" s="22" t="s">
        <v>527</v>
      </c>
      <c r="Q88" s="15"/>
      <c r="R88" s="17" t="s">
        <v>54</v>
      </c>
      <c r="S88" s="18"/>
      <c r="T88" s="22" t="str">
        <f>IF(R88="維持",J88,IF(R88="排除","無關新聞事件",IFERROR(INDEX(事件規則!$B$2:$B$53,MATCH(S88,事件規則!$A$2:$A$53,0)),"")))</f>
        <v>出口管制</v>
      </c>
      <c r="U88" s="9">
        <f>IF(R88="維持",K88,IF(R88="排除",0,IFERROR(INDEX(事件規則!$C$2:$C$53,MATCH(S88,事件規則!$A$2:$A$53,0)),"")))</f>
        <v>3</v>
      </c>
      <c r="V88" s="19"/>
      <c r="W88" s="20"/>
      <c r="X88" s="10" t="str">
        <f t="shared" si="1"/>
        <v/>
      </c>
      <c r="Y88" s="19"/>
      <c r="Z88" s="20"/>
      <c r="AA88" s="12" t="s">
        <v>528</v>
      </c>
      <c r="AB88" s="23"/>
    </row>
    <row r="89" spans="1:28" ht="38.25">
      <c r="A89" s="15">
        <v>88</v>
      </c>
      <c r="B89" s="9" t="s">
        <v>241</v>
      </c>
      <c r="C89" s="9" t="s">
        <v>522</v>
      </c>
      <c r="D89" s="10" t="s">
        <v>523</v>
      </c>
      <c r="E89" s="21" t="s">
        <v>529</v>
      </c>
      <c r="F89" s="22"/>
      <c r="G89" s="12" t="s">
        <v>299</v>
      </c>
      <c r="H89" s="13">
        <v>-0.92300000000000004</v>
      </c>
      <c r="I89" s="14" t="s">
        <v>525</v>
      </c>
      <c r="J89" s="22" t="s">
        <v>526</v>
      </c>
      <c r="K89" s="9">
        <v>3</v>
      </c>
      <c r="L89" s="15"/>
      <c r="M89" s="16" t="s">
        <v>54</v>
      </c>
      <c r="N89" s="14"/>
      <c r="O89" s="15" t="s">
        <v>65</v>
      </c>
      <c r="P89" s="22" t="s">
        <v>527</v>
      </c>
      <c r="Q89" s="15"/>
      <c r="R89" s="17" t="s">
        <v>54</v>
      </c>
      <c r="S89" s="18"/>
      <c r="T89" s="22" t="str">
        <f>IF(R89="維持",J89,IF(R89="排除","無關新聞事件",IFERROR(INDEX(事件規則!$B$2:$B$53,MATCH(S89,事件規則!$A$2:$A$53,0)),"")))</f>
        <v>出口管制</v>
      </c>
      <c r="U89" s="9">
        <f>IF(R89="維持",K89,IF(R89="排除",0,IFERROR(INDEX(事件規則!$C$2:$C$53,MATCH(S89,事件規則!$A$2:$A$53,0)),"")))</f>
        <v>3</v>
      </c>
      <c r="V89" s="19"/>
      <c r="W89" s="20"/>
      <c r="X89" s="10" t="str">
        <f t="shared" si="1"/>
        <v/>
      </c>
      <c r="Y89" s="19"/>
      <c r="Z89" s="20"/>
      <c r="AA89" s="12" t="s">
        <v>530</v>
      </c>
      <c r="AB89" s="23"/>
    </row>
    <row r="90" spans="1:28" ht="25.5">
      <c r="A90" s="15">
        <v>89</v>
      </c>
      <c r="B90" s="9" t="s">
        <v>429</v>
      </c>
      <c r="C90" s="9" t="s">
        <v>263</v>
      </c>
      <c r="D90" s="10" t="s">
        <v>264</v>
      </c>
      <c r="E90" s="21" t="s">
        <v>531</v>
      </c>
      <c r="F90" s="22"/>
      <c r="G90" s="12" t="s">
        <v>532</v>
      </c>
      <c r="H90" s="13">
        <v>-0.124</v>
      </c>
      <c r="I90" s="14" t="s">
        <v>525</v>
      </c>
      <c r="J90" s="22" t="s">
        <v>526</v>
      </c>
      <c r="K90" s="9">
        <v>3</v>
      </c>
      <c r="L90" s="15"/>
      <c r="M90" s="16" t="s">
        <v>74</v>
      </c>
      <c r="N90" s="14"/>
      <c r="O90" s="15" t="s">
        <v>55</v>
      </c>
      <c r="P90" s="22" t="s">
        <v>533</v>
      </c>
      <c r="Q90" s="15"/>
      <c r="R90" s="17" t="s">
        <v>74</v>
      </c>
      <c r="S90" s="18"/>
      <c r="T90" s="22" t="str">
        <f>IF(R90="維持",J90,IF(R90="排除","無關新聞事件",IFERROR(INDEX(事件規則!$B$2:$B$53,MATCH(S90,事件規則!$A$2:$A$53,0)),"")))</f>
        <v>無關新聞事件</v>
      </c>
      <c r="U90" s="9">
        <f>IF(R90="維持",K90,IF(R90="排除",0,IFERROR(INDEX(事件規則!$C$2:$C$53,MATCH(S90,事件規則!$A$2:$A$53,0)),"")))</f>
        <v>0</v>
      </c>
      <c r="V90" s="19"/>
      <c r="W90" s="20"/>
      <c r="X90" s="10" t="str">
        <f t="shared" si="1"/>
        <v/>
      </c>
      <c r="Y90" s="19"/>
      <c r="Z90" s="20"/>
      <c r="AA90" s="12" t="s">
        <v>534</v>
      </c>
      <c r="AB90" s="23"/>
    </row>
    <row r="91" spans="1:28" ht="38.25">
      <c r="A91" s="15">
        <v>90</v>
      </c>
      <c r="B91" s="9" t="s">
        <v>535</v>
      </c>
      <c r="C91" s="9" t="s">
        <v>536</v>
      </c>
      <c r="D91" s="10" t="s">
        <v>537</v>
      </c>
      <c r="E91" s="21" t="s">
        <v>538</v>
      </c>
      <c r="F91" s="22"/>
      <c r="G91" s="12" t="s">
        <v>539</v>
      </c>
      <c r="H91" s="13">
        <v>5.2999999999999999E-2</v>
      </c>
      <c r="I91" s="14" t="s">
        <v>525</v>
      </c>
      <c r="J91" s="22" t="s">
        <v>526</v>
      </c>
      <c r="K91" s="9">
        <v>3</v>
      </c>
      <c r="L91" s="15"/>
      <c r="M91" s="16" t="s">
        <v>74</v>
      </c>
      <c r="N91" s="14"/>
      <c r="O91" s="15" t="s">
        <v>65</v>
      </c>
      <c r="P91" s="10" t="s">
        <v>540</v>
      </c>
      <c r="Q91" s="15"/>
      <c r="R91" s="17" t="s">
        <v>74</v>
      </c>
      <c r="S91" s="18"/>
      <c r="T91" s="22" t="str">
        <f>IF(R91="維持",J91,IF(R91="排除","無關新聞事件",IFERROR(INDEX(事件規則!$B$2:$B$53,MATCH(S91,事件規則!$A$2:$A$53,0)),"")))</f>
        <v>無關新聞事件</v>
      </c>
      <c r="U91" s="9">
        <f>IF(R91="維持",K91,IF(R91="排除",0,IFERROR(INDEX(事件規則!$C$2:$C$53,MATCH(S91,事件規則!$A$2:$A$53,0)),"")))</f>
        <v>0</v>
      </c>
      <c r="V91" s="19"/>
      <c r="W91" s="20"/>
      <c r="X91" s="10" t="str">
        <f t="shared" si="1"/>
        <v/>
      </c>
      <c r="Y91" s="19"/>
      <c r="Z91" s="20"/>
      <c r="AA91" s="12" t="s">
        <v>541</v>
      </c>
      <c r="AB91" s="23"/>
    </row>
    <row r="92" spans="1:28" ht="38.25">
      <c r="A92" s="15">
        <v>91</v>
      </c>
      <c r="B92" s="9" t="s">
        <v>255</v>
      </c>
      <c r="C92" s="9" t="s">
        <v>522</v>
      </c>
      <c r="D92" s="10" t="s">
        <v>523</v>
      </c>
      <c r="E92" s="21" t="s">
        <v>542</v>
      </c>
      <c r="F92" s="22"/>
      <c r="G92" s="12" t="s">
        <v>543</v>
      </c>
      <c r="H92" s="13">
        <v>-0.19900000000000001</v>
      </c>
      <c r="I92" s="14" t="s">
        <v>525</v>
      </c>
      <c r="J92" s="22" t="s">
        <v>526</v>
      </c>
      <c r="K92" s="9">
        <v>3</v>
      </c>
      <c r="L92" s="15"/>
      <c r="M92" s="16" t="s">
        <v>54</v>
      </c>
      <c r="N92" s="14"/>
      <c r="O92" s="15" t="s">
        <v>65</v>
      </c>
      <c r="P92" s="22" t="s">
        <v>527</v>
      </c>
      <c r="Q92" s="15"/>
      <c r="R92" s="17" t="s">
        <v>54</v>
      </c>
      <c r="S92" s="18"/>
      <c r="T92" s="22" t="str">
        <f>IF(R92="維持",J92,IF(R92="排除","無關新聞事件",IFERROR(INDEX(事件規則!$B$2:$B$53,MATCH(S92,事件規則!$A$2:$A$53,0)),"")))</f>
        <v>出口管制</v>
      </c>
      <c r="U92" s="9">
        <f>IF(R92="維持",K92,IF(R92="排除",0,IFERROR(INDEX(事件規則!$C$2:$C$53,MATCH(S92,事件規則!$A$2:$A$53,0)),"")))</f>
        <v>3</v>
      </c>
      <c r="V92" s="19"/>
      <c r="W92" s="20"/>
      <c r="X92" s="10" t="str">
        <f t="shared" si="1"/>
        <v/>
      </c>
      <c r="Y92" s="19"/>
      <c r="Z92" s="20"/>
      <c r="AA92" s="12" t="s">
        <v>544</v>
      </c>
      <c r="AB92" s="23"/>
    </row>
    <row r="93" spans="1:28" ht="25.5">
      <c r="A93" s="15">
        <v>92</v>
      </c>
      <c r="B93" s="9" t="s">
        <v>87</v>
      </c>
      <c r="C93" s="9" t="s">
        <v>78</v>
      </c>
      <c r="D93" s="10" t="s">
        <v>79</v>
      </c>
      <c r="E93" s="21" t="s">
        <v>545</v>
      </c>
      <c r="F93" s="22" t="s">
        <v>546</v>
      </c>
      <c r="G93" s="12" t="s">
        <v>547</v>
      </c>
      <c r="H93" s="13">
        <v>-0.95099999999999996</v>
      </c>
      <c r="I93" s="14" t="s">
        <v>548</v>
      </c>
      <c r="J93" s="22" t="s">
        <v>549</v>
      </c>
      <c r="K93" s="9">
        <v>3</v>
      </c>
      <c r="L93" s="15"/>
      <c r="M93" s="16" t="s">
        <v>74</v>
      </c>
      <c r="N93" s="14"/>
      <c r="O93" s="15" t="s">
        <v>65</v>
      </c>
      <c r="P93" s="22" t="s">
        <v>550</v>
      </c>
      <c r="Q93" s="15"/>
      <c r="R93" s="17" t="s">
        <v>74</v>
      </c>
      <c r="S93" s="18"/>
      <c r="T93" s="22" t="str">
        <f>IF(R93="維持",J93,IF(R93="排除","無關新聞事件",IFERROR(INDEX(事件規則!$B$2:$B$53,MATCH(S93,事件規則!$A$2:$A$53,0)),"")))</f>
        <v>無關新聞事件</v>
      </c>
      <c r="U93" s="9">
        <f>IF(R93="維持",K93,IF(R93="排除",0,IFERROR(INDEX(事件規則!$C$2:$C$53,MATCH(S93,事件規則!$A$2:$A$53,0)),"")))</f>
        <v>0</v>
      </c>
      <c r="V93" s="19"/>
      <c r="W93" s="20"/>
      <c r="X93" s="10" t="str">
        <f t="shared" si="1"/>
        <v/>
      </c>
      <c r="Y93" s="19"/>
      <c r="Z93" s="20"/>
      <c r="AA93" s="12" t="s">
        <v>551</v>
      </c>
      <c r="AB93" s="23"/>
    </row>
    <row r="94" spans="1:28" ht="25.5">
      <c r="A94" s="15">
        <v>93</v>
      </c>
      <c r="B94" s="9" t="s">
        <v>100</v>
      </c>
      <c r="C94" s="9" t="s">
        <v>552</v>
      </c>
      <c r="D94" s="10" t="s">
        <v>553</v>
      </c>
      <c r="E94" s="21" t="s">
        <v>554</v>
      </c>
      <c r="F94" s="10" t="s">
        <v>555</v>
      </c>
      <c r="G94" s="12" t="s">
        <v>556</v>
      </c>
      <c r="H94" s="13">
        <v>-0.95399999999999996</v>
      </c>
      <c r="I94" s="14" t="s">
        <v>548</v>
      </c>
      <c r="J94" s="22" t="s">
        <v>549</v>
      </c>
      <c r="K94" s="9">
        <v>3</v>
      </c>
      <c r="L94" s="15"/>
      <c r="M94" s="16" t="s">
        <v>130</v>
      </c>
      <c r="N94" s="14" t="s">
        <v>480</v>
      </c>
      <c r="O94" s="15" t="s">
        <v>55</v>
      </c>
      <c r="P94" s="10" t="s">
        <v>557</v>
      </c>
      <c r="Q94" s="15"/>
      <c r="R94" s="17" t="s">
        <v>130</v>
      </c>
      <c r="S94" s="18" t="s">
        <v>480</v>
      </c>
      <c r="T94" s="22" t="str">
        <f>IF(R94="維持",J94,IF(R94="排除","無關新聞事件",IFERROR(INDEX(事件規則!$B$2:$B$53,MATCH(S94,事件規則!$A$2:$A$53,0)),"")))</f>
        <v>財測下修</v>
      </c>
      <c r="U94" s="9">
        <f>IF(R94="維持",K94,IF(R94="排除",0,IFERROR(INDEX(事件規則!$C$2:$C$53,MATCH(S94,事件規則!$A$2:$A$53,0)),"")))</f>
        <v>3</v>
      </c>
      <c r="V94" s="19"/>
      <c r="W94" s="20"/>
      <c r="X94" s="10" t="str">
        <f t="shared" si="1"/>
        <v/>
      </c>
      <c r="Y94" s="19"/>
      <c r="Z94" s="20"/>
      <c r="AA94" s="12" t="s">
        <v>558</v>
      </c>
      <c r="AB94" s="23"/>
    </row>
    <row r="95" spans="1:28" ht="38.25">
      <c r="A95" s="15">
        <v>94</v>
      </c>
      <c r="B95" s="9" t="s">
        <v>167</v>
      </c>
      <c r="C95" s="9" t="s">
        <v>502</v>
      </c>
      <c r="D95" s="10" t="s">
        <v>503</v>
      </c>
      <c r="E95" s="21" t="s">
        <v>559</v>
      </c>
      <c r="F95" s="22" t="s">
        <v>560</v>
      </c>
      <c r="G95" s="12" t="s">
        <v>466</v>
      </c>
      <c r="H95" s="13">
        <v>-0.875</v>
      </c>
      <c r="I95" s="14" t="s">
        <v>548</v>
      </c>
      <c r="J95" s="22" t="s">
        <v>549</v>
      </c>
      <c r="K95" s="9">
        <v>3</v>
      </c>
      <c r="L95" s="15"/>
      <c r="M95" s="16" t="s">
        <v>74</v>
      </c>
      <c r="N95" s="14"/>
      <c r="O95" s="15" t="s">
        <v>65</v>
      </c>
      <c r="P95" s="22" t="s">
        <v>550</v>
      </c>
      <c r="Q95" s="15"/>
      <c r="R95" s="17" t="s">
        <v>74</v>
      </c>
      <c r="S95" s="18"/>
      <c r="T95" s="22" t="str">
        <f>IF(R95="維持",J95,IF(R95="排除","無關新聞事件",IFERROR(INDEX(事件規則!$B$2:$B$53,MATCH(S95,事件規則!$A$2:$A$53,0)),"")))</f>
        <v>無關新聞事件</v>
      </c>
      <c r="U95" s="9">
        <f>IF(R95="維持",K95,IF(R95="排除",0,IFERROR(INDEX(事件規則!$C$2:$C$53,MATCH(S95,事件規則!$A$2:$A$53,0)),"")))</f>
        <v>0</v>
      </c>
      <c r="V95" s="19"/>
      <c r="W95" s="20"/>
      <c r="X95" s="10" t="str">
        <f t="shared" si="1"/>
        <v/>
      </c>
      <c r="Y95" s="19"/>
      <c r="Z95" s="20"/>
      <c r="AA95" s="12" t="s">
        <v>561</v>
      </c>
      <c r="AB95" s="23"/>
    </row>
    <row r="96" spans="1:28" ht="25.5">
      <c r="A96" s="15">
        <v>95</v>
      </c>
      <c r="B96" s="9" t="s">
        <v>187</v>
      </c>
      <c r="C96" s="9" t="s">
        <v>347</v>
      </c>
      <c r="D96" s="10" t="s">
        <v>348</v>
      </c>
      <c r="E96" s="21" t="s">
        <v>562</v>
      </c>
      <c r="F96" s="22" t="s">
        <v>563</v>
      </c>
      <c r="G96" s="12" t="s">
        <v>466</v>
      </c>
      <c r="H96" s="13">
        <v>-0.94699999999999995</v>
      </c>
      <c r="I96" s="14" t="s">
        <v>548</v>
      </c>
      <c r="J96" s="22" t="s">
        <v>549</v>
      </c>
      <c r="K96" s="9">
        <v>3</v>
      </c>
      <c r="L96" s="15"/>
      <c r="M96" s="16" t="s">
        <v>74</v>
      </c>
      <c r="N96" s="14"/>
      <c r="O96" s="15" t="s">
        <v>55</v>
      </c>
      <c r="P96" s="22" t="s">
        <v>564</v>
      </c>
      <c r="Q96" s="15"/>
      <c r="R96" s="17" t="s">
        <v>74</v>
      </c>
      <c r="S96" s="18"/>
      <c r="T96" s="22" t="str">
        <f>IF(R96="維持",J96,IF(R96="排除","無關新聞事件",IFERROR(INDEX(事件規則!$B$2:$B$53,MATCH(S96,事件規則!$A$2:$A$53,0)),"")))</f>
        <v>無關新聞事件</v>
      </c>
      <c r="U96" s="9">
        <f>IF(R96="維持",K96,IF(R96="排除",0,IFERROR(INDEX(事件規則!$C$2:$C$53,MATCH(S96,事件規則!$A$2:$A$53,0)),"")))</f>
        <v>0</v>
      </c>
      <c r="V96" s="19"/>
      <c r="W96" s="20"/>
      <c r="X96" s="10" t="str">
        <f t="shared" si="1"/>
        <v/>
      </c>
      <c r="Y96" s="19"/>
      <c r="Z96" s="20"/>
      <c r="AA96" s="12" t="s">
        <v>565</v>
      </c>
      <c r="AB96" s="23"/>
    </row>
    <row r="97" spans="1:28" ht="25.5">
      <c r="A97" s="15">
        <v>96</v>
      </c>
      <c r="B97" s="9" t="s">
        <v>207</v>
      </c>
      <c r="C97" s="9" t="s">
        <v>552</v>
      </c>
      <c r="D97" s="10" t="s">
        <v>553</v>
      </c>
      <c r="E97" s="21" t="s">
        <v>566</v>
      </c>
      <c r="F97" s="22"/>
      <c r="G97" s="12" t="s">
        <v>386</v>
      </c>
      <c r="H97" s="13">
        <v>-0.95</v>
      </c>
      <c r="I97" s="14" t="s">
        <v>548</v>
      </c>
      <c r="J97" s="22" t="s">
        <v>549</v>
      </c>
      <c r="K97" s="9">
        <v>3</v>
      </c>
      <c r="L97" s="15"/>
      <c r="M97" s="16" t="s">
        <v>130</v>
      </c>
      <c r="N97" s="14" t="s">
        <v>480</v>
      </c>
      <c r="O97" s="15" t="s">
        <v>55</v>
      </c>
      <c r="P97" s="10" t="s">
        <v>557</v>
      </c>
      <c r="Q97" s="15"/>
      <c r="R97" s="17" t="s">
        <v>130</v>
      </c>
      <c r="S97" s="18" t="s">
        <v>480</v>
      </c>
      <c r="T97" s="22" t="str">
        <f>IF(R97="維持",J97,IF(R97="排除","無關新聞事件",IFERROR(INDEX(事件規則!$B$2:$B$53,MATCH(S97,事件規則!$A$2:$A$53,0)),"")))</f>
        <v>財測下修</v>
      </c>
      <c r="U97" s="9">
        <f>IF(R97="維持",K97,IF(R97="排除",0,IFERROR(INDEX(事件規則!$C$2:$C$53,MATCH(S97,事件規則!$A$2:$A$53,0)),"")))</f>
        <v>3</v>
      </c>
      <c r="V97" s="19"/>
      <c r="W97" s="20"/>
      <c r="X97" s="10" t="str">
        <f t="shared" si="1"/>
        <v/>
      </c>
      <c r="Y97" s="19"/>
      <c r="Z97" s="20"/>
      <c r="AA97" s="12" t="s">
        <v>567</v>
      </c>
      <c r="AB97" s="23"/>
    </row>
    <row r="98" spans="1:28" ht="25.5">
      <c r="A98" s="15">
        <v>97</v>
      </c>
      <c r="B98" s="9" t="s">
        <v>207</v>
      </c>
      <c r="C98" s="9" t="s">
        <v>568</v>
      </c>
      <c r="D98" s="10" t="s">
        <v>569</v>
      </c>
      <c r="E98" s="21" t="s">
        <v>570</v>
      </c>
      <c r="F98" s="22"/>
      <c r="G98" s="12" t="s">
        <v>357</v>
      </c>
      <c r="H98" s="13">
        <v>-0.23899999999999999</v>
      </c>
      <c r="I98" s="14" t="s">
        <v>548</v>
      </c>
      <c r="J98" s="22" t="s">
        <v>549</v>
      </c>
      <c r="K98" s="9">
        <v>3</v>
      </c>
      <c r="L98" s="15"/>
      <c r="M98" s="16" t="s">
        <v>74</v>
      </c>
      <c r="N98" s="14"/>
      <c r="O98" s="15" t="s">
        <v>65</v>
      </c>
      <c r="P98" s="22" t="s">
        <v>550</v>
      </c>
      <c r="Q98" s="15"/>
      <c r="R98" s="17" t="s">
        <v>74</v>
      </c>
      <c r="S98" s="18"/>
      <c r="T98" s="22" t="str">
        <f>IF(R98="維持",J98,IF(R98="排除","無關新聞事件",IFERROR(INDEX(事件規則!$B$2:$B$53,MATCH(S98,事件規則!$A$2:$A$53,0)),"")))</f>
        <v>無關新聞事件</v>
      </c>
      <c r="U98" s="9">
        <f>IF(R98="維持",K98,IF(R98="排除",0,IFERROR(INDEX(事件規則!$C$2:$C$53,MATCH(S98,事件規則!$A$2:$A$53,0)),"")))</f>
        <v>0</v>
      </c>
      <c r="V98" s="19"/>
      <c r="W98" s="20"/>
      <c r="X98" s="10" t="str">
        <f t="shared" si="1"/>
        <v/>
      </c>
      <c r="Y98" s="19"/>
      <c r="Z98" s="20"/>
      <c r="AA98" s="12" t="s">
        <v>571</v>
      </c>
      <c r="AB98" s="23"/>
    </row>
    <row r="99" spans="1:28" ht="25.5">
      <c r="A99" s="15">
        <v>98</v>
      </c>
      <c r="B99" s="9" t="s">
        <v>218</v>
      </c>
      <c r="C99" s="9" t="s">
        <v>572</v>
      </c>
      <c r="D99" s="10" t="s">
        <v>573</v>
      </c>
      <c r="E99" s="21" t="s">
        <v>574</v>
      </c>
      <c r="F99" s="22"/>
      <c r="G99" s="12" t="s">
        <v>299</v>
      </c>
      <c r="H99" s="13">
        <v>0.21299999999999999</v>
      </c>
      <c r="I99" s="14" t="s">
        <v>548</v>
      </c>
      <c r="J99" s="22" t="s">
        <v>549</v>
      </c>
      <c r="K99" s="9">
        <v>3</v>
      </c>
      <c r="L99" s="15"/>
      <c r="M99" s="16" t="s">
        <v>74</v>
      </c>
      <c r="N99" s="14"/>
      <c r="O99" s="15" t="s">
        <v>65</v>
      </c>
      <c r="P99" s="22" t="s">
        <v>550</v>
      </c>
      <c r="Q99" s="15"/>
      <c r="R99" s="17" t="s">
        <v>74</v>
      </c>
      <c r="S99" s="18"/>
      <c r="T99" s="22" t="str">
        <f>IF(R99="維持",J99,IF(R99="排除","無關新聞事件",IFERROR(INDEX(事件規則!$B$2:$B$53,MATCH(S99,事件規則!$A$2:$A$53,0)),"")))</f>
        <v>無關新聞事件</v>
      </c>
      <c r="U99" s="9">
        <f>IF(R99="維持",K99,IF(R99="排除",0,IFERROR(INDEX(事件規則!$C$2:$C$53,MATCH(S99,事件規則!$A$2:$A$53,0)),"")))</f>
        <v>0</v>
      </c>
      <c r="V99" s="19"/>
      <c r="W99" s="20"/>
      <c r="X99" s="10" t="str">
        <f t="shared" si="1"/>
        <v/>
      </c>
      <c r="Y99" s="19"/>
      <c r="Z99" s="20"/>
      <c r="AA99" s="12" t="s">
        <v>575</v>
      </c>
      <c r="AB99" s="23"/>
    </row>
    <row r="100" spans="1:28" ht="25.5">
      <c r="A100" s="15">
        <v>99</v>
      </c>
      <c r="B100" s="9" t="s">
        <v>576</v>
      </c>
      <c r="C100" s="9" t="s">
        <v>577</v>
      </c>
      <c r="D100" s="10" t="s">
        <v>578</v>
      </c>
      <c r="E100" s="21" t="s">
        <v>579</v>
      </c>
      <c r="F100" s="22"/>
      <c r="G100" s="12" t="s">
        <v>299</v>
      </c>
      <c r="H100" s="13">
        <v>0.84699999999999998</v>
      </c>
      <c r="I100" s="14" t="s">
        <v>548</v>
      </c>
      <c r="J100" s="22" t="s">
        <v>549</v>
      </c>
      <c r="K100" s="9">
        <v>3</v>
      </c>
      <c r="L100" s="15"/>
      <c r="M100" s="16" t="s">
        <v>74</v>
      </c>
      <c r="N100" s="14"/>
      <c r="O100" s="15" t="s">
        <v>65</v>
      </c>
      <c r="P100" s="22" t="s">
        <v>550</v>
      </c>
      <c r="Q100" s="15"/>
      <c r="R100" s="17" t="s">
        <v>74</v>
      </c>
      <c r="S100" s="18"/>
      <c r="T100" s="22" t="str">
        <f>IF(R100="維持",J100,IF(R100="排除","無關新聞事件",IFERROR(INDEX(事件規則!$B$2:$B$53,MATCH(S100,事件規則!$A$2:$A$53,0)),"")))</f>
        <v>無關新聞事件</v>
      </c>
      <c r="U100" s="9">
        <f>IF(R100="維持",K100,IF(R100="排除",0,IFERROR(INDEX(事件規則!$C$2:$C$53,MATCH(S100,事件規則!$A$2:$A$53,0)),"")))</f>
        <v>0</v>
      </c>
      <c r="V100" s="19"/>
      <c r="W100" s="20"/>
      <c r="X100" s="10" t="str">
        <f t="shared" si="1"/>
        <v/>
      </c>
      <c r="Y100" s="19"/>
      <c r="Z100" s="20"/>
      <c r="AA100" s="12" t="s">
        <v>580</v>
      </c>
      <c r="AB100" s="23"/>
    </row>
    <row r="101" spans="1:28" ht="38.25">
      <c r="A101" s="15">
        <v>100</v>
      </c>
      <c r="B101" s="9" t="s">
        <v>581</v>
      </c>
      <c r="C101" s="9" t="s">
        <v>582</v>
      </c>
      <c r="D101" s="10" t="s">
        <v>583</v>
      </c>
      <c r="E101" s="21" t="s">
        <v>584</v>
      </c>
      <c r="F101" s="22"/>
      <c r="G101" s="12" t="s">
        <v>299</v>
      </c>
      <c r="H101" s="13">
        <v>-0.94799999999999995</v>
      </c>
      <c r="I101" s="14" t="s">
        <v>548</v>
      </c>
      <c r="J101" s="22" t="s">
        <v>549</v>
      </c>
      <c r="K101" s="9">
        <v>3</v>
      </c>
      <c r="L101" s="15"/>
      <c r="M101" s="16" t="s">
        <v>54</v>
      </c>
      <c r="N101" s="14"/>
      <c r="O101" s="15" t="s">
        <v>65</v>
      </c>
      <c r="P101" s="10" t="s">
        <v>585</v>
      </c>
      <c r="Q101" s="15"/>
      <c r="R101" s="17" t="s">
        <v>54</v>
      </c>
      <c r="S101" s="18"/>
      <c r="T101" s="22" t="str">
        <f>IF(R101="維持",J101,IF(R101="排除","無關新聞事件",IFERROR(INDEX(事件規則!$B$2:$B$53,MATCH(S101,事件規則!$A$2:$A$53,0)),"")))</f>
        <v>營運惡化</v>
      </c>
      <c r="U101" s="9">
        <f>IF(R101="維持",K101,IF(R101="排除",0,IFERROR(INDEX(事件規則!$C$2:$C$53,MATCH(S101,事件規則!$A$2:$A$53,0)),"")))</f>
        <v>3</v>
      </c>
      <c r="V101" s="19"/>
      <c r="W101" s="20"/>
      <c r="X101" s="10" t="str">
        <f t="shared" si="1"/>
        <v/>
      </c>
      <c r="Y101" s="19"/>
      <c r="Z101" s="20"/>
      <c r="AA101" s="12" t="s">
        <v>586</v>
      </c>
      <c r="AB101" s="23"/>
    </row>
    <row r="102" spans="1:28" ht="25.5">
      <c r="A102" s="15">
        <v>101</v>
      </c>
      <c r="B102" s="9" t="s">
        <v>581</v>
      </c>
      <c r="C102" s="9" t="s">
        <v>587</v>
      </c>
      <c r="D102" s="10" t="s">
        <v>588</v>
      </c>
      <c r="E102" s="21" t="s">
        <v>589</v>
      </c>
      <c r="F102" s="22"/>
      <c r="G102" s="12" t="s">
        <v>299</v>
      </c>
      <c r="H102" s="13">
        <v>0.14899999999999999</v>
      </c>
      <c r="I102" s="14" t="s">
        <v>548</v>
      </c>
      <c r="J102" s="22" t="s">
        <v>549</v>
      </c>
      <c r="K102" s="9">
        <v>3</v>
      </c>
      <c r="L102" s="15"/>
      <c r="M102" s="16" t="s">
        <v>74</v>
      </c>
      <c r="N102" s="14"/>
      <c r="O102" s="15" t="s">
        <v>65</v>
      </c>
      <c r="P102" s="22" t="s">
        <v>550</v>
      </c>
      <c r="Q102" s="15"/>
      <c r="R102" s="17" t="s">
        <v>74</v>
      </c>
      <c r="S102" s="18"/>
      <c r="T102" s="22" t="str">
        <f>IF(R102="維持",J102,IF(R102="排除","無關新聞事件",IFERROR(INDEX(事件規則!$B$2:$B$53,MATCH(S102,事件規則!$A$2:$A$53,0)),"")))</f>
        <v>無關新聞事件</v>
      </c>
      <c r="U102" s="9">
        <f>IF(R102="維持",K102,IF(R102="排除",0,IFERROR(INDEX(事件規則!$C$2:$C$53,MATCH(S102,事件規則!$A$2:$A$53,0)),"")))</f>
        <v>0</v>
      </c>
      <c r="V102" s="19"/>
      <c r="W102" s="20"/>
      <c r="X102" s="10" t="str">
        <f t="shared" si="1"/>
        <v/>
      </c>
      <c r="Y102" s="19"/>
      <c r="Z102" s="20"/>
      <c r="AA102" s="12" t="s">
        <v>590</v>
      </c>
      <c r="AB102" s="23"/>
    </row>
    <row r="103" spans="1:28" ht="38.25">
      <c r="A103" s="15">
        <v>102</v>
      </c>
      <c r="B103" s="9" t="s">
        <v>591</v>
      </c>
      <c r="C103" s="9" t="s">
        <v>572</v>
      </c>
      <c r="D103" s="10" t="s">
        <v>573</v>
      </c>
      <c r="E103" s="21" t="s">
        <v>592</v>
      </c>
      <c r="F103" s="22"/>
      <c r="G103" s="12" t="s">
        <v>338</v>
      </c>
      <c r="H103" s="13">
        <v>-0.96199999999999997</v>
      </c>
      <c r="I103" s="14" t="s">
        <v>548</v>
      </c>
      <c r="J103" s="22" t="s">
        <v>549</v>
      </c>
      <c r="K103" s="9">
        <v>3</v>
      </c>
      <c r="L103" s="15"/>
      <c r="M103" s="16" t="s">
        <v>54</v>
      </c>
      <c r="N103" s="14"/>
      <c r="O103" s="15" t="s">
        <v>65</v>
      </c>
      <c r="P103" s="10" t="s">
        <v>593</v>
      </c>
      <c r="Q103" s="15"/>
      <c r="R103" s="17" t="s">
        <v>54</v>
      </c>
      <c r="S103" s="18"/>
      <c r="T103" s="22" t="str">
        <f>IF(R103="維持",J103,IF(R103="排除","無關新聞事件",IFERROR(INDEX(事件規則!$B$2:$B$53,MATCH(S103,事件規則!$A$2:$A$53,0)),"")))</f>
        <v>營運惡化</v>
      </c>
      <c r="U103" s="9">
        <f>IF(R103="維持",K103,IF(R103="排除",0,IFERROR(INDEX(事件規則!$C$2:$C$53,MATCH(S103,事件規則!$A$2:$A$53,0)),"")))</f>
        <v>3</v>
      </c>
      <c r="V103" s="19"/>
      <c r="W103" s="20"/>
      <c r="X103" s="10" t="str">
        <f t="shared" si="1"/>
        <v/>
      </c>
      <c r="Y103" s="19"/>
      <c r="Z103" s="20"/>
      <c r="AA103" s="12" t="s">
        <v>594</v>
      </c>
      <c r="AB103" s="23"/>
    </row>
    <row r="104" spans="1:28" ht="38.25">
      <c r="A104" s="15">
        <v>103</v>
      </c>
      <c r="B104" s="9" t="s">
        <v>134</v>
      </c>
      <c r="C104" s="9" t="s">
        <v>595</v>
      </c>
      <c r="D104" s="10" t="s">
        <v>596</v>
      </c>
      <c r="E104" s="21" t="s">
        <v>597</v>
      </c>
      <c r="F104" s="22"/>
      <c r="G104" s="12" t="s">
        <v>598</v>
      </c>
      <c r="H104" s="13">
        <v>0.93100000000000005</v>
      </c>
      <c r="I104" s="14" t="s">
        <v>548</v>
      </c>
      <c r="J104" s="22" t="s">
        <v>549</v>
      </c>
      <c r="K104" s="9">
        <v>3</v>
      </c>
      <c r="L104" s="15"/>
      <c r="M104" s="16" t="s">
        <v>54</v>
      </c>
      <c r="N104" s="14"/>
      <c r="O104" s="15" t="s">
        <v>65</v>
      </c>
      <c r="P104" s="10" t="s">
        <v>599</v>
      </c>
      <c r="Q104" s="15"/>
      <c r="R104" s="17" t="s">
        <v>54</v>
      </c>
      <c r="S104" s="18"/>
      <c r="T104" s="22" t="str">
        <f>IF(R104="維持",J104,IF(R104="排除","無關新聞事件",IFERROR(INDEX(事件規則!$B$2:$B$53,MATCH(S104,事件規則!$A$2:$A$53,0)),"")))</f>
        <v>營運惡化</v>
      </c>
      <c r="U104" s="9">
        <f>IF(R104="維持",K104,IF(R104="排除",0,IFERROR(INDEX(事件規則!$C$2:$C$53,MATCH(S104,事件規則!$A$2:$A$53,0)),"")))</f>
        <v>3</v>
      </c>
      <c r="V104" s="19"/>
      <c r="W104" s="20"/>
      <c r="X104" s="10" t="str">
        <f t="shared" si="1"/>
        <v/>
      </c>
      <c r="Y104" s="19"/>
      <c r="Z104" s="20"/>
      <c r="AA104" s="12" t="s">
        <v>600</v>
      </c>
      <c r="AB104" s="23"/>
    </row>
    <row r="105" spans="1:28" ht="25.5">
      <c r="A105" s="15">
        <v>104</v>
      </c>
      <c r="B105" s="9" t="s">
        <v>134</v>
      </c>
      <c r="C105" s="9" t="s">
        <v>572</v>
      </c>
      <c r="D105" s="10" t="s">
        <v>573</v>
      </c>
      <c r="E105" s="21" t="s">
        <v>601</v>
      </c>
      <c r="F105" s="22"/>
      <c r="G105" s="12" t="s">
        <v>338</v>
      </c>
      <c r="H105" s="13">
        <v>-0.94699999999999995</v>
      </c>
      <c r="I105" s="14" t="s">
        <v>548</v>
      </c>
      <c r="J105" s="22" t="s">
        <v>549</v>
      </c>
      <c r="K105" s="9">
        <v>3</v>
      </c>
      <c r="L105" s="15"/>
      <c r="M105" s="16" t="s">
        <v>54</v>
      </c>
      <c r="N105" s="14"/>
      <c r="O105" s="15" t="s">
        <v>65</v>
      </c>
      <c r="P105" s="10" t="s">
        <v>593</v>
      </c>
      <c r="Q105" s="15"/>
      <c r="R105" s="17" t="s">
        <v>54</v>
      </c>
      <c r="S105" s="18"/>
      <c r="T105" s="22" t="str">
        <f>IF(R105="維持",J105,IF(R105="排除","無關新聞事件",IFERROR(INDEX(事件規則!$B$2:$B$53,MATCH(S105,事件規則!$A$2:$A$53,0)),"")))</f>
        <v>營運惡化</v>
      </c>
      <c r="U105" s="9">
        <f>IF(R105="維持",K105,IF(R105="排除",0,IFERROR(INDEX(事件規則!$C$2:$C$53,MATCH(S105,事件規則!$A$2:$A$53,0)),"")))</f>
        <v>3</v>
      </c>
      <c r="V105" s="19"/>
      <c r="W105" s="20"/>
      <c r="X105" s="10" t="str">
        <f t="shared" si="1"/>
        <v/>
      </c>
      <c r="Y105" s="19"/>
      <c r="Z105" s="20"/>
      <c r="AA105" s="12" t="s">
        <v>602</v>
      </c>
      <c r="AB105" s="23"/>
    </row>
    <row r="106" spans="1:28" ht="25.5">
      <c r="A106" s="15">
        <v>105</v>
      </c>
      <c r="B106" s="9" t="s">
        <v>603</v>
      </c>
      <c r="C106" s="9" t="s">
        <v>410</v>
      </c>
      <c r="D106" s="10" t="s">
        <v>411</v>
      </c>
      <c r="E106" s="21" t="s">
        <v>604</v>
      </c>
      <c r="F106" s="22"/>
      <c r="G106" s="12" t="s">
        <v>299</v>
      </c>
      <c r="H106" s="13">
        <v>0.127</v>
      </c>
      <c r="I106" s="14" t="s">
        <v>548</v>
      </c>
      <c r="J106" s="22" t="s">
        <v>549</v>
      </c>
      <c r="K106" s="9">
        <v>3</v>
      </c>
      <c r="L106" s="15"/>
      <c r="M106" s="16" t="s">
        <v>74</v>
      </c>
      <c r="N106" s="14"/>
      <c r="O106" s="15" t="s">
        <v>65</v>
      </c>
      <c r="P106" s="22" t="s">
        <v>550</v>
      </c>
      <c r="Q106" s="15"/>
      <c r="R106" s="17" t="s">
        <v>74</v>
      </c>
      <c r="S106" s="18"/>
      <c r="T106" s="22" t="str">
        <f>IF(R106="維持",J106,IF(R106="排除","無關新聞事件",IFERROR(INDEX(事件規則!$B$2:$B$53,MATCH(S106,事件規則!$A$2:$A$53,0)),"")))</f>
        <v>無關新聞事件</v>
      </c>
      <c r="U106" s="9">
        <f>IF(R106="維持",K106,IF(R106="排除",0,IFERROR(INDEX(事件規則!$C$2:$C$53,MATCH(S106,事件規則!$A$2:$A$53,0)),"")))</f>
        <v>0</v>
      </c>
      <c r="V106" s="19"/>
      <c r="W106" s="20"/>
      <c r="X106" s="10" t="str">
        <f t="shared" si="1"/>
        <v/>
      </c>
      <c r="Y106" s="19"/>
      <c r="Z106" s="20"/>
      <c r="AA106" s="12" t="s">
        <v>605</v>
      </c>
      <c r="AB106" s="23"/>
    </row>
    <row r="107" spans="1:28" ht="38.25">
      <c r="A107" s="15">
        <v>106</v>
      </c>
      <c r="B107" s="9" t="s">
        <v>414</v>
      </c>
      <c r="C107" s="9" t="s">
        <v>168</v>
      </c>
      <c r="D107" s="10" t="s">
        <v>169</v>
      </c>
      <c r="E107" s="21" t="s">
        <v>606</v>
      </c>
      <c r="F107" s="22"/>
      <c r="G107" s="12" t="s">
        <v>299</v>
      </c>
      <c r="H107" s="13">
        <v>-0.90800000000000003</v>
      </c>
      <c r="I107" s="14" t="s">
        <v>548</v>
      </c>
      <c r="J107" s="22" t="s">
        <v>549</v>
      </c>
      <c r="K107" s="9">
        <v>3</v>
      </c>
      <c r="L107" s="15"/>
      <c r="M107" s="16" t="s">
        <v>54</v>
      </c>
      <c r="N107" s="14"/>
      <c r="O107" s="15" t="s">
        <v>65</v>
      </c>
      <c r="P107" s="10" t="s">
        <v>607</v>
      </c>
      <c r="Q107" s="15"/>
      <c r="R107" s="17" t="s">
        <v>54</v>
      </c>
      <c r="S107" s="18"/>
      <c r="T107" s="22" t="str">
        <f>IF(R107="維持",J107,IF(R107="排除","無關新聞事件",IFERROR(INDEX(事件規則!$B$2:$B$53,MATCH(S107,事件規則!$A$2:$A$53,0)),"")))</f>
        <v>營運惡化</v>
      </c>
      <c r="U107" s="9">
        <f>IF(R107="維持",K107,IF(R107="排除",0,IFERROR(INDEX(事件規則!$C$2:$C$53,MATCH(S107,事件規則!$A$2:$A$53,0)),"")))</f>
        <v>3</v>
      </c>
      <c r="V107" s="19"/>
      <c r="W107" s="20"/>
      <c r="X107" s="10" t="str">
        <f t="shared" si="1"/>
        <v/>
      </c>
      <c r="Y107" s="19"/>
      <c r="Z107" s="20"/>
      <c r="AA107" s="12" t="s">
        <v>608</v>
      </c>
      <c r="AB107" s="23"/>
    </row>
    <row r="108" spans="1:28" ht="25.5">
      <c r="A108" s="15">
        <v>107</v>
      </c>
      <c r="B108" s="9" t="s">
        <v>414</v>
      </c>
      <c r="C108" s="9" t="s">
        <v>609</v>
      </c>
      <c r="D108" s="10" t="s">
        <v>610</v>
      </c>
      <c r="E108" s="21" t="s">
        <v>611</v>
      </c>
      <c r="F108" s="22"/>
      <c r="G108" s="12" t="s">
        <v>299</v>
      </c>
      <c r="H108" s="13">
        <v>0.19700000000000001</v>
      </c>
      <c r="I108" s="14" t="s">
        <v>548</v>
      </c>
      <c r="J108" s="22" t="s">
        <v>549</v>
      </c>
      <c r="K108" s="9">
        <v>3</v>
      </c>
      <c r="L108" s="15"/>
      <c r="M108" s="16" t="s">
        <v>74</v>
      </c>
      <c r="N108" s="14"/>
      <c r="O108" s="15" t="s">
        <v>65</v>
      </c>
      <c r="P108" s="22" t="s">
        <v>550</v>
      </c>
      <c r="Q108" s="15"/>
      <c r="R108" s="17" t="s">
        <v>74</v>
      </c>
      <c r="S108" s="18"/>
      <c r="T108" s="22" t="str">
        <f>IF(R108="維持",J108,IF(R108="排除","無關新聞事件",IFERROR(INDEX(事件規則!$B$2:$B$53,MATCH(S108,事件規則!$A$2:$A$53,0)),"")))</f>
        <v>無關新聞事件</v>
      </c>
      <c r="U108" s="9">
        <f>IF(R108="維持",K108,IF(R108="排除",0,IFERROR(INDEX(事件規則!$C$2:$C$53,MATCH(S108,事件規則!$A$2:$A$53,0)),"")))</f>
        <v>0</v>
      </c>
      <c r="V108" s="19"/>
      <c r="W108" s="20"/>
      <c r="X108" s="10" t="str">
        <f t="shared" si="1"/>
        <v/>
      </c>
      <c r="Y108" s="19"/>
      <c r="Z108" s="20"/>
      <c r="AA108" s="12" t="s">
        <v>612</v>
      </c>
      <c r="AB108" s="23"/>
    </row>
    <row r="109" spans="1:28" ht="25.5">
      <c r="A109" s="15">
        <v>108</v>
      </c>
      <c r="B109" s="9" t="s">
        <v>236</v>
      </c>
      <c r="C109" s="9" t="s">
        <v>613</v>
      </c>
      <c r="D109" s="10" t="s">
        <v>614</v>
      </c>
      <c r="E109" s="21" t="s">
        <v>615</v>
      </c>
      <c r="F109" s="22"/>
      <c r="G109" s="12" t="s">
        <v>299</v>
      </c>
      <c r="H109" s="13">
        <v>-0.59299999999999997</v>
      </c>
      <c r="I109" s="14" t="s">
        <v>548</v>
      </c>
      <c r="J109" s="22" t="s">
        <v>549</v>
      </c>
      <c r="K109" s="9">
        <v>3</v>
      </c>
      <c r="L109" s="15"/>
      <c r="M109" s="16" t="s">
        <v>74</v>
      </c>
      <c r="N109" s="14"/>
      <c r="O109" s="15" t="s">
        <v>65</v>
      </c>
      <c r="P109" s="22" t="s">
        <v>550</v>
      </c>
      <c r="Q109" s="15"/>
      <c r="R109" s="17" t="s">
        <v>74</v>
      </c>
      <c r="S109" s="18"/>
      <c r="T109" s="22" t="str">
        <f>IF(R109="維持",J109,IF(R109="排除","無關新聞事件",IFERROR(INDEX(事件規則!$B$2:$B$53,MATCH(S109,事件規則!$A$2:$A$53,0)),"")))</f>
        <v>無關新聞事件</v>
      </c>
      <c r="U109" s="9">
        <f>IF(R109="維持",K109,IF(R109="排除",0,IFERROR(INDEX(事件規則!$C$2:$C$53,MATCH(S109,事件規則!$A$2:$A$53,0)),"")))</f>
        <v>0</v>
      </c>
      <c r="V109" s="19"/>
      <c r="W109" s="20"/>
      <c r="X109" s="10" t="str">
        <f t="shared" si="1"/>
        <v/>
      </c>
      <c r="Y109" s="19"/>
      <c r="Z109" s="20"/>
      <c r="AA109" s="12" t="s">
        <v>616</v>
      </c>
      <c r="AB109" s="23"/>
    </row>
    <row r="110" spans="1:28" ht="38.25">
      <c r="A110" s="15">
        <v>109</v>
      </c>
      <c r="B110" s="9" t="s">
        <v>236</v>
      </c>
      <c r="C110" s="9" t="s">
        <v>168</v>
      </c>
      <c r="D110" s="10" t="s">
        <v>169</v>
      </c>
      <c r="E110" s="21" t="s">
        <v>617</v>
      </c>
      <c r="F110" s="22"/>
      <c r="G110" s="12" t="s">
        <v>543</v>
      </c>
      <c r="H110" s="13">
        <v>0.81599999999999995</v>
      </c>
      <c r="I110" s="14" t="s">
        <v>548</v>
      </c>
      <c r="J110" s="22" t="s">
        <v>549</v>
      </c>
      <c r="K110" s="9">
        <v>3</v>
      </c>
      <c r="L110" s="15"/>
      <c r="M110" s="16" t="s">
        <v>74</v>
      </c>
      <c r="N110" s="14"/>
      <c r="O110" s="15" t="s">
        <v>65</v>
      </c>
      <c r="P110" s="22" t="s">
        <v>550</v>
      </c>
      <c r="Q110" s="15"/>
      <c r="R110" s="17" t="s">
        <v>74</v>
      </c>
      <c r="S110" s="18"/>
      <c r="T110" s="22" t="str">
        <f>IF(R110="維持",J110,IF(R110="排除","無關新聞事件",IFERROR(INDEX(事件規則!$B$2:$B$53,MATCH(S110,事件規則!$A$2:$A$53,0)),"")))</f>
        <v>無關新聞事件</v>
      </c>
      <c r="U110" s="9">
        <f>IF(R110="維持",K110,IF(R110="排除",0,IFERROR(INDEX(事件規則!$C$2:$C$53,MATCH(S110,事件規則!$A$2:$A$53,0)),"")))</f>
        <v>0</v>
      </c>
      <c r="V110" s="19"/>
      <c r="W110" s="20"/>
      <c r="X110" s="10" t="str">
        <f t="shared" si="1"/>
        <v/>
      </c>
      <c r="Y110" s="19"/>
      <c r="Z110" s="20"/>
      <c r="AA110" s="12" t="s">
        <v>618</v>
      </c>
      <c r="AB110" s="23"/>
    </row>
    <row r="111" spans="1:28" ht="25.5">
      <c r="A111" s="15">
        <v>110</v>
      </c>
      <c r="B111" s="9" t="s">
        <v>241</v>
      </c>
      <c r="C111" s="9" t="s">
        <v>301</v>
      </c>
      <c r="D111" s="10" t="s">
        <v>302</v>
      </c>
      <c r="E111" s="21" t="s">
        <v>619</v>
      </c>
      <c r="F111" s="22"/>
      <c r="G111" s="12" t="s">
        <v>299</v>
      </c>
      <c r="H111" s="13">
        <v>-0.93500000000000005</v>
      </c>
      <c r="I111" s="14" t="s">
        <v>548</v>
      </c>
      <c r="J111" s="22" t="s">
        <v>549</v>
      </c>
      <c r="K111" s="9">
        <v>3</v>
      </c>
      <c r="L111" s="15"/>
      <c r="M111" s="16" t="s">
        <v>74</v>
      </c>
      <c r="N111" s="14"/>
      <c r="O111" s="15" t="s">
        <v>65</v>
      </c>
      <c r="P111" s="22" t="s">
        <v>550</v>
      </c>
      <c r="Q111" s="15"/>
      <c r="R111" s="17" t="s">
        <v>74</v>
      </c>
      <c r="S111" s="18"/>
      <c r="T111" s="22" t="str">
        <f>IF(R111="維持",J111,IF(R111="排除","無關新聞事件",IFERROR(INDEX(事件規則!$B$2:$B$53,MATCH(S111,事件規則!$A$2:$A$53,0)),"")))</f>
        <v>無關新聞事件</v>
      </c>
      <c r="U111" s="9">
        <f>IF(R111="維持",K111,IF(R111="排除",0,IFERROR(INDEX(事件規則!$C$2:$C$53,MATCH(S111,事件規則!$A$2:$A$53,0)),"")))</f>
        <v>0</v>
      </c>
      <c r="V111" s="19"/>
      <c r="W111" s="20"/>
      <c r="X111" s="10" t="str">
        <f t="shared" si="1"/>
        <v/>
      </c>
      <c r="Y111" s="19"/>
      <c r="Z111" s="20"/>
      <c r="AA111" s="12" t="s">
        <v>620</v>
      </c>
      <c r="AB111" s="23"/>
    </row>
    <row r="112" spans="1:28" ht="25.5">
      <c r="A112" s="15">
        <v>111</v>
      </c>
      <c r="B112" s="9" t="s">
        <v>429</v>
      </c>
      <c r="C112" s="9" t="s">
        <v>621</v>
      </c>
      <c r="D112" s="10" t="s">
        <v>622</v>
      </c>
      <c r="E112" s="21" t="s">
        <v>623</v>
      </c>
      <c r="F112" s="22"/>
      <c r="G112" s="12" t="s">
        <v>299</v>
      </c>
      <c r="H112" s="13">
        <v>0.53100000000000003</v>
      </c>
      <c r="I112" s="14" t="s">
        <v>548</v>
      </c>
      <c r="J112" s="22" t="s">
        <v>549</v>
      </c>
      <c r="K112" s="9">
        <v>3</v>
      </c>
      <c r="L112" s="15"/>
      <c r="M112" s="16" t="s">
        <v>74</v>
      </c>
      <c r="N112" s="14"/>
      <c r="O112" s="15" t="s">
        <v>65</v>
      </c>
      <c r="P112" s="22" t="s">
        <v>624</v>
      </c>
      <c r="Q112" s="15"/>
      <c r="R112" s="17" t="s">
        <v>74</v>
      </c>
      <c r="S112" s="18"/>
      <c r="T112" s="22" t="str">
        <f>IF(R112="維持",J112,IF(R112="排除","無關新聞事件",IFERROR(INDEX(事件規則!$B$2:$B$53,MATCH(S112,事件規則!$A$2:$A$53,0)),"")))</f>
        <v>無關新聞事件</v>
      </c>
      <c r="U112" s="9">
        <f>IF(R112="維持",K112,IF(R112="排除",0,IFERROR(INDEX(事件規則!$C$2:$C$53,MATCH(S112,事件規則!$A$2:$A$53,0)),"")))</f>
        <v>0</v>
      </c>
      <c r="V112" s="19"/>
      <c r="W112" s="20"/>
      <c r="X112" s="10" t="str">
        <f t="shared" si="1"/>
        <v/>
      </c>
      <c r="Y112" s="19"/>
      <c r="Z112" s="20"/>
      <c r="AA112" s="12" t="s">
        <v>625</v>
      </c>
      <c r="AB112" s="23"/>
    </row>
    <row r="113" spans="1:28" ht="38.25">
      <c r="A113" s="15">
        <v>112</v>
      </c>
      <c r="B113" s="9" t="s">
        <v>262</v>
      </c>
      <c r="C113" s="9" t="s">
        <v>626</v>
      </c>
      <c r="D113" s="10" t="s">
        <v>627</v>
      </c>
      <c r="E113" s="21" t="s">
        <v>628</v>
      </c>
      <c r="F113" s="22"/>
      <c r="G113" s="12" t="s">
        <v>305</v>
      </c>
      <c r="H113" s="13">
        <v>-0.55700000000000005</v>
      </c>
      <c r="I113" s="14" t="s">
        <v>548</v>
      </c>
      <c r="J113" s="22" t="s">
        <v>549</v>
      </c>
      <c r="K113" s="9">
        <v>3</v>
      </c>
      <c r="L113" s="15"/>
      <c r="M113" s="16" t="s">
        <v>54</v>
      </c>
      <c r="N113" s="14"/>
      <c r="O113" s="15" t="s">
        <v>65</v>
      </c>
      <c r="P113" s="10" t="s">
        <v>629</v>
      </c>
      <c r="Q113" s="15"/>
      <c r="R113" s="17" t="s">
        <v>54</v>
      </c>
      <c r="S113" s="18"/>
      <c r="T113" s="22" t="str">
        <f>IF(R113="維持",J113,IF(R113="排除","無關新聞事件",IFERROR(INDEX(事件規則!$B$2:$B$53,MATCH(S113,事件規則!$A$2:$A$53,0)),"")))</f>
        <v>營運惡化</v>
      </c>
      <c r="U113" s="9">
        <f>IF(R113="維持",K113,IF(R113="排除",0,IFERROR(INDEX(事件規則!$C$2:$C$53,MATCH(S113,事件規則!$A$2:$A$53,0)),"")))</f>
        <v>3</v>
      </c>
      <c r="V113" s="19"/>
      <c r="W113" s="20"/>
      <c r="X113" s="10" t="str">
        <f t="shared" si="1"/>
        <v/>
      </c>
      <c r="Y113" s="19"/>
      <c r="Z113" s="20"/>
      <c r="AA113" s="12" t="s">
        <v>630</v>
      </c>
      <c r="AB113" s="23"/>
    </row>
    <row r="114" spans="1:28" ht="38.25">
      <c r="A114" s="15">
        <v>113</v>
      </c>
      <c r="B114" s="9" t="s">
        <v>145</v>
      </c>
      <c r="C114" s="9" t="s">
        <v>631</v>
      </c>
      <c r="D114" s="10" t="s">
        <v>632</v>
      </c>
      <c r="E114" s="21" t="s">
        <v>633</v>
      </c>
      <c r="F114" s="22"/>
      <c r="G114" s="12" t="s">
        <v>299</v>
      </c>
      <c r="H114" s="13">
        <v>0.85299999999999998</v>
      </c>
      <c r="I114" s="14" t="s">
        <v>548</v>
      </c>
      <c r="J114" s="22" t="s">
        <v>549</v>
      </c>
      <c r="K114" s="9">
        <v>3</v>
      </c>
      <c r="L114" s="15"/>
      <c r="M114" s="16" t="s">
        <v>54</v>
      </c>
      <c r="N114" s="14"/>
      <c r="O114" s="15" t="s">
        <v>65</v>
      </c>
      <c r="P114" s="10" t="s">
        <v>634</v>
      </c>
      <c r="Q114" s="15"/>
      <c r="R114" s="17" t="s">
        <v>54</v>
      </c>
      <c r="S114" s="18"/>
      <c r="T114" s="22" t="str">
        <f>IF(R114="維持",J114,IF(R114="排除","無關新聞事件",IFERROR(INDEX(事件規則!$B$2:$B$53,MATCH(S114,事件規則!$A$2:$A$53,0)),"")))</f>
        <v>營運惡化</v>
      </c>
      <c r="U114" s="9">
        <f>IF(R114="維持",K114,IF(R114="排除",0,IFERROR(INDEX(事件規則!$C$2:$C$53,MATCH(S114,事件規則!$A$2:$A$53,0)),"")))</f>
        <v>3</v>
      </c>
      <c r="V114" s="19"/>
      <c r="W114" s="20"/>
      <c r="X114" s="10" t="str">
        <f t="shared" si="1"/>
        <v/>
      </c>
      <c r="Y114" s="19"/>
      <c r="Z114" s="20"/>
      <c r="AA114" s="12" t="s">
        <v>635</v>
      </c>
      <c r="AB114" s="23"/>
    </row>
    <row r="115" spans="1:28" ht="25.5">
      <c r="A115" s="15">
        <v>114</v>
      </c>
      <c r="B115" s="9" t="s">
        <v>269</v>
      </c>
      <c r="C115" s="9" t="s">
        <v>636</v>
      </c>
      <c r="D115" s="10" t="s">
        <v>637</v>
      </c>
      <c r="E115" s="21" t="s">
        <v>638</v>
      </c>
      <c r="F115" s="22" t="s">
        <v>639</v>
      </c>
      <c r="G115" s="12" t="s">
        <v>640</v>
      </c>
      <c r="H115" s="13">
        <v>-0.94299999999999995</v>
      </c>
      <c r="I115" s="14" t="s">
        <v>548</v>
      </c>
      <c r="J115" s="22" t="s">
        <v>549</v>
      </c>
      <c r="K115" s="9">
        <v>3</v>
      </c>
      <c r="L115" s="15"/>
      <c r="M115" s="16" t="s">
        <v>74</v>
      </c>
      <c r="N115" s="14"/>
      <c r="O115" s="15" t="s">
        <v>65</v>
      </c>
      <c r="P115" s="22" t="s">
        <v>624</v>
      </c>
      <c r="Q115" s="15"/>
      <c r="R115" s="17" t="s">
        <v>74</v>
      </c>
      <c r="S115" s="18"/>
      <c r="T115" s="22" t="str">
        <f>IF(R115="維持",J115,IF(R115="排除","無關新聞事件",IFERROR(INDEX(事件規則!$B$2:$B$53,MATCH(S115,事件規則!$A$2:$A$53,0)),"")))</f>
        <v>無關新聞事件</v>
      </c>
      <c r="U115" s="9">
        <f>IF(R115="維持",K115,IF(R115="排除",0,IFERROR(INDEX(事件規則!$C$2:$C$53,MATCH(S115,事件規則!$A$2:$A$53,0)),"")))</f>
        <v>0</v>
      </c>
      <c r="V115" s="19"/>
      <c r="W115" s="20"/>
      <c r="X115" s="10" t="str">
        <f t="shared" si="1"/>
        <v/>
      </c>
      <c r="Y115" s="19"/>
      <c r="Z115" s="20"/>
      <c r="AA115" s="12" t="s">
        <v>641</v>
      </c>
      <c r="AB115" s="23"/>
    </row>
    <row r="116" spans="1:28" ht="25.5">
      <c r="A116" s="15">
        <v>115</v>
      </c>
      <c r="B116" s="9" t="s">
        <v>269</v>
      </c>
      <c r="C116" s="9" t="s">
        <v>642</v>
      </c>
      <c r="D116" s="10" t="s">
        <v>643</v>
      </c>
      <c r="E116" s="21" t="s">
        <v>644</v>
      </c>
      <c r="F116" s="22" t="s">
        <v>645</v>
      </c>
      <c r="G116" s="12" t="s">
        <v>646</v>
      </c>
      <c r="H116" s="13">
        <v>-0.96699999999999997</v>
      </c>
      <c r="I116" s="14" t="s">
        <v>548</v>
      </c>
      <c r="J116" s="22" t="s">
        <v>549</v>
      </c>
      <c r="K116" s="9">
        <v>3</v>
      </c>
      <c r="L116" s="15"/>
      <c r="M116" s="16" t="s">
        <v>54</v>
      </c>
      <c r="N116" s="14"/>
      <c r="O116" s="15" t="s">
        <v>55</v>
      </c>
      <c r="P116" s="10" t="s">
        <v>647</v>
      </c>
      <c r="Q116" s="15"/>
      <c r="R116" s="17" t="s">
        <v>54</v>
      </c>
      <c r="S116" s="18"/>
      <c r="T116" s="22" t="str">
        <f>IF(R116="維持",J116,IF(R116="排除","無關新聞事件",IFERROR(INDEX(事件規則!$B$2:$B$53,MATCH(S116,事件規則!$A$2:$A$53,0)),"")))</f>
        <v>營運惡化</v>
      </c>
      <c r="U116" s="9">
        <f>IF(R116="維持",K116,IF(R116="排除",0,IFERROR(INDEX(事件規則!$C$2:$C$53,MATCH(S116,事件規則!$A$2:$A$53,0)),"")))</f>
        <v>3</v>
      </c>
      <c r="V116" s="19"/>
      <c r="W116" s="20"/>
      <c r="X116" s="10" t="str">
        <f t="shared" si="1"/>
        <v/>
      </c>
      <c r="Y116" s="19"/>
      <c r="Z116" s="20"/>
      <c r="AA116" s="12" t="s">
        <v>648</v>
      </c>
      <c r="AB116" s="23"/>
    </row>
    <row r="117" spans="1:28" ht="25.5">
      <c r="A117" s="15">
        <v>116</v>
      </c>
      <c r="B117" s="9" t="s">
        <v>459</v>
      </c>
      <c r="C117" s="9" t="s">
        <v>508</v>
      </c>
      <c r="D117" s="10" t="s">
        <v>509</v>
      </c>
      <c r="E117" s="21" t="s">
        <v>649</v>
      </c>
      <c r="F117" s="10" t="s">
        <v>650</v>
      </c>
      <c r="G117" s="12" t="s">
        <v>299</v>
      </c>
      <c r="H117" s="13">
        <v>-0.96099999999999997</v>
      </c>
      <c r="I117" s="14" t="s">
        <v>548</v>
      </c>
      <c r="J117" s="22" t="s">
        <v>549</v>
      </c>
      <c r="K117" s="9">
        <v>3</v>
      </c>
      <c r="L117" s="15"/>
      <c r="M117" s="16" t="s">
        <v>54</v>
      </c>
      <c r="N117" s="14"/>
      <c r="O117" s="15" t="s">
        <v>65</v>
      </c>
      <c r="P117" s="10" t="s">
        <v>651</v>
      </c>
      <c r="Q117" s="15"/>
      <c r="R117" s="17" t="s">
        <v>54</v>
      </c>
      <c r="S117" s="18"/>
      <c r="T117" s="22" t="str">
        <f>IF(R117="維持",J117,IF(R117="排除","無關新聞事件",IFERROR(INDEX(事件規則!$B$2:$B$53,MATCH(S117,事件規則!$A$2:$A$53,0)),"")))</f>
        <v>營運惡化</v>
      </c>
      <c r="U117" s="9">
        <f>IF(R117="維持",K117,IF(R117="排除",0,IFERROR(INDEX(事件規則!$C$2:$C$53,MATCH(S117,事件規則!$A$2:$A$53,0)),"")))</f>
        <v>3</v>
      </c>
      <c r="V117" s="19"/>
      <c r="W117" s="20"/>
      <c r="X117" s="10" t="str">
        <f t="shared" si="1"/>
        <v/>
      </c>
      <c r="Y117" s="19"/>
      <c r="Z117" s="20"/>
      <c r="AA117" s="12" t="s">
        <v>652</v>
      </c>
      <c r="AB117" s="23"/>
    </row>
    <row r="118" spans="1:28" ht="25.5">
      <c r="A118" s="15">
        <v>117</v>
      </c>
      <c r="B118" s="9" t="s">
        <v>459</v>
      </c>
      <c r="C118" s="9" t="s">
        <v>653</v>
      </c>
      <c r="D118" s="10" t="s">
        <v>654</v>
      </c>
      <c r="E118" s="21" t="s">
        <v>655</v>
      </c>
      <c r="F118" s="22" t="s">
        <v>656</v>
      </c>
      <c r="G118" s="12" t="s">
        <v>657</v>
      </c>
      <c r="H118" s="13">
        <v>0.90800000000000003</v>
      </c>
      <c r="I118" s="14" t="s">
        <v>548</v>
      </c>
      <c r="J118" s="22" t="s">
        <v>549</v>
      </c>
      <c r="K118" s="9">
        <v>3</v>
      </c>
      <c r="L118" s="15"/>
      <c r="M118" s="16" t="s">
        <v>74</v>
      </c>
      <c r="N118" s="14"/>
      <c r="O118" s="15" t="s">
        <v>65</v>
      </c>
      <c r="P118" s="22" t="s">
        <v>624</v>
      </c>
      <c r="Q118" s="15"/>
      <c r="R118" s="17" t="s">
        <v>74</v>
      </c>
      <c r="S118" s="18"/>
      <c r="T118" s="22" t="str">
        <f>IF(R118="維持",J118,IF(R118="排除","無關新聞事件",IFERROR(INDEX(事件規則!$B$2:$B$53,MATCH(S118,事件規則!$A$2:$A$53,0)),"")))</f>
        <v>無關新聞事件</v>
      </c>
      <c r="U118" s="9">
        <f>IF(R118="維持",K118,IF(R118="排除",0,IFERROR(INDEX(事件規則!$C$2:$C$53,MATCH(S118,事件規則!$A$2:$A$53,0)),"")))</f>
        <v>0</v>
      </c>
      <c r="V118" s="19"/>
      <c r="W118" s="20"/>
      <c r="X118" s="10" t="str">
        <f t="shared" si="1"/>
        <v/>
      </c>
      <c r="Y118" s="19"/>
      <c r="Z118" s="20"/>
      <c r="AA118" s="12" t="s">
        <v>658</v>
      </c>
      <c r="AB118" s="23"/>
    </row>
    <row r="119" spans="1:28" ht="25.5">
      <c r="A119" s="15">
        <v>118</v>
      </c>
      <c r="B119" s="9" t="s">
        <v>429</v>
      </c>
      <c r="C119" s="9" t="s">
        <v>659</v>
      </c>
      <c r="D119" s="10" t="s">
        <v>660</v>
      </c>
      <c r="E119" s="21" t="s">
        <v>661</v>
      </c>
      <c r="F119" s="22"/>
      <c r="G119" s="12" t="s">
        <v>252</v>
      </c>
      <c r="H119" s="13">
        <v>-0.90200000000000002</v>
      </c>
      <c r="I119" s="14" t="s">
        <v>662</v>
      </c>
      <c r="J119" s="22" t="s">
        <v>663</v>
      </c>
      <c r="K119" s="9">
        <v>3</v>
      </c>
      <c r="L119" s="15"/>
      <c r="M119" s="16" t="s">
        <v>54</v>
      </c>
      <c r="N119" s="14"/>
      <c r="O119" s="15" t="s">
        <v>55</v>
      </c>
      <c r="P119" s="22" t="s">
        <v>664</v>
      </c>
      <c r="Q119" s="15"/>
      <c r="R119" s="17" t="s">
        <v>54</v>
      </c>
      <c r="S119" s="18"/>
      <c r="T119" s="22" t="str">
        <f>IF(R119="維持",J119,IF(R119="排除","無關新聞事件",IFERROR(INDEX(事件規則!$B$2:$B$53,MATCH(S119,事件規則!$A$2:$A$53,0)),"")))</f>
        <v>專利訴訟</v>
      </c>
      <c r="U119" s="9">
        <f>IF(R119="維持",K119,IF(R119="排除",0,IFERROR(INDEX(事件規則!$C$2:$C$53,MATCH(S119,事件規則!$A$2:$A$53,0)),"")))</f>
        <v>3</v>
      </c>
      <c r="V119" s="19"/>
      <c r="W119" s="20"/>
      <c r="X119" s="10" t="str">
        <f t="shared" si="1"/>
        <v/>
      </c>
      <c r="Y119" s="19"/>
      <c r="Z119" s="20"/>
      <c r="AA119" s="12" t="s">
        <v>665</v>
      </c>
      <c r="AB119" s="23"/>
    </row>
    <row r="120" spans="1:28" ht="38.25">
      <c r="A120" s="15">
        <v>119</v>
      </c>
      <c r="B120" s="9" t="s">
        <v>87</v>
      </c>
      <c r="C120" s="9" t="s">
        <v>666</v>
      </c>
      <c r="D120" s="10" t="s">
        <v>667</v>
      </c>
      <c r="E120" s="21" t="s">
        <v>668</v>
      </c>
      <c r="F120" s="10" t="s">
        <v>669</v>
      </c>
      <c r="G120" s="12" t="s">
        <v>670</v>
      </c>
      <c r="H120" s="13">
        <v>-1.4E-2</v>
      </c>
      <c r="I120" s="14" t="s">
        <v>671</v>
      </c>
      <c r="J120" s="22" t="s">
        <v>672</v>
      </c>
      <c r="K120" s="9">
        <v>3</v>
      </c>
      <c r="L120" s="15"/>
      <c r="M120" s="16" t="s">
        <v>54</v>
      </c>
      <c r="N120" s="14"/>
      <c r="O120" s="15" t="s">
        <v>65</v>
      </c>
      <c r="P120" s="10" t="s">
        <v>673</v>
      </c>
      <c r="Q120" s="15"/>
      <c r="R120" s="17" t="s">
        <v>54</v>
      </c>
      <c r="S120" s="18"/>
      <c r="T120" s="22" t="str">
        <f>IF(R120="維持",J120,IF(R120="排除","無關新聞事件",IFERROR(INDEX(事件規則!$B$2:$B$53,MATCH(S120,事件規則!$A$2:$A$53,0)),"")))</f>
        <v>產品召回</v>
      </c>
      <c r="U120" s="9">
        <f>IF(R120="維持",K120,IF(R120="排除",0,IFERROR(INDEX(事件規則!$C$2:$C$53,MATCH(S120,事件規則!$A$2:$A$53,0)),"")))</f>
        <v>3</v>
      </c>
      <c r="V120" s="19"/>
      <c r="W120" s="20"/>
      <c r="X120" s="10" t="str">
        <f t="shared" si="1"/>
        <v/>
      </c>
      <c r="Y120" s="19"/>
      <c r="Z120" s="20"/>
      <c r="AA120" s="12" t="s">
        <v>674</v>
      </c>
      <c r="AB120" s="23"/>
    </row>
    <row r="121" spans="1:28" ht="38.25">
      <c r="A121" s="15">
        <v>120</v>
      </c>
      <c r="B121" s="9" t="s">
        <v>87</v>
      </c>
      <c r="C121" s="9" t="s">
        <v>675</v>
      </c>
      <c r="D121" s="10" t="s">
        <v>676</v>
      </c>
      <c r="E121" s="21" t="s">
        <v>668</v>
      </c>
      <c r="F121" s="10" t="s">
        <v>669</v>
      </c>
      <c r="G121" s="12" t="s">
        <v>670</v>
      </c>
      <c r="H121" s="13">
        <v>-1.4E-2</v>
      </c>
      <c r="I121" s="14" t="s">
        <v>671</v>
      </c>
      <c r="J121" s="22" t="s">
        <v>672</v>
      </c>
      <c r="K121" s="9">
        <v>3</v>
      </c>
      <c r="L121" s="15"/>
      <c r="M121" s="16" t="s">
        <v>74</v>
      </c>
      <c r="N121" s="14"/>
      <c r="O121" s="15" t="s">
        <v>65</v>
      </c>
      <c r="P121" s="22" t="s">
        <v>624</v>
      </c>
      <c r="Q121" s="15"/>
      <c r="R121" s="17" t="s">
        <v>74</v>
      </c>
      <c r="S121" s="18"/>
      <c r="T121" s="22" t="str">
        <f>IF(R121="維持",J121,IF(R121="排除","無關新聞事件",IFERROR(INDEX(事件規則!$B$2:$B$53,MATCH(S121,事件規則!$A$2:$A$53,0)),"")))</f>
        <v>無關新聞事件</v>
      </c>
      <c r="U121" s="9">
        <f>IF(R121="維持",K121,IF(R121="排除",0,IFERROR(INDEX(事件規則!$C$2:$C$53,MATCH(S121,事件規則!$A$2:$A$53,0)),"")))</f>
        <v>0</v>
      </c>
      <c r="V121" s="19"/>
      <c r="W121" s="20"/>
      <c r="X121" s="10" t="str">
        <f t="shared" si="1"/>
        <v/>
      </c>
      <c r="Y121" s="19"/>
      <c r="Z121" s="20"/>
      <c r="AA121" s="12" t="s">
        <v>677</v>
      </c>
      <c r="AB121" s="23"/>
    </row>
    <row r="122" spans="1:28" ht="38.25">
      <c r="A122" s="15">
        <v>121</v>
      </c>
      <c r="B122" s="9" t="s">
        <v>399</v>
      </c>
      <c r="C122" s="9" t="s">
        <v>678</v>
      </c>
      <c r="D122" s="10" t="s">
        <v>679</v>
      </c>
      <c r="E122" s="21" t="s">
        <v>680</v>
      </c>
      <c r="F122" s="22" t="s">
        <v>681</v>
      </c>
      <c r="G122" s="12" t="s">
        <v>386</v>
      </c>
      <c r="H122" s="13">
        <v>4.2000000000000003E-2</v>
      </c>
      <c r="I122" s="14" t="s">
        <v>671</v>
      </c>
      <c r="J122" s="22" t="s">
        <v>672</v>
      </c>
      <c r="K122" s="9">
        <v>3</v>
      </c>
      <c r="L122" s="15"/>
      <c r="M122" s="16" t="s">
        <v>54</v>
      </c>
      <c r="N122" s="14"/>
      <c r="O122" s="15" t="s">
        <v>55</v>
      </c>
      <c r="P122" s="22" t="s">
        <v>682</v>
      </c>
      <c r="Q122" s="15"/>
      <c r="R122" s="17" t="s">
        <v>54</v>
      </c>
      <c r="S122" s="18"/>
      <c r="T122" s="22" t="str">
        <f>IF(R122="維持",J122,IF(R122="排除","無關新聞事件",IFERROR(INDEX(事件規則!$B$2:$B$53,MATCH(S122,事件規則!$A$2:$A$53,0)),"")))</f>
        <v>產品召回</v>
      </c>
      <c r="U122" s="9">
        <f>IF(R122="維持",K122,IF(R122="排除",0,IFERROR(INDEX(事件規則!$C$2:$C$53,MATCH(S122,事件規則!$A$2:$A$53,0)),"")))</f>
        <v>3</v>
      </c>
      <c r="V122" s="19"/>
      <c r="W122" s="20"/>
      <c r="X122" s="10" t="str">
        <f t="shared" si="1"/>
        <v/>
      </c>
      <c r="Y122" s="19"/>
      <c r="Z122" s="20"/>
      <c r="AA122" s="12" t="s">
        <v>683</v>
      </c>
      <c r="AB122" s="23"/>
    </row>
    <row r="123" spans="1:28" ht="38.25">
      <c r="A123" s="15">
        <v>122</v>
      </c>
      <c r="B123" s="9" t="s">
        <v>87</v>
      </c>
      <c r="C123" s="9" t="s">
        <v>572</v>
      </c>
      <c r="D123" s="10" t="s">
        <v>573</v>
      </c>
      <c r="E123" s="21" t="s">
        <v>684</v>
      </c>
      <c r="F123" s="22" t="s">
        <v>685</v>
      </c>
      <c r="G123" s="12" t="s">
        <v>686</v>
      </c>
      <c r="H123" s="13">
        <v>-9.1999999999999998E-2</v>
      </c>
      <c r="I123" s="14" t="s">
        <v>687</v>
      </c>
      <c r="J123" s="22" t="s">
        <v>688</v>
      </c>
      <c r="K123" s="9">
        <v>3</v>
      </c>
      <c r="L123" s="15"/>
      <c r="M123" s="16" t="s">
        <v>54</v>
      </c>
      <c r="N123" s="14"/>
      <c r="O123" s="15" t="s">
        <v>65</v>
      </c>
      <c r="P123" s="10" t="s">
        <v>689</v>
      </c>
      <c r="Q123" s="15"/>
      <c r="R123" s="17" t="s">
        <v>54</v>
      </c>
      <c r="S123" s="18"/>
      <c r="T123" s="22" t="str">
        <f>IF(R123="維持",J123,IF(R123="排除","無關新聞事件",IFERROR(INDEX(事件規則!$B$2:$B$53,MATCH(S123,事件規則!$A$2:$A$53,0)),"")))</f>
        <v>供應鏈中斷</v>
      </c>
      <c r="U123" s="9">
        <f>IF(R123="維持",K123,IF(R123="排除",0,IFERROR(INDEX(事件規則!$C$2:$C$53,MATCH(S123,事件規則!$A$2:$A$53,0)),"")))</f>
        <v>3</v>
      </c>
      <c r="V123" s="19"/>
      <c r="W123" s="20"/>
      <c r="X123" s="10" t="str">
        <f t="shared" si="1"/>
        <v/>
      </c>
      <c r="Y123" s="19"/>
      <c r="Z123" s="20"/>
      <c r="AA123" s="12" t="s">
        <v>690</v>
      </c>
      <c r="AB123" s="23"/>
    </row>
    <row r="124" spans="1:28" ht="25.5">
      <c r="A124" s="15">
        <v>123</v>
      </c>
      <c r="B124" s="9" t="s">
        <v>87</v>
      </c>
      <c r="C124" s="9" t="s">
        <v>572</v>
      </c>
      <c r="D124" s="10" t="s">
        <v>573</v>
      </c>
      <c r="E124" s="21" t="s">
        <v>691</v>
      </c>
      <c r="F124" s="22" t="s">
        <v>692</v>
      </c>
      <c r="G124" s="12" t="s">
        <v>693</v>
      </c>
      <c r="H124" s="13">
        <v>-0.85</v>
      </c>
      <c r="I124" s="14" t="s">
        <v>687</v>
      </c>
      <c r="J124" s="22" t="s">
        <v>688</v>
      </c>
      <c r="K124" s="9">
        <v>3</v>
      </c>
      <c r="L124" s="15"/>
      <c r="M124" s="16" t="s">
        <v>54</v>
      </c>
      <c r="N124" s="14"/>
      <c r="O124" s="15" t="s">
        <v>65</v>
      </c>
      <c r="P124" s="10" t="s">
        <v>689</v>
      </c>
      <c r="Q124" s="15"/>
      <c r="R124" s="17" t="s">
        <v>54</v>
      </c>
      <c r="S124" s="18"/>
      <c r="T124" s="22" t="str">
        <f>IF(R124="維持",J124,IF(R124="排除","無關新聞事件",IFERROR(INDEX(事件規則!$B$2:$B$53,MATCH(S124,事件規則!$A$2:$A$53,0)),"")))</f>
        <v>供應鏈中斷</v>
      </c>
      <c r="U124" s="9">
        <f>IF(R124="維持",K124,IF(R124="排除",0,IFERROR(INDEX(事件規則!$C$2:$C$53,MATCH(S124,事件規則!$A$2:$A$53,0)),"")))</f>
        <v>3</v>
      </c>
      <c r="V124" s="19"/>
      <c r="W124" s="20"/>
      <c r="X124" s="10" t="str">
        <f t="shared" si="1"/>
        <v/>
      </c>
      <c r="Y124" s="19"/>
      <c r="Z124" s="20"/>
      <c r="AA124" s="12" t="s">
        <v>694</v>
      </c>
      <c r="AB124" s="23"/>
    </row>
    <row r="125" spans="1:28" ht="25.5">
      <c r="A125" s="15">
        <v>124</v>
      </c>
      <c r="B125" s="9" t="s">
        <v>87</v>
      </c>
      <c r="C125" s="9" t="s">
        <v>695</v>
      </c>
      <c r="D125" s="10" t="s">
        <v>696</v>
      </c>
      <c r="E125" s="21" t="s">
        <v>697</v>
      </c>
      <c r="F125" s="10" t="s">
        <v>698</v>
      </c>
      <c r="G125" s="12" t="s">
        <v>699</v>
      </c>
      <c r="H125" s="13">
        <v>4.0000000000000001E-3</v>
      </c>
      <c r="I125" s="14" t="s">
        <v>687</v>
      </c>
      <c r="J125" s="22" t="s">
        <v>688</v>
      </c>
      <c r="K125" s="9">
        <v>3</v>
      </c>
      <c r="L125" s="15"/>
      <c r="M125" s="16" t="s">
        <v>74</v>
      </c>
      <c r="N125" s="14"/>
      <c r="O125" s="15" t="s">
        <v>65</v>
      </c>
      <c r="P125" s="22" t="s">
        <v>624</v>
      </c>
      <c r="Q125" s="15"/>
      <c r="R125" s="17" t="s">
        <v>74</v>
      </c>
      <c r="S125" s="18"/>
      <c r="T125" s="22" t="str">
        <f>IF(R125="維持",J125,IF(R125="排除","無關新聞事件",IFERROR(INDEX(事件規則!$B$2:$B$53,MATCH(S125,事件規則!$A$2:$A$53,0)),"")))</f>
        <v>無關新聞事件</v>
      </c>
      <c r="U125" s="9">
        <f>IF(R125="維持",K125,IF(R125="排除",0,IFERROR(INDEX(事件規則!$C$2:$C$53,MATCH(S125,事件規則!$A$2:$A$53,0)),"")))</f>
        <v>0</v>
      </c>
      <c r="V125" s="19"/>
      <c r="W125" s="20"/>
      <c r="X125" s="10" t="str">
        <f t="shared" si="1"/>
        <v/>
      </c>
      <c r="Y125" s="19"/>
      <c r="Z125" s="20"/>
      <c r="AA125" s="12" t="s">
        <v>700</v>
      </c>
      <c r="AB125" s="23"/>
    </row>
    <row r="126" spans="1:28" ht="38.25">
      <c r="A126" s="15">
        <v>125</v>
      </c>
      <c r="B126" s="9" t="s">
        <v>87</v>
      </c>
      <c r="C126" s="9" t="s">
        <v>701</v>
      </c>
      <c r="D126" s="10" t="s">
        <v>702</v>
      </c>
      <c r="E126" s="21" t="s">
        <v>703</v>
      </c>
      <c r="F126" s="10" t="s">
        <v>703</v>
      </c>
      <c r="G126" s="12" t="s">
        <v>704</v>
      </c>
      <c r="H126" s="13">
        <v>0.93200000000000005</v>
      </c>
      <c r="I126" s="14" t="s">
        <v>687</v>
      </c>
      <c r="J126" s="22" t="s">
        <v>688</v>
      </c>
      <c r="K126" s="9">
        <v>3</v>
      </c>
      <c r="L126" s="15"/>
      <c r="M126" s="16" t="s">
        <v>74</v>
      </c>
      <c r="N126" s="14"/>
      <c r="O126" s="15" t="s">
        <v>65</v>
      </c>
      <c r="P126" s="22" t="s">
        <v>624</v>
      </c>
      <c r="Q126" s="15"/>
      <c r="R126" s="17" t="s">
        <v>74</v>
      </c>
      <c r="S126" s="18"/>
      <c r="T126" s="22" t="str">
        <f>IF(R126="維持",J126,IF(R126="排除","無關新聞事件",IFERROR(INDEX(事件規則!$B$2:$B$53,MATCH(S126,事件規則!$A$2:$A$53,0)),"")))</f>
        <v>無關新聞事件</v>
      </c>
      <c r="U126" s="9">
        <f>IF(R126="維持",K126,IF(R126="排除",0,IFERROR(INDEX(事件規則!$C$2:$C$53,MATCH(S126,事件規則!$A$2:$A$53,0)),"")))</f>
        <v>0</v>
      </c>
      <c r="V126" s="19"/>
      <c r="W126" s="20"/>
      <c r="X126" s="10" t="str">
        <f t="shared" si="1"/>
        <v/>
      </c>
      <c r="Y126" s="19"/>
      <c r="Z126" s="20"/>
      <c r="AA126" s="12" t="s">
        <v>705</v>
      </c>
      <c r="AB126" s="23"/>
    </row>
    <row r="127" spans="1:28" ht="38.25">
      <c r="A127" s="15">
        <v>126</v>
      </c>
      <c r="B127" s="9" t="s">
        <v>87</v>
      </c>
      <c r="C127" s="9" t="s">
        <v>706</v>
      </c>
      <c r="D127" s="10" t="s">
        <v>707</v>
      </c>
      <c r="E127" s="21" t="s">
        <v>708</v>
      </c>
      <c r="F127" s="10" t="s">
        <v>709</v>
      </c>
      <c r="G127" s="12" t="s">
        <v>710</v>
      </c>
      <c r="H127" s="13">
        <v>0.876</v>
      </c>
      <c r="I127" s="14" t="s">
        <v>687</v>
      </c>
      <c r="J127" s="22" t="s">
        <v>688</v>
      </c>
      <c r="K127" s="9">
        <v>3</v>
      </c>
      <c r="L127" s="15"/>
      <c r="M127" s="16" t="s">
        <v>74</v>
      </c>
      <c r="N127" s="14"/>
      <c r="O127" s="15" t="s">
        <v>65</v>
      </c>
      <c r="P127" s="22" t="s">
        <v>624</v>
      </c>
      <c r="Q127" s="15"/>
      <c r="R127" s="17" t="s">
        <v>74</v>
      </c>
      <c r="S127" s="18"/>
      <c r="T127" s="22" t="str">
        <f>IF(R127="維持",J127,IF(R127="排除","無關新聞事件",IFERROR(INDEX(事件規則!$B$2:$B$53,MATCH(S127,事件規則!$A$2:$A$53,0)),"")))</f>
        <v>無關新聞事件</v>
      </c>
      <c r="U127" s="9">
        <f>IF(R127="維持",K127,IF(R127="排除",0,IFERROR(INDEX(事件規則!$C$2:$C$53,MATCH(S127,事件規則!$A$2:$A$53,0)),"")))</f>
        <v>0</v>
      </c>
      <c r="V127" s="19"/>
      <c r="W127" s="20"/>
      <c r="X127" s="10" t="str">
        <f t="shared" si="1"/>
        <v/>
      </c>
      <c r="Y127" s="19"/>
      <c r="Z127" s="20"/>
      <c r="AA127" s="12" t="s">
        <v>711</v>
      </c>
      <c r="AB127" s="23"/>
    </row>
    <row r="128" spans="1:28" ht="38.25">
      <c r="A128" s="15">
        <v>127</v>
      </c>
      <c r="B128" s="9" t="s">
        <v>100</v>
      </c>
      <c r="C128" s="9" t="s">
        <v>341</v>
      </c>
      <c r="D128" s="10" t="s">
        <v>342</v>
      </c>
      <c r="E128" s="21" t="s">
        <v>712</v>
      </c>
      <c r="F128" s="10" t="s">
        <v>713</v>
      </c>
      <c r="G128" s="12" t="s">
        <v>714</v>
      </c>
      <c r="H128" s="13">
        <v>2.1999999999999999E-2</v>
      </c>
      <c r="I128" s="14" t="s">
        <v>687</v>
      </c>
      <c r="J128" s="22" t="s">
        <v>688</v>
      </c>
      <c r="K128" s="9">
        <v>3</v>
      </c>
      <c r="L128" s="15"/>
      <c r="M128" s="16" t="s">
        <v>74</v>
      </c>
      <c r="N128" s="14"/>
      <c r="O128" s="15" t="s">
        <v>65</v>
      </c>
      <c r="P128" s="22" t="s">
        <v>624</v>
      </c>
      <c r="Q128" s="15"/>
      <c r="R128" s="17" t="s">
        <v>74</v>
      </c>
      <c r="S128" s="18"/>
      <c r="T128" s="22" t="str">
        <f>IF(R128="維持",J128,IF(R128="排除","無關新聞事件",IFERROR(INDEX(事件規則!$B$2:$B$53,MATCH(S128,事件規則!$A$2:$A$53,0)),"")))</f>
        <v>無關新聞事件</v>
      </c>
      <c r="U128" s="9">
        <f>IF(R128="維持",K128,IF(R128="排除",0,IFERROR(INDEX(事件規則!$C$2:$C$53,MATCH(S128,事件規則!$A$2:$A$53,0)),"")))</f>
        <v>0</v>
      </c>
      <c r="V128" s="19"/>
      <c r="W128" s="20"/>
      <c r="X128" s="10" t="str">
        <f t="shared" si="1"/>
        <v/>
      </c>
      <c r="Y128" s="19"/>
      <c r="Z128" s="20"/>
      <c r="AA128" s="12" t="s">
        <v>715</v>
      </c>
      <c r="AB128" s="23"/>
    </row>
    <row r="129" spans="1:28" ht="25.5">
      <c r="A129" s="15">
        <v>128</v>
      </c>
      <c r="B129" s="9" t="s">
        <v>105</v>
      </c>
      <c r="C129" s="9" t="s">
        <v>716</v>
      </c>
      <c r="D129" s="10" t="s">
        <v>717</v>
      </c>
      <c r="E129" s="21" t="s">
        <v>718</v>
      </c>
      <c r="F129" s="22" t="s">
        <v>719</v>
      </c>
      <c r="G129" s="12" t="s">
        <v>720</v>
      </c>
      <c r="H129" s="13">
        <v>0.17599999999999999</v>
      </c>
      <c r="I129" s="14" t="s">
        <v>687</v>
      </c>
      <c r="J129" s="22" t="s">
        <v>688</v>
      </c>
      <c r="K129" s="9">
        <v>3</v>
      </c>
      <c r="L129" s="15"/>
      <c r="M129" s="16" t="s">
        <v>74</v>
      </c>
      <c r="N129" s="14"/>
      <c r="O129" s="15" t="s">
        <v>65</v>
      </c>
      <c r="P129" s="22" t="s">
        <v>624</v>
      </c>
      <c r="Q129" s="15"/>
      <c r="R129" s="17" t="s">
        <v>74</v>
      </c>
      <c r="S129" s="18"/>
      <c r="T129" s="22" t="str">
        <f>IF(R129="維持",J129,IF(R129="排除","無關新聞事件",IFERROR(INDEX(事件規則!$B$2:$B$53,MATCH(S129,事件規則!$A$2:$A$53,0)),"")))</f>
        <v>無關新聞事件</v>
      </c>
      <c r="U129" s="9">
        <f>IF(R129="維持",K129,IF(R129="排除",0,IFERROR(INDEX(事件規則!$C$2:$C$53,MATCH(S129,事件規則!$A$2:$A$53,0)),"")))</f>
        <v>0</v>
      </c>
      <c r="V129" s="19"/>
      <c r="W129" s="20"/>
      <c r="X129" s="10" t="str">
        <f t="shared" si="1"/>
        <v/>
      </c>
      <c r="Y129" s="19"/>
      <c r="Z129" s="20"/>
      <c r="AA129" s="12" t="s">
        <v>721</v>
      </c>
      <c r="AB129" s="23"/>
    </row>
    <row r="130" spans="1:28" ht="25.5">
      <c r="A130" s="15">
        <v>129</v>
      </c>
      <c r="B130" s="9" t="s">
        <v>149</v>
      </c>
      <c r="C130" s="9" t="s">
        <v>263</v>
      </c>
      <c r="D130" s="10" t="s">
        <v>264</v>
      </c>
      <c r="E130" s="21" t="s">
        <v>722</v>
      </c>
      <c r="F130" s="22" t="s">
        <v>723</v>
      </c>
      <c r="G130" s="12" t="s">
        <v>724</v>
      </c>
      <c r="H130" s="13">
        <v>0.125</v>
      </c>
      <c r="I130" s="14" t="s">
        <v>687</v>
      </c>
      <c r="J130" s="22" t="s">
        <v>688</v>
      </c>
      <c r="K130" s="9">
        <v>3</v>
      </c>
      <c r="L130" s="15"/>
      <c r="M130" s="16" t="s">
        <v>74</v>
      </c>
      <c r="N130" s="14"/>
      <c r="O130" s="15" t="s">
        <v>65</v>
      </c>
      <c r="P130" s="22" t="s">
        <v>624</v>
      </c>
      <c r="Q130" s="15"/>
      <c r="R130" s="17" t="s">
        <v>74</v>
      </c>
      <c r="S130" s="18"/>
      <c r="T130" s="22" t="str">
        <f>IF(R130="維持",J130,IF(R130="排除","無關新聞事件",IFERROR(INDEX(事件規則!$B$2:$B$53,MATCH(S130,事件規則!$A$2:$A$53,0)),"")))</f>
        <v>無關新聞事件</v>
      </c>
      <c r="U130" s="9">
        <f>IF(R130="維持",K130,IF(R130="排除",0,IFERROR(INDEX(事件規則!$C$2:$C$53,MATCH(S130,事件規則!$A$2:$A$53,0)),"")))</f>
        <v>0</v>
      </c>
      <c r="V130" s="19"/>
      <c r="W130" s="20"/>
      <c r="X130" s="10" t="str">
        <f t="shared" ref="X130:X193" si="2">IF(AND(R130="修改",S130=""),"請選新事件代碼",IF(AND(R130&lt;&gt;"修改",S130&lt;&gt;""),"只有「修改」才需填代碼",""))</f>
        <v/>
      </c>
      <c r="Y130" s="19"/>
      <c r="Z130" s="20"/>
      <c r="AA130" s="12" t="s">
        <v>725</v>
      </c>
      <c r="AB130" s="23"/>
    </row>
    <row r="131" spans="1:28" ht="38.25">
      <c r="A131" s="15">
        <v>130</v>
      </c>
      <c r="B131" s="9" t="s">
        <v>149</v>
      </c>
      <c r="C131" s="9" t="s">
        <v>726</v>
      </c>
      <c r="D131" s="10" t="s">
        <v>727</v>
      </c>
      <c r="E131" s="21" t="s">
        <v>728</v>
      </c>
      <c r="F131" s="10" t="s">
        <v>729</v>
      </c>
      <c r="G131" s="12" t="s">
        <v>299</v>
      </c>
      <c r="H131" s="13">
        <v>-0.93400000000000005</v>
      </c>
      <c r="I131" s="14" t="s">
        <v>687</v>
      </c>
      <c r="J131" s="22" t="s">
        <v>688</v>
      </c>
      <c r="K131" s="9">
        <v>3</v>
      </c>
      <c r="L131" s="15"/>
      <c r="M131" s="16" t="s">
        <v>74</v>
      </c>
      <c r="N131" s="14"/>
      <c r="O131" s="15" t="s">
        <v>65</v>
      </c>
      <c r="P131" s="22" t="s">
        <v>624</v>
      </c>
      <c r="Q131" s="15"/>
      <c r="R131" s="17" t="s">
        <v>74</v>
      </c>
      <c r="S131" s="18"/>
      <c r="T131" s="22" t="str">
        <f>IF(R131="維持",J131,IF(R131="排除","無關新聞事件",IFERROR(INDEX(事件規則!$B$2:$B$53,MATCH(S131,事件規則!$A$2:$A$53,0)),"")))</f>
        <v>無關新聞事件</v>
      </c>
      <c r="U131" s="9">
        <f>IF(R131="維持",K131,IF(R131="排除",0,IFERROR(INDEX(事件規則!$C$2:$C$53,MATCH(S131,事件規則!$A$2:$A$53,0)),"")))</f>
        <v>0</v>
      </c>
      <c r="V131" s="19"/>
      <c r="W131" s="20"/>
      <c r="X131" s="10" t="str">
        <f t="shared" si="2"/>
        <v/>
      </c>
      <c r="Y131" s="19"/>
      <c r="Z131" s="20"/>
      <c r="AA131" s="12" t="s">
        <v>730</v>
      </c>
      <c r="AB131" s="23"/>
    </row>
    <row r="132" spans="1:28" ht="25.5">
      <c r="A132" s="15">
        <v>131</v>
      </c>
      <c r="B132" s="9" t="s">
        <v>159</v>
      </c>
      <c r="C132" s="9" t="s">
        <v>731</v>
      </c>
      <c r="D132" s="10" t="s">
        <v>732</v>
      </c>
      <c r="E132" s="21" t="s">
        <v>733</v>
      </c>
      <c r="F132" s="10" t="s">
        <v>734</v>
      </c>
      <c r="G132" s="12" t="s">
        <v>299</v>
      </c>
      <c r="H132" s="13">
        <v>0.32700000000000001</v>
      </c>
      <c r="I132" s="14" t="s">
        <v>687</v>
      </c>
      <c r="J132" s="22" t="s">
        <v>688</v>
      </c>
      <c r="K132" s="9">
        <v>3</v>
      </c>
      <c r="L132" s="15"/>
      <c r="M132" s="16" t="s">
        <v>74</v>
      </c>
      <c r="N132" s="14"/>
      <c r="O132" s="15" t="s">
        <v>65</v>
      </c>
      <c r="P132" s="22" t="s">
        <v>624</v>
      </c>
      <c r="Q132" s="15"/>
      <c r="R132" s="17" t="s">
        <v>74</v>
      </c>
      <c r="S132" s="18"/>
      <c r="T132" s="22" t="str">
        <f>IF(R132="維持",J132,IF(R132="排除","無關新聞事件",IFERROR(INDEX(事件規則!$B$2:$B$53,MATCH(S132,事件規則!$A$2:$A$53,0)),"")))</f>
        <v>無關新聞事件</v>
      </c>
      <c r="U132" s="9">
        <f>IF(R132="維持",K132,IF(R132="排除",0,IFERROR(INDEX(事件規則!$C$2:$C$53,MATCH(S132,事件規則!$A$2:$A$53,0)),"")))</f>
        <v>0</v>
      </c>
      <c r="V132" s="19"/>
      <c r="W132" s="20"/>
      <c r="X132" s="10" t="str">
        <f t="shared" si="2"/>
        <v/>
      </c>
      <c r="Y132" s="19"/>
      <c r="Z132" s="20"/>
      <c r="AA132" s="12" t="s">
        <v>735</v>
      </c>
      <c r="AB132" s="23"/>
    </row>
    <row r="133" spans="1:28" ht="25.5">
      <c r="A133" s="15">
        <v>132</v>
      </c>
      <c r="B133" s="9" t="s">
        <v>159</v>
      </c>
      <c r="C133" s="9" t="s">
        <v>736</v>
      </c>
      <c r="D133" s="10" t="s">
        <v>737</v>
      </c>
      <c r="E133" s="21" t="s">
        <v>738</v>
      </c>
      <c r="F133" s="22" t="s">
        <v>739</v>
      </c>
      <c r="G133" s="12" t="s">
        <v>740</v>
      </c>
      <c r="H133" s="13">
        <v>0.46700000000000003</v>
      </c>
      <c r="I133" s="14" t="s">
        <v>687</v>
      </c>
      <c r="J133" s="22" t="s">
        <v>688</v>
      </c>
      <c r="K133" s="9">
        <v>3</v>
      </c>
      <c r="L133" s="15"/>
      <c r="M133" s="16" t="s">
        <v>74</v>
      </c>
      <c r="N133" s="14"/>
      <c r="O133" s="15" t="s">
        <v>65</v>
      </c>
      <c r="P133" s="22" t="s">
        <v>624</v>
      </c>
      <c r="Q133" s="15"/>
      <c r="R133" s="17" t="s">
        <v>74</v>
      </c>
      <c r="S133" s="18"/>
      <c r="T133" s="22" t="str">
        <f>IF(R133="維持",J133,IF(R133="排除","無關新聞事件",IFERROR(INDEX(事件規則!$B$2:$B$53,MATCH(S133,事件規則!$A$2:$A$53,0)),"")))</f>
        <v>無關新聞事件</v>
      </c>
      <c r="U133" s="9">
        <f>IF(R133="維持",K133,IF(R133="排除",0,IFERROR(INDEX(事件規則!$C$2:$C$53,MATCH(S133,事件規則!$A$2:$A$53,0)),"")))</f>
        <v>0</v>
      </c>
      <c r="V133" s="19"/>
      <c r="W133" s="20"/>
      <c r="X133" s="10" t="str">
        <f t="shared" si="2"/>
        <v/>
      </c>
      <c r="Y133" s="19"/>
      <c r="Z133" s="20"/>
      <c r="AA133" s="12" t="s">
        <v>741</v>
      </c>
      <c r="AB133" s="23"/>
    </row>
    <row r="134" spans="1:28" ht="25.5">
      <c r="A134" s="15">
        <v>133</v>
      </c>
      <c r="B134" s="9" t="s">
        <v>159</v>
      </c>
      <c r="C134" s="9" t="s">
        <v>736</v>
      </c>
      <c r="D134" s="10" t="s">
        <v>737</v>
      </c>
      <c r="E134" s="21" t="s">
        <v>742</v>
      </c>
      <c r="F134" s="22" t="s">
        <v>743</v>
      </c>
      <c r="G134" s="12" t="s">
        <v>744</v>
      </c>
      <c r="H134" s="13">
        <v>0.313</v>
      </c>
      <c r="I134" s="14" t="s">
        <v>687</v>
      </c>
      <c r="J134" s="22" t="s">
        <v>688</v>
      </c>
      <c r="K134" s="9">
        <v>3</v>
      </c>
      <c r="L134" s="15"/>
      <c r="M134" s="16" t="s">
        <v>74</v>
      </c>
      <c r="N134" s="14"/>
      <c r="O134" s="15" t="s">
        <v>65</v>
      </c>
      <c r="P134" s="22" t="s">
        <v>624</v>
      </c>
      <c r="Q134" s="15"/>
      <c r="R134" s="17" t="s">
        <v>74</v>
      </c>
      <c r="S134" s="18"/>
      <c r="T134" s="22" t="str">
        <f>IF(R134="維持",J134,IF(R134="排除","無關新聞事件",IFERROR(INDEX(事件規則!$B$2:$B$53,MATCH(S134,事件規則!$A$2:$A$53,0)),"")))</f>
        <v>無關新聞事件</v>
      </c>
      <c r="U134" s="9">
        <f>IF(R134="維持",K134,IF(R134="排除",0,IFERROR(INDEX(事件規則!$C$2:$C$53,MATCH(S134,事件規則!$A$2:$A$53,0)),"")))</f>
        <v>0</v>
      </c>
      <c r="V134" s="19"/>
      <c r="W134" s="20"/>
      <c r="X134" s="10" t="str">
        <f t="shared" si="2"/>
        <v/>
      </c>
      <c r="Y134" s="19"/>
      <c r="Z134" s="20"/>
      <c r="AA134" s="12" t="s">
        <v>745</v>
      </c>
      <c r="AB134" s="23"/>
    </row>
    <row r="135" spans="1:28" ht="25.5">
      <c r="A135" s="15">
        <v>134</v>
      </c>
      <c r="B135" s="9" t="s">
        <v>159</v>
      </c>
      <c r="C135" s="9" t="s">
        <v>746</v>
      </c>
      <c r="D135" s="10" t="s">
        <v>747</v>
      </c>
      <c r="E135" s="21" t="s">
        <v>748</v>
      </c>
      <c r="F135" s="22" t="s">
        <v>749</v>
      </c>
      <c r="G135" s="12" t="s">
        <v>357</v>
      </c>
      <c r="H135" s="13">
        <v>0.33</v>
      </c>
      <c r="I135" s="14" t="s">
        <v>687</v>
      </c>
      <c r="J135" s="22" t="s">
        <v>688</v>
      </c>
      <c r="K135" s="9">
        <v>3</v>
      </c>
      <c r="L135" s="15"/>
      <c r="M135" s="16" t="s">
        <v>74</v>
      </c>
      <c r="N135" s="14"/>
      <c r="O135" s="15" t="s">
        <v>65</v>
      </c>
      <c r="P135" s="22" t="s">
        <v>624</v>
      </c>
      <c r="Q135" s="15"/>
      <c r="R135" s="17" t="s">
        <v>74</v>
      </c>
      <c r="S135" s="18"/>
      <c r="T135" s="22" t="str">
        <f>IF(R135="維持",J135,IF(R135="排除","無關新聞事件",IFERROR(INDEX(事件規則!$B$2:$B$53,MATCH(S135,事件規則!$A$2:$A$53,0)),"")))</f>
        <v>無關新聞事件</v>
      </c>
      <c r="U135" s="9">
        <f>IF(R135="維持",K135,IF(R135="排除",0,IFERROR(INDEX(事件規則!$C$2:$C$53,MATCH(S135,事件規則!$A$2:$A$53,0)),"")))</f>
        <v>0</v>
      </c>
      <c r="V135" s="19"/>
      <c r="W135" s="20"/>
      <c r="X135" s="10" t="str">
        <f t="shared" si="2"/>
        <v/>
      </c>
      <c r="Y135" s="19"/>
      <c r="Z135" s="20"/>
      <c r="AA135" s="12" t="s">
        <v>750</v>
      </c>
      <c r="AB135" s="23"/>
    </row>
    <row r="136" spans="1:28" ht="38.25">
      <c r="A136" s="15">
        <v>135</v>
      </c>
      <c r="B136" s="9" t="s">
        <v>167</v>
      </c>
      <c r="C136" s="9" t="s">
        <v>695</v>
      </c>
      <c r="D136" s="10" t="s">
        <v>696</v>
      </c>
      <c r="E136" s="21" t="s">
        <v>751</v>
      </c>
      <c r="F136" s="22" t="s">
        <v>752</v>
      </c>
      <c r="G136" s="12" t="s">
        <v>351</v>
      </c>
      <c r="H136" s="13">
        <v>-0.94499999999999995</v>
      </c>
      <c r="I136" s="14" t="s">
        <v>687</v>
      </c>
      <c r="J136" s="22" t="s">
        <v>688</v>
      </c>
      <c r="K136" s="9">
        <v>3</v>
      </c>
      <c r="L136" s="15"/>
      <c r="M136" s="16" t="s">
        <v>54</v>
      </c>
      <c r="N136" s="14"/>
      <c r="O136" s="15" t="s">
        <v>65</v>
      </c>
      <c r="P136" s="10" t="s">
        <v>753</v>
      </c>
      <c r="Q136" s="15"/>
      <c r="R136" s="17" t="s">
        <v>54</v>
      </c>
      <c r="S136" s="18"/>
      <c r="T136" s="22" t="str">
        <f>IF(R136="維持",J136,IF(R136="排除","無關新聞事件",IFERROR(INDEX(事件規則!$B$2:$B$53,MATCH(S136,事件規則!$A$2:$A$53,0)),"")))</f>
        <v>供應鏈中斷</v>
      </c>
      <c r="U136" s="9">
        <f>IF(R136="維持",K136,IF(R136="排除",0,IFERROR(INDEX(事件規則!$C$2:$C$53,MATCH(S136,事件規則!$A$2:$A$53,0)),"")))</f>
        <v>3</v>
      </c>
      <c r="V136" s="19"/>
      <c r="W136" s="20"/>
      <c r="X136" s="10" t="str">
        <f t="shared" si="2"/>
        <v/>
      </c>
      <c r="Y136" s="19"/>
      <c r="Z136" s="20"/>
      <c r="AA136" s="12" t="s">
        <v>754</v>
      </c>
      <c r="AB136" s="23"/>
    </row>
    <row r="137" spans="1:28" ht="38.25">
      <c r="A137" s="15">
        <v>136</v>
      </c>
      <c r="B137" s="9" t="s">
        <v>195</v>
      </c>
      <c r="C137" s="9" t="s">
        <v>755</v>
      </c>
      <c r="D137" s="10" t="s">
        <v>756</v>
      </c>
      <c r="E137" s="21" t="s">
        <v>757</v>
      </c>
      <c r="F137" s="10" t="s">
        <v>758</v>
      </c>
      <c r="G137" s="12" t="s">
        <v>759</v>
      </c>
      <c r="H137" s="13">
        <v>0.92900000000000005</v>
      </c>
      <c r="I137" s="14" t="s">
        <v>687</v>
      </c>
      <c r="J137" s="22" t="s">
        <v>688</v>
      </c>
      <c r="K137" s="9">
        <v>3</v>
      </c>
      <c r="L137" s="15"/>
      <c r="M137" s="16" t="s">
        <v>74</v>
      </c>
      <c r="N137" s="14"/>
      <c r="O137" s="15" t="s">
        <v>65</v>
      </c>
      <c r="P137" s="22" t="s">
        <v>624</v>
      </c>
      <c r="Q137" s="15"/>
      <c r="R137" s="17" t="s">
        <v>74</v>
      </c>
      <c r="S137" s="18"/>
      <c r="T137" s="22" t="str">
        <f>IF(R137="維持",J137,IF(R137="排除","無關新聞事件",IFERROR(INDEX(事件規則!$B$2:$B$53,MATCH(S137,事件規則!$A$2:$A$53,0)),"")))</f>
        <v>無關新聞事件</v>
      </c>
      <c r="U137" s="9">
        <f>IF(R137="維持",K137,IF(R137="排除",0,IFERROR(INDEX(事件規則!$C$2:$C$53,MATCH(S137,事件規則!$A$2:$A$53,0)),"")))</f>
        <v>0</v>
      </c>
      <c r="V137" s="19"/>
      <c r="W137" s="20"/>
      <c r="X137" s="10" t="str">
        <f t="shared" si="2"/>
        <v/>
      </c>
      <c r="Y137" s="19"/>
      <c r="Z137" s="20"/>
      <c r="AA137" s="12" t="s">
        <v>760</v>
      </c>
      <c r="AB137" s="23"/>
    </row>
    <row r="138" spans="1:28" ht="38.25">
      <c r="A138" s="15">
        <v>137</v>
      </c>
      <c r="B138" s="9" t="s">
        <v>195</v>
      </c>
      <c r="C138" s="9" t="s">
        <v>263</v>
      </c>
      <c r="D138" s="10" t="s">
        <v>264</v>
      </c>
      <c r="E138" s="21" t="s">
        <v>761</v>
      </c>
      <c r="F138" s="22" t="s">
        <v>762</v>
      </c>
      <c r="G138" s="12" t="s">
        <v>763</v>
      </c>
      <c r="H138" s="13">
        <v>0.437</v>
      </c>
      <c r="I138" s="14" t="s">
        <v>687</v>
      </c>
      <c r="J138" s="22" t="s">
        <v>688</v>
      </c>
      <c r="K138" s="9">
        <v>3</v>
      </c>
      <c r="L138" s="15"/>
      <c r="M138" s="16" t="s">
        <v>74</v>
      </c>
      <c r="N138" s="14"/>
      <c r="O138" s="15" t="s">
        <v>65</v>
      </c>
      <c r="P138" s="22" t="s">
        <v>624</v>
      </c>
      <c r="Q138" s="15"/>
      <c r="R138" s="17" t="s">
        <v>74</v>
      </c>
      <c r="S138" s="18"/>
      <c r="T138" s="22" t="str">
        <f>IF(R138="維持",J138,IF(R138="排除","無關新聞事件",IFERROR(INDEX(事件規則!$B$2:$B$53,MATCH(S138,事件規則!$A$2:$A$53,0)),"")))</f>
        <v>無關新聞事件</v>
      </c>
      <c r="U138" s="9">
        <f>IF(R138="維持",K138,IF(R138="排除",0,IFERROR(INDEX(事件規則!$C$2:$C$53,MATCH(S138,事件規則!$A$2:$A$53,0)),"")))</f>
        <v>0</v>
      </c>
      <c r="V138" s="19"/>
      <c r="W138" s="20"/>
      <c r="X138" s="10" t="str">
        <f t="shared" si="2"/>
        <v/>
      </c>
      <c r="Y138" s="19"/>
      <c r="Z138" s="20"/>
      <c r="AA138" s="12" t="s">
        <v>764</v>
      </c>
      <c r="AB138" s="23"/>
    </row>
    <row r="139" spans="1:28" ht="25.5">
      <c r="A139" s="15">
        <v>138</v>
      </c>
      <c r="B139" s="9" t="s">
        <v>207</v>
      </c>
      <c r="C139" s="9" t="s">
        <v>765</v>
      </c>
      <c r="D139" s="10" t="s">
        <v>766</v>
      </c>
      <c r="E139" s="21" t="s">
        <v>767</v>
      </c>
      <c r="F139" s="22"/>
      <c r="G139" s="12" t="s">
        <v>768</v>
      </c>
      <c r="H139" s="13">
        <v>0.66500000000000004</v>
      </c>
      <c r="I139" s="14" t="s">
        <v>687</v>
      </c>
      <c r="J139" s="22" t="s">
        <v>688</v>
      </c>
      <c r="K139" s="9">
        <v>3</v>
      </c>
      <c r="L139" s="15"/>
      <c r="M139" s="16" t="s">
        <v>74</v>
      </c>
      <c r="N139" s="14"/>
      <c r="O139" s="15" t="s">
        <v>65</v>
      </c>
      <c r="P139" s="22" t="s">
        <v>624</v>
      </c>
      <c r="Q139" s="15"/>
      <c r="R139" s="17" t="s">
        <v>74</v>
      </c>
      <c r="S139" s="18"/>
      <c r="T139" s="22" t="str">
        <f>IF(R139="維持",J139,IF(R139="排除","無關新聞事件",IFERROR(INDEX(事件規則!$B$2:$B$53,MATCH(S139,事件規則!$A$2:$A$53,0)),"")))</f>
        <v>無關新聞事件</v>
      </c>
      <c r="U139" s="9">
        <f>IF(R139="維持",K139,IF(R139="排除",0,IFERROR(INDEX(事件規則!$C$2:$C$53,MATCH(S139,事件規則!$A$2:$A$53,0)),"")))</f>
        <v>0</v>
      </c>
      <c r="V139" s="19"/>
      <c r="W139" s="20"/>
      <c r="X139" s="10" t="str">
        <f t="shared" si="2"/>
        <v/>
      </c>
      <c r="Y139" s="19"/>
      <c r="Z139" s="20"/>
      <c r="AA139" s="12" t="s">
        <v>769</v>
      </c>
      <c r="AB139" s="23"/>
    </row>
    <row r="140" spans="1:28" ht="25.5">
      <c r="A140" s="15">
        <v>139</v>
      </c>
      <c r="B140" s="9" t="s">
        <v>770</v>
      </c>
      <c r="C140" s="9" t="s">
        <v>297</v>
      </c>
      <c r="D140" s="10" t="s">
        <v>298</v>
      </c>
      <c r="E140" s="21" t="s">
        <v>771</v>
      </c>
      <c r="F140" s="22"/>
      <c r="G140" s="12" t="s">
        <v>305</v>
      </c>
      <c r="H140" s="13">
        <v>-0.76900000000000002</v>
      </c>
      <c r="I140" s="14" t="s">
        <v>687</v>
      </c>
      <c r="J140" s="22" t="s">
        <v>688</v>
      </c>
      <c r="K140" s="9">
        <v>3</v>
      </c>
      <c r="L140" s="15"/>
      <c r="M140" s="16" t="s">
        <v>74</v>
      </c>
      <c r="N140" s="14"/>
      <c r="O140" s="15" t="s">
        <v>65</v>
      </c>
      <c r="P140" s="22" t="s">
        <v>624</v>
      </c>
      <c r="Q140" s="15"/>
      <c r="R140" s="17" t="s">
        <v>74</v>
      </c>
      <c r="S140" s="18"/>
      <c r="T140" s="22" t="str">
        <f>IF(R140="維持",J140,IF(R140="排除","無關新聞事件",IFERROR(INDEX(事件規則!$B$2:$B$53,MATCH(S140,事件規則!$A$2:$A$53,0)),"")))</f>
        <v>無關新聞事件</v>
      </c>
      <c r="U140" s="9">
        <f>IF(R140="維持",K140,IF(R140="排除",0,IFERROR(INDEX(事件規則!$C$2:$C$53,MATCH(S140,事件規則!$A$2:$A$53,0)),"")))</f>
        <v>0</v>
      </c>
      <c r="V140" s="19"/>
      <c r="W140" s="20"/>
      <c r="X140" s="10" t="str">
        <f t="shared" si="2"/>
        <v/>
      </c>
      <c r="Y140" s="19"/>
      <c r="Z140" s="20"/>
      <c r="AA140" s="12" t="s">
        <v>772</v>
      </c>
      <c r="AB140" s="23"/>
    </row>
    <row r="141" spans="1:28" ht="25.5">
      <c r="A141" s="15">
        <v>140</v>
      </c>
      <c r="B141" s="9" t="s">
        <v>773</v>
      </c>
      <c r="C141" s="9" t="s">
        <v>675</v>
      </c>
      <c r="D141" s="10" t="s">
        <v>676</v>
      </c>
      <c r="E141" s="21" t="s">
        <v>774</v>
      </c>
      <c r="F141" s="22"/>
      <c r="G141" s="12" t="s">
        <v>775</v>
      </c>
      <c r="H141" s="13">
        <v>3.9E-2</v>
      </c>
      <c r="I141" s="14" t="s">
        <v>687</v>
      </c>
      <c r="J141" s="22" t="s">
        <v>688</v>
      </c>
      <c r="K141" s="9">
        <v>3</v>
      </c>
      <c r="L141" s="15"/>
      <c r="M141" s="16" t="s">
        <v>74</v>
      </c>
      <c r="N141" s="14"/>
      <c r="O141" s="15" t="s">
        <v>65</v>
      </c>
      <c r="P141" s="22" t="s">
        <v>624</v>
      </c>
      <c r="Q141" s="15"/>
      <c r="R141" s="17" t="s">
        <v>74</v>
      </c>
      <c r="S141" s="18"/>
      <c r="T141" s="22" t="str">
        <f>IF(R141="維持",J141,IF(R141="排除","無關新聞事件",IFERROR(INDEX(事件規則!$B$2:$B$53,MATCH(S141,事件規則!$A$2:$A$53,0)),"")))</f>
        <v>無關新聞事件</v>
      </c>
      <c r="U141" s="9">
        <f>IF(R141="維持",K141,IF(R141="排除",0,IFERROR(INDEX(事件規則!$C$2:$C$53,MATCH(S141,事件規則!$A$2:$A$53,0)),"")))</f>
        <v>0</v>
      </c>
      <c r="V141" s="19"/>
      <c r="W141" s="20"/>
      <c r="X141" s="10" t="str">
        <f t="shared" si="2"/>
        <v/>
      </c>
      <c r="Y141" s="19"/>
      <c r="Z141" s="20"/>
      <c r="AA141" s="12" t="s">
        <v>776</v>
      </c>
      <c r="AB141" s="23"/>
    </row>
    <row r="142" spans="1:28" ht="25.5">
      <c r="A142" s="15">
        <v>141</v>
      </c>
      <c r="B142" s="9" t="s">
        <v>591</v>
      </c>
      <c r="C142" s="9" t="s">
        <v>777</v>
      </c>
      <c r="D142" s="10" t="s">
        <v>778</v>
      </c>
      <c r="E142" s="21" t="s">
        <v>779</v>
      </c>
      <c r="F142" s="22"/>
      <c r="G142" s="12" t="s">
        <v>780</v>
      </c>
      <c r="H142" s="13">
        <v>2.1999999999999999E-2</v>
      </c>
      <c r="I142" s="14" t="s">
        <v>687</v>
      </c>
      <c r="J142" s="22" t="s">
        <v>688</v>
      </c>
      <c r="K142" s="9">
        <v>3</v>
      </c>
      <c r="L142" s="15"/>
      <c r="M142" s="16" t="s">
        <v>74</v>
      </c>
      <c r="N142" s="14"/>
      <c r="O142" s="15" t="s">
        <v>65</v>
      </c>
      <c r="P142" s="22" t="s">
        <v>624</v>
      </c>
      <c r="Q142" s="15"/>
      <c r="R142" s="17" t="s">
        <v>74</v>
      </c>
      <c r="S142" s="18"/>
      <c r="T142" s="22" t="str">
        <f>IF(R142="維持",J142,IF(R142="排除","無關新聞事件",IFERROR(INDEX(事件規則!$B$2:$B$53,MATCH(S142,事件規則!$A$2:$A$53,0)),"")))</f>
        <v>無關新聞事件</v>
      </c>
      <c r="U142" s="9">
        <f>IF(R142="維持",K142,IF(R142="排除",0,IFERROR(INDEX(事件規則!$C$2:$C$53,MATCH(S142,事件規則!$A$2:$A$53,0)),"")))</f>
        <v>0</v>
      </c>
      <c r="V142" s="19"/>
      <c r="W142" s="20"/>
      <c r="X142" s="10" t="str">
        <f t="shared" si="2"/>
        <v/>
      </c>
      <c r="Y142" s="19"/>
      <c r="Z142" s="20"/>
      <c r="AA142" s="12" t="s">
        <v>781</v>
      </c>
      <c r="AB142" s="23"/>
    </row>
    <row r="143" spans="1:28" ht="25.5">
      <c r="A143" s="15">
        <v>142</v>
      </c>
      <c r="B143" s="9" t="s">
        <v>591</v>
      </c>
      <c r="C143" s="9" t="s">
        <v>782</v>
      </c>
      <c r="D143" s="10" t="s">
        <v>783</v>
      </c>
      <c r="E143" s="21" t="s">
        <v>784</v>
      </c>
      <c r="F143" s="22"/>
      <c r="G143" s="12" t="s">
        <v>299</v>
      </c>
      <c r="H143" s="13">
        <v>7.4999999999999997E-2</v>
      </c>
      <c r="I143" s="14" t="s">
        <v>687</v>
      </c>
      <c r="J143" s="22" t="s">
        <v>688</v>
      </c>
      <c r="K143" s="9">
        <v>3</v>
      </c>
      <c r="L143" s="15"/>
      <c r="M143" s="16" t="s">
        <v>74</v>
      </c>
      <c r="N143" s="14"/>
      <c r="O143" s="15" t="s">
        <v>65</v>
      </c>
      <c r="P143" s="22" t="s">
        <v>624</v>
      </c>
      <c r="Q143" s="15"/>
      <c r="R143" s="17" t="s">
        <v>74</v>
      </c>
      <c r="S143" s="18"/>
      <c r="T143" s="22" t="str">
        <f>IF(R143="維持",J143,IF(R143="排除","無關新聞事件",IFERROR(INDEX(事件規則!$B$2:$B$53,MATCH(S143,事件規則!$A$2:$A$53,0)),"")))</f>
        <v>無關新聞事件</v>
      </c>
      <c r="U143" s="9">
        <f>IF(R143="維持",K143,IF(R143="排除",0,IFERROR(INDEX(事件規則!$C$2:$C$53,MATCH(S143,事件規則!$A$2:$A$53,0)),"")))</f>
        <v>0</v>
      </c>
      <c r="V143" s="19"/>
      <c r="W143" s="20"/>
      <c r="X143" s="10" t="str">
        <f t="shared" si="2"/>
        <v/>
      </c>
      <c r="Y143" s="19"/>
      <c r="Z143" s="20"/>
      <c r="AA143" s="12" t="s">
        <v>785</v>
      </c>
      <c r="AB143" s="23"/>
    </row>
    <row r="144" spans="1:28" ht="25.5">
      <c r="A144" s="15">
        <v>143</v>
      </c>
      <c r="B144" s="9" t="s">
        <v>591</v>
      </c>
      <c r="C144" s="9" t="s">
        <v>786</v>
      </c>
      <c r="D144" s="10" t="s">
        <v>787</v>
      </c>
      <c r="E144" s="21" t="s">
        <v>788</v>
      </c>
      <c r="F144" s="22"/>
      <c r="G144" s="12" t="s">
        <v>789</v>
      </c>
      <c r="H144" s="13">
        <v>0.51600000000000001</v>
      </c>
      <c r="I144" s="14" t="s">
        <v>687</v>
      </c>
      <c r="J144" s="22" t="s">
        <v>688</v>
      </c>
      <c r="K144" s="9">
        <v>3</v>
      </c>
      <c r="L144" s="15"/>
      <c r="M144" s="16" t="s">
        <v>74</v>
      </c>
      <c r="N144" s="14"/>
      <c r="O144" s="15" t="s">
        <v>65</v>
      </c>
      <c r="P144" s="22" t="s">
        <v>624</v>
      </c>
      <c r="Q144" s="15"/>
      <c r="R144" s="17" t="s">
        <v>74</v>
      </c>
      <c r="S144" s="18"/>
      <c r="T144" s="22" t="str">
        <f>IF(R144="維持",J144,IF(R144="排除","無關新聞事件",IFERROR(INDEX(事件規則!$B$2:$B$53,MATCH(S144,事件規則!$A$2:$A$53,0)),"")))</f>
        <v>無關新聞事件</v>
      </c>
      <c r="U144" s="9">
        <f>IF(R144="維持",K144,IF(R144="排除",0,IFERROR(INDEX(事件規則!$C$2:$C$53,MATCH(S144,事件規則!$A$2:$A$53,0)),"")))</f>
        <v>0</v>
      </c>
      <c r="V144" s="19"/>
      <c r="W144" s="20"/>
      <c r="X144" s="10" t="str">
        <f t="shared" si="2"/>
        <v/>
      </c>
      <c r="Y144" s="19"/>
      <c r="Z144" s="20"/>
      <c r="AA144" s="12" t="s">
        <v>790</v>
      </c>
      <c r="AB144" s="23"/>
    </row>
    <row r="145" spans="1:28" ht="38.25">
      <c r="A145" s="15">
        <v>144</v>
      </c>
      <c r="B145" s="9" t="s">
        <v>113</v>
      </c>
      <c r="C145" s="9" t="s">
        <v>791</v>
      </c>
      <c r="D145" s="10" t="s">
        <v>792</v>
      </c>
      <c r="E145" s="21" t="s">
        <v>793</v>
      </c>
      <c r="F145" s="22"/>
      <c r="G145" s="12" t="s">
        <v>794</v>
      </c>
      <c r="H145" s="13">
        <v>0.50800000000000001</v>
      </c>
      <c r="I145" s="14" t="s">
        <v>687</v>
      </c>
      <c r="J145" s="22" t="s">
        <v>688</v>
      </c>
      <c r="K145" s="9">
        <v>3</v>
      </c>
      <c r="L145" s="15"/>
      <c r="M145" s="16" t="s">
        <v>74</v>
      </c>
      <c r="N145" s="14"/>
      <c r="O145" s="15" t="s">
        <v>65</v>
      </c>
      <c r="P145" s="22" t="s">
        <v>624</v>
      </c>
      <c r="Q145" s="15"/>
      <c r="R145" s="17" t="s">
        <v>74</v>
      </c>
      <c r="S145" s="18"/>
      <c r="T145" s="22" t="str">
        <f>IF(R145="維持",J145,IF(R145="排除","無關新聞事件",IFERROR(INDEX(事件規則!$B$2:$B$53,MATCH(S145,事件規則!$A$2:$A$53,0)),"")))</f>
        <v>無關新聞事件</v>
      </c>
      <c r="U145" s="9">
        <f>IF(R145="維持",K145,IF(R145="排除",0,IFERROR(INDEX(事件規則!$C$2:$C$53,MATCH(S145,事件規則!$A$2:$A$53,0)),"")))</f>
        <v>0</v>
      </c>
      <c r="V145" s="19"/>
      <c r="W145" s="20"/>
      <c r="X145" s="10" t="str">
        <f t="shared" si="2"/>
        <v/>
      </c>
      <c r="Y145" s="19"/>
      <c r="Z145" s="20"/>
      <c r="AA145" s="12" t="s">
        <v>795</v>
      </c>
      <c r="AB145" s="23"/>
    </row>
    <row r="146" spans="1:28" ht="38.25">
      <c r="A146" s="15">
        <v>145</v>
      </c>
      <c r="B146" s="9" t="s">
        <v>113</v>
      </c>
      <c r="C146" s="9" t="s">
        <v>796</v>
      </c>
      <c r="D146" s="10" t="s">
        <v>797</v>
      </c>
      <c r="E146" s="21" t="s">
        <v>798</v>
      </c>
      <c r="F146" s="22"/>
      <c r="G146" s="12" t="s">
        <v>799</v>
      </c>
      <c r="H146" s="13">
        <v>4.7E-2</v>
      </c>
      <c r="I146" s="14" t="s">
        <v>687</v>
      </c>
      <c r="J146" s="22" t="s">
        <v>688</v>
      </c>
      <c r="K146" s="9">
        <v>3</v>
      </c>
      <c r="L146" s="15"/>
      <c r="M146" s="16" t="s">
        <v>74</v>
      </c>
      <c r="N146" s="14"/>
      <c r="O146" s="15" t="s">
        <v>65</v>
      </c>
      <c r="P146" s="22" t="s">
        <v>624</v>
      </c>
      <c r="Q146" s="15"/>
      <c r="R146" s="17" t="s">
        <v>74</v>
      </c>
      <c r="S146" s="18"/>
      <c r="T146" s="22" t="str">
        <f>IF(R146="維持",J146,IF(R146="排除","無關新聞事件",IFERROR(INDEX(事件規則!$B$2:$B$53,MATCH(S146,事件規則!$A$2:$A$53,0)),"")))</f>
        <v>無關新聞事件</v>
      </c>
      <c r="U146" s="9">
        <f>IF(R146="維持",K146,IF(R146="排除",0,IFERROR(INDEX(事件規則!$C$2:$C$53,MATCH(S146,事件規則!$A$2:$A$53,0)),"")))</f>
        <v>0</v>
      </c>
      <c r="V146" s="19"/>
      <c r="W146" s="20"/>
      <c r="X146" s="10" t="str">
        <f t="shared" si="2"/>
        <v/>
      </c>
      <c r="Y146" s="19"/>
      <c r="Z146" s="20"/>
      <c r="AA146" s="12" t="s">
        <v>800</v>
      </c>
      <c r="AB146" s="23"/>
    </row>
    <row r="147" spans="1:28" ht="38.25">
      <c r="A147" s="15">
        <v>146</v>
      </c>
      <c r="B147" s="9" t="s">
        <v>225</v>
      </c>
      <c r="C147" s="9" t="s">
        <v>796</v>
      </c>
      <c r="D147" s="10" t="s">
        <v>797</v>
      </c>
      <c r="E147" s="21" t="s">
        <v>801</v>
      </c>
      <c r="F147" s="10" t="s">
        <v>802</v>
      </c>
      <c r="G147" s="12" t="s">
        <v>803</v>
      </c>
      <c r="H147" s="13">
        <v>0.88600000000000001</v>
      </c>
      <c r="I147" s="14" t="s">
        <v>687</v>
      </c>
      <c r="J147" s="22" t="s">
        <v>688</v>
      </c>
      <c r="K147" s="9">
        <v>3</v>
      </c>
      <c r="L147" s="15"/>
      <c r="M147" s="16" t="s">
        <v>74</v>
      </c>
      <c r="N147" s="14"/>
      <c r="O147" s="15" t="s">
        <v>65</v>
      </c>
      <c r="P147" s="22" t="s">
        <v>624</v>
      </c>
      <c r="Q147" s="15"/>
      <c r="R147" s="17" t="s">
        <v>74</v>
      </c>
      <c r="S147" s="18"/>
      <c r="T147" s="22" t="str">
        <f>IF(R147="維持",J147,IF(R147="排除","無關新聞事件",IFERROR(INDEX(事件規則!$B$2:$B$53,MATCH(S147,事件規則!$A$2:$A$53,0)),"")))</f>
        <v>無關新聞事件</v>
      </c>
      <c r="U147" s="9">
        <f>IF(R147="維持",K147,IF(R147="排除",0,IFERROR(INDEX(事件規則!$C$2:$C$53,MATCH(S147,事件規則!$A$2:$A$53,0)),"")))</f>
        <v>0</v>
      </c>
      <c r="V147" s="19"/>
      <c r="W147" s="20"/>
      <c r="X147" s="10" t="str">
        <f t="shared" si="2"/>
        <v/>
      </c>
      <c r="Y147" s="19"/>
      <c r="Z147" s="20"/>
      <c r="AA147" s="12" t="s">
        <v>804</v>
      </c>
      <c r="AB147" s="23"/>
    </row>
    <row r="148" spans="1:28" ht="38.25">
      <c r="A148" s="15">
        <v>147</v>
      </c>
      <c r="B148" s="9" t="s">
        <v>225</v>
      </c>
      <c r="C148" s="9" t="s">
        <v>805</v>
      </c>
      <c r="D148" s="10" t="s">
        <v>806</v>
      </c>
      <c r="E148" s="21" t="s">
        <v>807</v>
      </c>
      <c r="F148" s="10" t="s">
        <v>808</v>
      </c>
      <c r="G148" s="12" t="s">
        <v>64</v>
      </c>
      <c r="H148" s="13">
        <v>0.44400000000000001</v>
      </c>
      <c r="I148" s="14" t="s">
        <v>687</v>
      </c>
      <c r="J148" s="22" t="s">
        <v>688</v>
      </c>
      <c r="K148" s="9">
        <v>3</v>
      </c>
      <c r="L148" s="15"/>
      <c r="M148" s="16" t="s">
        <v>74</v>
      </c>
      <c r="N148" s="14"/>
      <c r="O148" s="15" t="s">
        <v>65</v>
      </c>
      <c r="P148" s="22" t="s">
        <v>624</v>
      </c>
      <c r="Q148" s="15"/>
      <c r="R148" s="17" t="s">
        <v>74</v>
      </c>
      <c r="S148" s="18"/>
      <c r="T148" s="22" t="str">
        <f>IF(R148="維持",J148,IF(R148="排除","無關新聞事件",IFERROR(INDEX(事件規則!$B$2:$B$53,MATCH(S148,事件規則!$A$2:$A$53,0)),"")))</f>
        <v>無關新聞事件</v>
      </c>
      <c r="U148" s="9">
        <f>IF(R148="維持",K148,IF(R148="排除",0,IFERROR(INDEX(事件規則!$C$2:$C$53,MATCH(S148,事件規則!$A$2:$A$53,0)),"")))</f>
        <v>0</v>
      </c>
      <c r="V148" s="19"/>
      <c r="W148" s="20"/>
      <c r="X148" s="10" t="str">
        <f t="shared" si="2"/>
        <v/>
      </c>
      <c r="Y148" s="19"/>
      <c r="Z148" s="20"/>
      <c r="AA148" s="12" t="s">
        <v>809</v>
      </c>
      <c r="AB148" s="23"/>
    </row>
    <row r="149" spans="1:28" ht="25.5">
      <c r="A149" s="15">
        <v>148</v>
      </c>
      <c r="B149" s="9" t="s">
        <v>399</v>
      </c>
      <c r="C149" s="9" t="s">
        <v>810</v>
      </c>
      <c r="D149" s="10" t="s">
        <v>811</v>
      </c>
      <c r="E149" s="21" t="s">
        <v>812</v>
      </c>
      <c r="F149" s="22" t="s">
        <v>813</v>
      </c>
      <c r="G149" s="12" t="s">
        <v>386</v>
      </c>
      <c r="H149" s="13">
        <v>0.246</v>
      </c>
      <c r="I149" s="14" t="s">
        <v>687</v>
      </c>
      <c r="J149" s="22" t="s">
        <v>688</v>
      </c>
      <c r="K149" s="9">
        <v>3</v>
      </c>
      <c r="L149" s="15"/>
      <c r="M149" s="16" t="s">
        <v>54</v>
      </c>
      <c r="N149" s="14"/>
      <c r="O149" s="15" t="s">
        <v>65</v>
      </c>
      <c r="P149" s="10" t="s">
        <v>814</v>
      </c>
      <c r="Q149" s="15"/>
      <c r="R149" s="17" t="s">
        <v>54</v>
      </c>
      <c r="S149" s="18"/>
      <c r="T149" s="22" t="str">
        <f>IF(R149="維持",J149,IF(R149="排除","無關新聞事件",IFERROR(INDEX(事件規則!$B$2:$B$53,MATCH(S149,事件規則!$A$2:$A$53,0)),"")))</f>
        <v>供應鏈中斷</v>
      </c>
      <c r="U149" s="9">
        <f>IF(R149="維持",K149,IF(R149="排除",0,IFERROR(INDEX(事件規則!$C$2:$C$53,MATCH(S149,事件規則!$A$2:$A$53,0)),"")))</f>
        <v>3</v>
      </c>
      <c r="V149" s="19"/>
      <c r="W149" s="20"/>
      <c r="X149" s="10" t="str">
        <f t="shared" si="2"/>
        <v/>
      </c>
      <c r="Y149" s="19"/>
      <c r="Z149" s="20"/>
      <c r="AA149" s="12" t="s">
        <v>815</v>
      </c>
      <c r="AB149" s="23"/>
    </row>
    <row r="150" spans="1:28" ht="38.25">
      <c r="A150" s="15">
        <v>149</v>
      </c>
      <c r="B150" s="9" t="s">
        <v>232</v>
      </c>
      <c r="C150" s="9" t="s">
        <v>816</v>
      </c>
      <c r="D150" s="10" t="s">
        <v>817</v>
      </c>
      <c r="E150" s="21" t="s">
        <v>818</v>
      </c>
      <c r="F150" s="22"/>
      <c r="G150" s="12" t="s">
        <v>819</v>
      </c>
      <c r="H150" s="13">
        <v>0.76200000000000001</v>
      </c>
      <c r="I150" s="14" t="s">
        <v>687</v>
      </c>
      <c r="J150" s="22" t="s">
        <v>688</v>
      </c>
      <c r="K150" s="9">
        <v>3</v>
      </c>
      <c r="L150" s="15"/>
      <c r="M150" s="16" t="s">
        <v>74</v>
      </c>
      <c r="N150" s="14"/>
      <c r="O150" s="15" t="s">
        <v>65</v>
      </c>
      <c r="P150" s="22" t="s">
        <v>624</v>
      </c>
      <c r="Q150" s="15"/>
      <c r="R150" s="17" t="s">
        <v>74</v>
      </c>
      <c r="S150" s="18"/>
      <c r="T150" s="22" t="str">
        <f>IF(R150="維持",J150,IF(R150="排除","無關新聞事件",IFERROR(INDEX(事件規則!$B$2:$B$53,MATCH(S150,事件規則!$A$2:$A$53,0)),"")))</f>
        <v>無關新聞事件</v>
      </c>
      <c r="U150" s="9">
        <f>IF(R150="維持",K150,IF(R150="排除",0,IFERROR(INDEX(事件規則!$C$2:$C$53,MATCH(S150,事件規則!$A$2:$A$53,0)),"")))</f>
        <v>0</v>
      </c>
      <c r="V150" s="19"/>
      <c r="W150" s="20"/>
      <c r="X150" s="10" t="str">
        <f t="shared" si="2"/>
        <v/>
      </c>
      <c r="Y150" s="19"/>
      <c r="Z150" s="20"/>
      <c r="AA150" s="12" t="s">
        <v>820</v>
      </c>
      <c r="AB150" s="23"/>
    </row>
    <row r="151" spans="1:28" ht="25.5">
      <c r="A151" s="15">
        <v>150</v>
      </c>
      <c r="B151" s="9" t="s">
        <v>125</v>
      </c>
      <c r="C151" s="9" t="s">
        <v>297</v>
      </c>
      <c r="D151" s="10" t="s">
        <v>298</v>
      </c>
      <c r="E151" s="21" t="s">
        <v>821</v>
      </c>
      <c r="F151" s="22"/>
      <c r="G151" s="12" t="s">
        <v>822</v>
      </c>
      <c r="H151" s="13">
        <v>0.74299999999999999</v>
      </c>
      <c r="I151" s="14" t="s">
        <v>687</v>
      </c>
      <c r="J151" s="22" t="s">
        <v>688</v>
      </c>
      <c r="K151" s="9">
        <v>3</v>
      </c>
      <c r="L151" s="15"/>
      <c r="M151" s="16" t="s">
        <v>74</v>
      </c>
      <c r="N151" s="14"/>
      <c r="O151" s="15" t="s">
        <v>65</v>
      </c>
      <c r="P151" s="22" t="s">
        <v>624</v>
      </c>
      <c r="Q151" s="15"/>
      <c r="R151" s="17" t="s">
        <v>74</v>
      </c>
      <c r="S151" s="18"/>
      <c r="T151" s="22" t="str">
        <f>IF(R151="維持",J151,IF(R151="排除","無關新聞事件",IFERROR(INDEX(事件規則!$B$2:$B$53,MATCH(S151,事件規則!$A$2:$A$53,0)),"")))</f>
        <v>無關新聞事件</v>
      </c>
      <c r="U151" s="9">
        <f>IF(R151="維持",K151,IF(R151="排除",0,IFERROR(INDEX(事件規則!$C$2:$C$53,MATCH(S151,事件規則!$A$2:$A$53,0)),"")))</f>
        <v>0</v>
      </c>
      <c r="V151" s="19"/>
      <c r="W151" s="20"/>
      <c r="X151" s="10" t="str">
        <f t="shared" si="2"/>
        <v/>
      </c>
      <c r="Y151" s="19"/>
      <c r="Z151" s="20"/>
      <c r="AA151" s="12" t="s">
        <v>823</v>
      </c>
      <c r="AB151" s="23"/>
    </row>
    <row r="152" spans="1:28" ht="25.5">
      <c r="A152" s="15">
        <v>151</v>
      </c>
      <c r="B152" s="9" t="s">
        <v>125</v>
      </c>
      <c r="C152" s="9" t="s">
        <v>824</v>
      </c>
      <c r="D152" s="10" t="s">
        <v>825</v>
      </c>
      <c r="E152" s="21" t="s">
        <v>826</v>
      </c>
      <c r="F152" s="22"/>
      <c r="G152" s="12" t="s">
        <v>299</v>
      </c>
      <c r="H152" s="13">
        <v>0.82299999999999995</v>
      </c>
      <c r="I152" s="14" t="s">
        <v>687</v>
      </c>
      <c r="J152" s="22" t="s">
        <v>688</v>
      </c>
      <c r="K152" s="9">
        <v>3</v>
      </c>
      <c r="L152" s="15"/>
      <c r="M152" s="16" t="s">
        <v>74</v>
      </c>
      <c r="N152" s="14"/>
      <c r="O152" s="15" t="s">
        <v>65</v>
      </c>
      <c r="P152" s="22" t="s">
        <v>624</v>
      </c>
      <c r="Q152" s="15"/>
      <c r="R152" s="17" t="s">
        <v>74</v>
      </c>
      <c r="S152" s="18"/>
      <c r="T152" s="22" t="str">
        <f>IF(R152="維持",J152,IF(R152="排除","無關新聞事件",IFERROR(INDEX(事件規則!$B$2:$B$53,MATCH(S152,事件規則!$A$2:$A$53,0)),"")))</f>
        <v>無關新聞事件</v>
      </c>
      <c r="U152" s="9">
        <f>IF(R152="維持",K152,IF(R152="排除",0,IFERROR(INDEX(事件規則!$C$2:$C$53,MATCH(S152,事件規則!$A$2:$A$53,0)),"")))</f>
        <v>0</v>
      </c>
      <c r="V152" s="19"/>
      <c r="W152" s="20"/>
      <c r="X152" s="10" t="str">
        <f t="shared" si="2"/>
        <v/>
      </c>
      <c r="Y152" s="19"/>
      <c r="Z152" s="20"/>
      <c r="AA152" s="12" t="s">
        <v>827</v>
      </c>
      <c r="AB152" s="23"/>
    </row>
    <row r="153" spans="1:28" ht="25.5">
      <c r="A153" s="15">
        <v>152</v>
      </c>
      <c r="B153" s="9" t="s">
        <v>125</v>
      </c>
      <c r="C153" s="9" t="s">
        <v>297</v>
      </c>
      <c r="D153" s="10" t="s">
        <v>298</v>
      </c>
      <c r="E153" s="21" t="s">
        <v>828</v>
      </c>
      <c r="F153" s="22"/>
      <c r="G153" s="12" t="s">
        <v>829</v>
      </c>
      <c r="H153" s="13">
        <v>0.23599999999999999</v>
      </c>
      <c r="I153" s="14" t="s">
        <v>687</v>
      </c>
      <c r="J153" s="22" t="s">
        <v>688</v>
      </c>
      <c r="K153" s="9">
        <v>3</v>
      </c>
      <c r="L153" s="15"/>
      <c r="M153" s="16" t="s">
        <v>74</v>
      </c>
      <c r="N153" s="14"/>
      <c r="O153" s="15" t="s">
        <v>65</v>
      </c>
      <c r="P153" s="22" t="s">
        <v>624</v>
      </c>
      <c r="Q153" s="15"/>
      <c r="R153" s="17" t="s">
        <v>74</v>
      </c>
      <c r="S153" s="18"/>
      <c r="T153" s="22" t="str">
        <f>IF(R153="維持",J153,IF(R153="排除","無關新聞事件",IFERROR(INDEX(事件規則!$B$2:$B$53,MATCH(S153,事件規則!$A$2:$A$53,0)),"")))</f>
        <v>無關新聞事件</v>
      </c>
      <c r="U153" s="9">
        <f>IF(R153="維持",K153,IF(R153="排除",0,IFERROR(INDEX(事件規則!$C$2:$C$53,MATCH(S153,事件規則!$A$2:$A$53,0)),"")))</f>
        <v>0</v>
      </c>
      <c r="V153" s="19"/>
      <c r="W153" s="20"/>
      <c r="X153" s="10" t="str">
        <f t="shared" si="2"/>
        <v/>
      </c>
      <c r="Y153" s="19"/>
      <c r="Z153" s="20"/>
      <c r="AA153" s="12" t="s">
        <v>830</v>
      </c>
      <c r="AB153" s="23"/>
    </row>
    <row r="154" spans="1:28" ht="25.5">
      <c r="A154" s="15">
        <v>153</v>
      </c>
      <c r="B154" s="9" t="s">
        <v>125</v>
      </c>
      <c r="C154" s="9" t="s">
        <v>824</v>
      </c>
      <c r="D154" s="10" t="s">
        <v>825</v>
      </c>
      <c r="E154" s="21" t="s">
        <v>831</v>
      </c>
      <c r="F154" s="22"/>
      <c r="G154" s="12" t="s">
        <v>832</v>
      </c>
      <c r="H154" s="13">
        <v>3.9E-2</v>
      </c>
      <c r="I154" s="14" t="s">
        <v>687</v>
      </c>
      <c r="J154" s="22" t="s">
        <v>688</v>
      </c>
      <c r="K154" s="9">
        <v>3</v>
      </c>
      <c r="L154" s="15"/>
      <c r="M154" s="16" t="s">
        <v>74</v>
      </c>
      <c r="N154" s="14"/>
      <c r="O154" s="15" t="s">
        <v>65</v>
      </c>
      <c r="P154" s="22" t="s">
        <v>624</v>
      </c>
      <c r="Q154" s="15"/>
      <c r="R154" s="17" t="s">
        <v>74</v>
      </c>
      <c r="S154" s="18"/>
      <c r="T154" s="22" t="str">
        <f>IF(R154="維持",J154,IF(R154="排除","無關新聞事件",IFERROR(INDEX(事件規則!$B$2:$B$53,MATCH(S154,事件規則!$A$2:$A$53,0)),"")))</f>
        <v>無關新聞事件</v>
      </c>
      <c r="U154" s="9">
        <f>IF(R154="維持",K154,IF(R154="排除",0,IFERROR(INDEX(事件規則!$C$2:$C$53,MATCH(S154,事件規則!$A$2:$A$53,0)),"")))</f>
        <v>0</v>
      </c>
      <c r="V154" s="19"/>
      <c r="W154" s="20"/>
      <c r="X154" s="10" t="str">
        <f t="shared" si="2"/>
        <v/>
      </c>
      <c r="Y154" s="19"/>
      <c r="Z154" s="20"/>
      <c r="AA154" s="12" t="s">
        <v>833</v>
      </c>
      <c r="AB154" s="23"/>
    </row>
    <row r="155" spans="1:28" ht="25.5">
      <c r="A155" s="15">
        <v>154</v>
      </c>
      <c r="B155" s="9" t="s">
        <v>414</v>
      </c>
      <c r="C155" s="9" t="s">
        <v>834</v>
      </c>
      <c r="D155" s="10" t="s">
        <v>835</v>
      </c>
      <c r="E155" s="21" t="s">
        <v>836</v>
      </c>
      <c r="F155" s="22"/>
      <c r="G155" s="12" t="s">
        <v>837</v>
      </c>
      <c r="H155" s="13">
        <v>0.65</v>
      </c>
      <c r="I155" s="14" t="s">
        <v>687</v>
      </c>
      <c r="J155" s="22" t="s">
        <v>688</v>
      </c>
      <c r="K155" s="9">
        <v>3</v>
      </c>
      <c r="L155" s="15"/>
      <c r="M155" s="16" t="s">
        <v>74</v>
      </c>
      <c r="N155" s="14"/>
      <c r="O155" s="15" t="s">
        <v>65</v>
      </c>
      <c r="P155" s="22" t="s">
        <v>624</v>
      </c>
      <c r="Q155" s="15"/>
      <c r="R155" s="17" t="s">
        <v>74</v>
      </c>
      <c r="S155" s="18"/>
      <c r="T155" s="22" t="str">
        <f>IF(R155="維持",J155,IF(R155="排除","無關新聞事件",IFERROR(INDEX(事件規則!$B$2:$B$53,MATCH(S155,事件規則!$A$2:$A$53,0)),"")))</f>
        <v>無關新聞事件</v>
      </c>
      <c r="U155" s="9">
        <f>IF(R155="維持",K155,IF(R155="排除",0,IFERROR(INDEX(事件規則!$C$2:$C$53,MATCH(S155,事件規則!$A$2:$A$53,0)),"")))</f>
        <v>0</v>
      </c>
      <c r="V155" s="19"/>
      <c r="W155" s="20"/>
      <c r="X155" s="10" t="str">
        <f t="shared" si="2"/>
        <v/>
      </c>
      <c r="Y155" s="19"/>
      <c r="Z155" s="20"/>
      <c r="AA155" s="12" t="s">
        <v>838</v>
      </c>
      <c r="AB155" s="23"/>
    </row>
    <row r="156" spans="1:28" ht="25.5">
      <c r="A156" s="15">
        <v>155</v>
      </c>
      <c r="B156" s="9" t="s">
        <v>414</v>
      </c>
      <c r="C156" s="9" t="s">
        <v>839</v>
      </c>
      <c r="D156" s="10" t="s">
        <v>840</v>
      </c>
      <c r="E156" s="21" t="s">
        <v>836</v>
      </c>
      <c r="F156" s="22"/>
      <c r="G156" s="12" t="s">
        <v>837</v>
      </c>
      <c r="H156" s="13">
        <v>0.65</v>
      </c>
      <c r="I156" s="14" t="s">
        <v>687</v>
      </c>
      <c r="J156" s="22" t="s">
        <v>688</v>
      </c>
      <c r="K156" s="9">
        <v>3</v>
      </c>
      <c r="L156" s="15"/>
      <c r="M156" s="16" t="s">
        <v>74</v>
      </c>
      <c r="N156" s="14"/>
      <c r="O156" s="15" t="s">
        <v>65</v>
      </c>
      <c r="P156" s="22" t="s">
        <v>624</v>
      </c>
      <c r="Q156" s="15"/>
      <c r="R156" s="17" t="s">
        <v>74</v>
      </c>
      <c r="S156" s="18"/>
      <c r="T156" s="22" t="str">
        <f>IF(R156="維持",J156,IF(R156="排除","無關新聞事件",IFERROR(INDEX(事件規則!$B$2:$B$53,MATCH(S156,事件規則!$A$2:$A$53,0)),"")))</f>
        <v>無關新聞事件</v>
      </c>
      <c r="U156" s="9">
        <f>IF(R156="維持",K156,IF(R156="排除",0,IFERROR(INDEX(事件規則!$C$2:$C$53,MATCH(S156,事件規則!$A$2:$A$53,0)),"")))</f>
        <v>0</v>
      </c>
      <c r="V156" s="19"/>
      <c r="W156" s="20"/>
      <c r="X156" s="10" t="str">
        <f t="shared" si="2"/>
        <v/>
      </c>
      <c r="Y156" s="19"/>
      <c r="Z156" s="20"/>
      <c r="AA156" s="12" t="s">
        <v>841</v>
      </c>
      <c r="AB156" s="23"/>
    </row>
    <row r="157" spans="1:28" ht="25.5">
      <c r="A157" s="15">
        <v>156</v>
      </c>
      <c r="B157" s="9" t="s">
        <v>414</v>
      </c>
      <c r="C157" s="9" t="s">
        <v>675</v>
      </c>
      <c r="D157" s="10" t="s">
        <v>676</v>
      </c>
      <c r="E157" s="21" t="s">
        <v>842</v>
      </c>
      <c r="F157" s="22"/>
      <c r="G157" s="12" t="s">
        <v>693</v>
      </c>
      <c r="H157" s="13">
        <v>0.20100000000000001</v>
      </c>
      <c r="I157" s="14" t="s">
        <v>687</v>
      </c>
      <c r="J157" s="22" t="s">
        <v>688</v>
      </c>
      <c r="K157" s="9">
        <v>3</v>
      </c>
      <c r="L157" s="15"/>
      <c r="M157" s="16" t="s">
        <v>74</v>
      </c>
      <c r="N157" s="14"/>
      <c r="O157" s="15" t="s">
        <v>65</v>
      </c>
      <c r="P157" s="22" t="s">
        <v>624</v>
      </c>
      <c r="Q157" s="15"/>
      <c r="R157" s="17" t="s">
        <v>74</v>
      </c>
      <c r="S157" s="18"/>
      <c r="T157" s="22" t="str">
        <f>IF(R157="維持",J157,IF(R157="排除","無關新聞事件",IFERROR(INDEX(事件規則!$B$2:$B$53,MATCH(S157,事件規則!$A$2:$A$53,0)),"")))</f>
        <v>無關新聞事件</v>
      </c>
      <c r="U157" s="9">
        <f>IF(R157="維持",K157,IF(R157="排除",0,IFERROR(INDEX(事件規則!$C$2:$C$53,MATCH(S157,事件規則!$A$2:$A$53,0)),"")))</f>
        <v>0</v>
      </c>
      <c r="V157" s="19"/>
      <c r="W157" s="20"/>
      <c r="X157" s="10" t="str">
        <f t="shared" si="2"/>
        <v/>
      </c>
      <c r="Y157" s="19"/>
      <c r="Z157" s="20"/>
      <c r="AA157" s="12" t="s">
        <v>843</v>
      </c>
      <c r="AB157" s="23"/>
    </row>
    <row r="158" spans="1:28" ht="38.25">
      <c r="A158" s="15">
        <v>157</v>
      </c>
      <c r="B158" s="9" t="s">
        <v>507</v>
      </c>
      <c r="C158" s="9" t="s">
        <v>522</v>
      </c>
      <c r="D158" s="10" t="s">
        <v>523</v>
      </c>
      <c r="E158" s="21" t="s">
        <v>844</v>
      </c>
      <c r="F158" s="22"/>
      <c r="G158" s="12" t="s">
        <v>299</v>
      </c>
      <c r="H158" s="13">
        <v>0.70599999999999996</v>
      </c>
      <c r="I158" s="14" t="s">
        <v>687</v>
      </c>
      <c r="J158" s="22" t="s">
        <v>688</v>
      </c>
      <c r="K158" s="9">
        <v>3</v>
      </c>
      <c r="L158" s="15"/>
      <c r="M158" s="16" t="s">
        <v>74</v>
      </c>
      <c r="N158" s="14"/>
      <c r="O158" s="15" t="s">
        <v>65</v>
      </c>
      <c r="P158" s="22" t="s">
        <v>624</v>
      </c>
      <c r="Q158" s="15"/>
      <c r="R158" s="17" t="s">
        <v>74</v>
      </c>
      <c r="S158" s="18"/>
      <c r="T158" s="22" t="str">
        <f>IF(R158="維持",J158,IF(R158="排除","無關新聞事件",IFERROR(INDEX(事件規則!$B$2:$B$53,MATCH(S158,事件規則!$A$2:$A$53,0)),"")))</f>
        <v>無關新聞事件</v>
      </c>
      <c r="U158" s="9">
        <f>IF(R158="維持",K158,IF(R158="排除",0,IFERROR(INDEX(事件規則!$C$2:$C$53,MATCH(S158,事件規則!$A$2:$A$53,0)),"")))</f>
        <v>0</v>
      </c>
      <c r="V158" s="19"/>
      <c r="W158" s="20"/>
      <c r="X158" s="10" t="str">
        <f t="shared" si="2"/>
        <v/>
      </c>
      <c r="Y158" s="19"/>
      <c r="Z158" s="20"/>
      <c r="AA158" s="12" t="s">
        <v>845</v>
      </c>
      <c r="AB158" s="23"/>
    </row>
    <row r="159" spans="1:28" ht="25.5">
      <c r="A159" s="15">
        <v>158</v>
      </c>
      <c r="B159" s="9" t="s">
        <v>846</v>
      </c>
      <c r="C159" s="9" t="s">
        <v>847</v>
      </c>
      <c r="D159" s="10" t="s">
        <v>848</v>
      </c>
      <c r="E159" s="21" t="s">
        <v>849</v>
      </c>
      <c r="F159" s="22"/>
      <c r="G159" s="12" t="s">
        <v>850</v>
      </c>
      <c r="H159" s="13">
        <v>0.754</v>
      </c>
      <c r="I159" s="14" t="s">
        <v>687</v>
      </c>
      <c r="J159" s="22" t="s">
        <v>688</v>
      </c>
      <c r="K159" s="9">
        <v>3</v>
      </c>
      <c r="L159" s="15"/>
      <c r="M159" s="16" t="s">
        <v>74</v>
      </c>
      <c r="N159" s="14"/>
      <c r="O159" s="15" t="s">
        <v>65</v>
      </c>
      <c r="P159" s="22" t="s">
        <v>624</v>
      </c>
      <c r="Q159" s="15"/>
      <c r="R159" s="17" t="s">
        <v>74</v>
      </c>
      <c r="S159" s="18"/>
      <c r="T159" s="22" t="str">
        <f>IF(R159="維持",J159,IF(R159="排除","無關新聞事件",IFERROR(INDEX(事件規則!$B$2:$B$53,MATCH(S159,事件規則!$A$2:$A$53,0)),"")))</f>
        <v>無關新聞事件</v>
      </c>
      <c r="U159" s="9">
        <f>IF(R159="維持",K159,IF(R159="排除",0,IFERROR(INDEX(事件規則!$C$2:$C$53,MATCH(S159,事件規則!$A$2:$A$53,0)),"")))</f>
        <v>0</v>
      </c>
      <c r="V159" s="19"/>
      <c r="W159" s="20"/>
      <c r="X159" s="10" t="str">
        <f t="shared" si="2"/>
        <v/>
      </c>
      <c r="Y159" s="19"/>
      <c r="Z159" s="20"/>
      <c r="AA159" s="12" t="s">
        <v>851</v>
      </c>
      <c r="AB159" s="23"/>
    </row>
    <row r="160" spans="1:28" ht="25.5">
      <c r="A160" s="15">
        <v>159</v>
      </c>
      <c r="B160" s="9" t="s">
        <v>852</v>
      </c>
      <c r="C160" s="9" t="s">
        <v>675</v>
      </c>
      <c r="D160" s="10" t="s">
        <v>676</v>
      </c>
      <c r="E160" s="21" t="s">
        <v>842</v>
      </c>
      <c r="F160" s="22"/>
      <c r="G160" s="12" t="s">
        <v>853</v>
      </c>
      <c r="H160" s="13">
        <v>0.20100000000000001</v>
      </c>
      <c r="I160" s="14" t="s">
        <v>687</v>
      </c>
      <c r="J160" s="22" t="s">
        <v>688</v>
      </c>
      <c r="K160" s="9">
        <v>3</v>
      </c>
      <c r="L160" s="15"/>
      <c r="M160" s="16" t="s">
        <v>74</v>
      </c>
      <c r="N160" s="14"/>
      <c r="O160" s="15" t="s">
        <v>65</v>
      </c>
      <c r="P160" s="22" t="s">
        <v>624</v>
      </c>
      <c r="Q160" s="15"/>
      <c r="R160" s="17" t="s">
        <v>74</v>
      </c>
      <c r="S160" s="18"/>
      <c r="T160" s="22" t="str">
        <f>IF(R160="維持",J160,IF(R160="排除","無關新聞事件",IFERROR(INDEX(事件規則!$B$2:$B$53,MATCH(S160,事件規則!$A$2:$A$53,0)),"")))</f>
        <v>無關新聞事件</v>
      </c>
      <c r="U160" s="9">
        <f>IF(R160="維持",K160,IF(R160="排除",0,IFERROR(INDEX(事件規則!$C$2:$C$53,MATCH(S160,事件規則!$A$2:$A$53,0)),"")))</f>
        <v>0</v>
      </c>
      <c r="V160" s="19"/>
      <c r="W160" s="20"/>
      <c r="X160" s="10" t="str">
        <f t="shared" si="2"/>
        <v/>
      </c>
      <c r="Y160" s="19"/>
      <c r="Z160" s="20"/>
      <c r="AA160" s="12" t="s">
        <v>854</v>
      </c>
      <c r="AB160" s="23"/>
    </row>
    <row r="161" spans="1:28" ht="38.25">
      <c r="A161" s="15">
        <v>160</v>
      </c>
      <c r="B161" s="9" t="s">
        <v>855</v>
      </c>
      <c r="C161" s="9" t="s">
        <v>249</v>
      </c>
      <c r="D161" s="10" t="s">
        <v>250</v>
      </c>
      <c r="E161" s="21" t="s">
        <v>856</v>
      </c>
      <c r="F161" s="22"/>
      <c r="G161" s="12" t="s">
        <v>857</v>
      </c>
      <c r="H161" s="13">
        <v>0.40600000000000003</v>
      </c>
      <c r="I161" s="14" t="s">
        <v>687</v>
      </c>
      <c r="J161" s="22" t="s">
        <v>688</v>
      </c>
      <c r="K161" s="9">
        <v>3</v>
      </c>
      <c r="L161" s="15"/>
      <c r="M161" s="16" t="s">
        <v>74</v>
      </c>
      <c r="N161" s="14"/>
      <c r="O161" s="15" t="s">
        <v>65</v>
      </c>
      <c r="P161" s="22" t="s">
        <v>624</v>
      </c>
      <c r="Q161" s="15"/>
      <c r="R161" s="17" t="s">
        <v>74</v>
      </c>
      <c r="S161" s="18"/>
      <c r="T161" s="22" t="str">
        <f>IF(R161="維持",J161,IF(R161="排除","無關新聞事件",IFERROR(INDEX(事件規則!$B$2:$B$53,MATCH(S161,事件規則!$A$2:$A$53,0)),"")))</f>
        <v>無關新聞事件</v>
      </c>
      <c r="U161" s="9">
        <f>IF(R161="維持",K161,IF(R161="排除",0,IFERROR(INDEX(事件規則!$C$2:$C$53,MATCH(S161,事件規則!$A$2:$A$53,0)),"")))</f>
        <v>0</v>
      </c>
      <c r="V161" s="19"/>
      <c r="W161" s="20"/>
      <c r="X161" s="10" t="str">
        <f t="shared" si="2"/>
        <v/>
      </c>
      <c r="Y161" s="19"/>
      <c r="Z161" s="20"/>
      <c r="AA161" s="12" t="s">
        <v>858</v>
      </c>
      <c r="AB161" s="23"/>
    </row>
    <row r="162" spans="1:28" ht="25.5">
      <c r="A162" s="15">
        <v>161</v>
      </c>
      <c r="B162" s="9" t="s">
        <v>535</v>
      </c>
      <c r="C162" s="9" t="s">
        <v>859</v>
      </c>
      <c r="D162" s="10" t="s">
        <v>860</v>
      </c>
      <c r="E162" s="21" t="s">
        <v>861</v>
      </c>
      <c r="F162" s="22"/>
      <c r="G162" s="12" t="s">
        <v>862</v>
      </c>
      <c r="H162" s="13">
        <v>0.82099999999999995</v>
      </c>
      <c r="I162" s="14" t="s">
        <v>687</v>
      </c>
      <c r="J162" s="22" t="s">
        <v>688</v>
      </c>
      <c r="K162" s="9">
        <v>3</v>
      </c>
      <c r="L162" s="15"/>
      <c r="M162" s="16" t="s">
        <v>74</v>
      </c>
      <c r="N162" s="14"/>
      <c r="O162" s="15" t="s">
        <v>65</v>
      </c>
      <c r="P162" s="22" t="s">
        <v>624</v>
      </c>
      <c r="Q162" s="15"/>
      <c r="R162" s="17" t="s">
        <v>74</v>
      </c>
      <c r="S162" s="18"/>
      <c r="T162" s="22" t="str">
        <f>IF(R162="維持",J162,IF(R162="排除","無關新聞事件",IFERROR(INDEX(事件規則!$B$2:$B$53,MATCH(S162,事件規則!$A$2:$A$53,0)),"")))</f>
        <v>無關新聞事件</v>
      </c>
      <c r="U162" s="9">
        <f>IF(R162="維持",K162,IF(R162="排除",0,IFERROR(INDEX(事件規則!$C$2:$C$53,MATCH(S162,事件規則!$A$2:$A$53,0)),"")))</f>
        <v>0</v>
      </c>
      <c r="V162" s="19"/>
      <c r="W162" s="20"/>
      <c r="X162" s="10" t="str">
        <f t="shared" si="2"/>
        <v/>
      </c>
      <c r="Y162" s="19"/>
      <c r="Z162" s="20"/>
      <c r="AA162" s="12" t="s">
        <v>863</v>
      </c>
      <c r="AB162" s="23"/>
    </row>
    <row r="163" spans="1:28" ht="25.5">
      <c r="A163" s="15">
        <v>162</v>
      </c>
      <c r="B163" s="9" t="s">
        <v>864</v>
      </c>
      <c r="C163" s="9" t="s">
        <v>865</v>
      </c>
      <c r="D163" s="10" t="s">
        <v>866</v>
      </c>
      <c r="E163" s="21" t="s">
        <v>867</v>
      </c>
      <c r="F163" s="22"/>
      <c r="G163" s="12" t="s">
        <v>868</v>
      </c>
      <c r="H163" s="13">
        <v>6.8000000000000005E-2</v>
      </c>
      <c r="I163" s="14" t="s">
        <v>687</v>
      </c>
      <c r="J163" s="22" t="s">
        <v>688</v>
      </c>
      <c r="K163" s="9">
        <v>3</v>
      </c>
      <c r="L163" s="15"/>
      <c r="M163" s="16" t="s">
        <v>74</v>
      </c>
      <c r="N163" s="14"/>
      <c r="O163" s="15" t="s">
        <v>65</v>
      </c>
      <c r="P163" s="22" t="s">
        <v>624</v>
      </c>
      <c r="Q163" s="15"/>
      <c r="R163" s="17" t="s">
        <v>74</v>
      </c>
      <c r="S163" s="18"/>
      <c r="T163" s="22" t="str">
        <f>IF(R163="維持",J163,IF(R163="排除","無關新聞事件",IFERROR(INDEX(事件規則!$B$2:$B$53,MATCH(S163,事件規則!$A$2:$A$53,0)),"")))</f>
        <v>無關新聞事件</v>
      </c>
      <c r="U163" s="9">
        <f>IF(R163="維持",K163,IF(R163="排除",0,IFERROR(INDEX(事件規則!$C$2:$C$53,MATCH(S163,事件規則!$A$2:$A$53,0)),"")))</f>
        <v>0</v>
      </c>
      <c r="V163" s="19"/>
      <c r="W163" s="20"/>
      <c r="X163" s="10" t="str">
        <f t="shared" si="2"/>
        <v/>
      </c>
      <c r="Y163" s="19"/>
      <c r="Z163" s="20"/>
      <c r="AA163" s="12" t="s">
        <v>869</v>
      </c>
      <c r="AB163" s="23"/>
    </row>
    <row r="164" spans="1:28" ht="38.25">
      <c r="A164" s="15">
        <v>163</v>
      </c>
      <c r="B164" s="9" t="s">
        <v>870</v>
      </c>
      <c r="C164" s="9" t="s">
        <v>871</v>
      </c>
      <c r="D164" s="10" t="s">
        <v>872</v>
      </c>
      <c r="E164" s="21" t="s">
        <v>873</v>
      </c>
      <c r="F164" s="22"/>
      <c r="G164" s="12" t="s">
        <v>299</v>
      </c>
      <c r="H164" s="13">
        <v>0.91100000000000003</v>
      </c>
      <c r="I164" s="14" t="s">
        <v>687</v>
      </c>
      <c r="J164" s="22" t="s">
        <v>688</v>
      </c>
      <c r="K164" s="9">
        <v>3</v>
      </c>
      <c r="L164" s="15"/>
      <c r="M164" s="16" t="s">
        <v>74</v>
      </c>
      <c r="N164" s="14"/>
      <c r="O164" s="15" t="s">
        <v>65</v>
      </c>
      <c r="P164" s="22" t="s">
        <v>624</v>
      </c>
      <c r="Q164" s="15"/>
      <c r="R164" s="17" t="s">
        <v>74</v>
      </c>
      <c r="S164" s="18"/>
      <c r="T164" s="22" t="str">
        <f>IF(R164="維持",J164,IF(R164="排除","無關新聞事件",IFERROR(INDEX(事件規則!$B$2:$B$53,MATCH(S164,事件規則!$A$2:$A$53,0)),"")))</f>
        <v>無關新聞事件</v>
      </c>
      <c r="U164" s="9">
        <f>IF(R164="維持",K164,IF(R164="排除",0,IFERROR(INDEX(事件規則!$C$2:$C$53,MATCH(S164,事件規則!$A$2:$A$53,0)),"")))</f>
        <v>0</v>
      </c>
      <c r="V164" s="19"/>
      <c r="W164" s="20"/>
      <c r="X164" s="10" t="str">
        <f t="shared" si="2"/>
        <v/>
      </c>
      <c r="Y164" s="19"/>
      <c r="Z164" s="20"/>
      <c r="AA164" s="12" t="s">
        <v>874</v>
      </c>
      <c r="AB164" s="23"/>
    </row>
    <row r="165" spans="1:28" ht="25.5">
      <c r="A165" s="15">
        <v>164</v>
      </c>
      <c r="B165" s="9" t="s">
        <v>248</v>
      </c>
      <c r="C165" s="9" t="s">
        <v>297</v>
      </c>
      <c r="D165" s="10" t="s">
        <v>298</v>
      </c>
      <c r="E165" s="21" t="s">
        <v>875</v>
      </c>
      <c r="F165" s="22"/>
      <c r="G165" s="12" t="s">
        <v>252</v>
      </c>
      <c r="H165" s="13">
        <v>-0.79900000000000004</v>
      </c>
      <c r="I165" s="14" t="s">
        <v>687</v>
      </c>
      <c r="J165" s="22" t="s">
        <v>688</v>
      </c>
      <c r="K165" s="9">
        <v>3</v>
      </c>
      <c r="L165" s="15"/>
      <c r="M165" s="16" t="s">
        <v>74</v>
      </c>
      <c r="N165" s="14"/>
      <c r="O165" s="15" t="s">
        <v>65</v>
      </c>
      <c r="P165" s="22" t="s">
        <v>624</v>
      </c>
      <c r="Q165" s="15"/>
      <c r="R165" s="17" t="s">
        <v>74</v>
      </c>
      <c r="S165" s="18"/>
      <c r="T165" s="22" t="str">
        <f>IF(R165="維持",J165,IF(R165="排除","無關新聞事件",IFERROR(INDEX(事件規則!$B$2:$B$53,MATCH(S165,事件規則!$A$2:$A$53,0)),"")))</f>
        <v>無關新聞事件</v>
      </c>
      <c r="U165" s="9">
        <f>IF(R165="維持",K165,IF(R165="排除",0,IFERROR(INDEX(事件規則!$C$2:$C$53,MATCH(S165,事件規則!$A$2:$A$53,0)),"")))</f>
        <v>0</v>
      </c>
      <c r="V165" s="19"/>
      <c r="W165" s="20"/>
      <c r="X165" s="10" t="str">
        <f t="shared" si="2"/>
        <v/>
      </c>
      <c r="Y165" s="19"/>
      <c r="Z165" s="20"/>
      <c r="AA165" s="12" t="s">
        <v>876</v>
      </c>
      <c r="AB165" s="23"/>
    </row>
    <row r="166" spans="1:28" ht="25.5">
      <c r="A166" s="15">
        <v>165</v>
      </c>
      <c r="B166" s="9" t="s">
        <v>255</v>
      </c>
      <c r="C166" s="9" t="s">
        <v>150</v>
      </c>
      <c r="D166" s="10" t="s">
        <v>151</v>
      </c>
      <c r="E166" s="21" t="s">
        <v>877</v>
      </c>
      <c r="F166" s="22"/>
      <c r="G166" s="12" t="s">
        <v>868</v>
      </c>
      <c r="H166" s="13">
        <v>0.86499999999999999</v>
      </c>
      <c r="I166" s="14" t="s">
        <v>687</v>
      </c>
      <c r="J166" s="22" t="s">
        <v>688</v>
      </c>
      <c r="K166" s="9">
        <v>3</v>
      </c>
      <c r="L166" s="15"/>
      <c r="M166" s="16" t="s">
        <v>74</v>
      </c>
      <c r="N166" s="14"/>
      <c r="O166" s="15" t="s">
        <v>65</v>
      </c>
      <c r="P166" s="22" t="s">
        <v>624</v>
      </c>
      <c r="Q166" s="15"/>
      <c r="R166" s="17" t="s">
        <v>74</v>
      </c>
      <c r="S166" s="18"/>
      <c r="T166" s="22" t="str">
        <f>IF(R166="維持",J166,IF(R166="排除","無關新聞事件",IFERROR(INDEX(事件規則!$B$2:$B$53,MATCH(S166,事件規則!$A$2:$A$53,0)),"")))</f>
        <v>無關新聞事件</v>
      </c>
      <c r="U166" s="9">
        <f>IF(R166="維持",K166,IF(R166="排除",0,IFERROR(INDEX(事件規則!$C$2:$C$53,MATCH(S166,事件規則!$A$2:$A$53,0)),"")))</f>
        <v>0</v>
      </c>
      <c r="V166" s="19"/>
      <c r="W166" s="20"/>
      <c r="X166" s="10" t="str">
        <f t="shared" si="2"/>
        <v/>
      </c>
      <c r="Y166" s="19"/>
      <c r="Z166" s="20"/>
      <c r="AA166" s="12" t="s">
        <v>878</v>
      </c>
      <c r="AB166" s="23"/>
    </row>
    <row r="167" spans="1:28" ht="38.25">
      <c r="A167" s="15">
        <v>166</v>
      </c>
      <c r="B167" s="9" t="s">
        <v>269</v>
      </c>
      <c r="C167" s="9" t="s">
        <v>297</v>
      </c>
      <c r="D167" s="10" t="s">
        <v>298</v>
      </c>
      <c r="E167" s="21" t="s">
        <v>879</v>
      </c>
      <c r="F167" s="10" t="s">
        <v>880</v>
      </c>
      <c r="G167" s="12" t="s">
        <v>299</v>
      </c>
      <c r="H167" s="13">
        <v>-0.95</v>
      </c>
      <c r="I167" s="14" t="s">
        <v>687</v>
      </c>
      <c r="J167" s="22" t="s">
        <v>688</v>
      </c>
      <c r="K167" s="9">
        <v>3</v>
      </c>
      <c r="L167" s="15"/>
      <c r="M167" s="16" t="s">
        <v>74</v>
      </c>
      <c r="N167" s="14"/>
      <c r="O167" s="15" t="s">
        <v>65</v>
      </c>
      <c r="P167" s="22" t="s">
        <v>624</v>
      </c>
      <c r="Q167" s="15"/>
      <c r="R167" s="17" t="s">
        <v>74</v>
      </c>
      <c r="S167" s="18"/>
      <c r="T167" s="22" t="str">
        <f>IF(R167="維持",J167,IF(R167="排除","無關新聞事件",IFERROR(INDEX(事件規則!$B$2:$B$53,MATCH(S167,事件規則!$A$2:$A$53,0)),"")))</f>
        <v>無關新聞事件</v>
      </c>
      <c r="U167" s="9">
        <f>IF(R167="維持",K167,IF(R167="排除",0,IFERROR(INDEX(事件規則!$C$2:$C$53,MATCH(S167,事件規則!$A$2:$A$53,0)),"")))</f>
        <v>0</v>
      </c>
      <c r="V167" s="19"/>
      <c r="W167" s="20"/>
      <c r="X167" s="10" t="str">
        <f t="shared" si="2"/>
        <v/>
      </c>
      <c r="Y167" s="19"/>
      <c r="Z167" s="20"/>
      <c r="AA167" s="12" t="s">
        <v>881</v>
      </c>
      <c r="AB167" s="23"/>
    </row>
    <row r="168" spans="1:28" ht="25.5">
      <c r="A168" s="15">
        <v>167</v>
      </c>
      <c r="B168" s="9" t="s">
        <v>269</v>
      </c>
      <c r="C168" s="9" t="s">
        <v>882</v>
      </c>
      <c r="D168" s="10" t="s">
        <v>883</v>
      </c>
      <c r="E168" s="21" t="s">
        <v>884</v>
      </c>
      <c r="F168" s="10" t="s">
        <v>885</v>
      </c>
      <c r="G168" s="12" t="s">
        <v>886</v>
      </c>
      <c r="H168" s="13">
        <v>0.85399999999999998</v>
      </c>
      <c r="I168" s="14" t="s">
        <v>687</v>
      </c>
      <c r="J168" s="22" t="s">
        <v>688</v>
      </c>
      <c r="K168" s="9">
        <v>3</v>
      </c>
      <c r="L168" s="15"/>
      <c r="M168" s="16" t="s">
        <v>74</v>
      </c>
      <c r="N168" s="14"/>
      <c r="O168" s="15" t="s">
        <v>65</v>
      </c>
      <c r="P168" s="22" t="s">
        <v>624</v>
      </c>
      <c r="Q168" s="15"/>
      <c r="R168" s="17" t="s">
        <v>74</v>
      </c>
      <c r="S168" s="18"/>
      <c r="T168" s="22" t="str">
        <f>IF(R168="維持",J168,IF(R168="排除","無關新聞事件",IFERROR(INDEX(事件規則!$B$2:$B$53,MATCH(S168,事件規則!$A$2:$A$53,0)),"")))</f>
        <v>無關新聞事件</v>
      </c>
      <c r="U168" s="9">
        <f>IF(R168="維持",K168,IF(R168="排除",0,IFERROR(INDEX(事件規則!$C$2:$C$53,MATCH(S168,事件規則!$A$2:$A$53,0)),"")))</f>
        <v>0</v>
      </c>
      <c r="V168" s="19"/>
      <c r="W168" s="20"/>
      <c r="X168" s="10" t="str">
        <f t="shared" si="2"/>
        <v/>
      </c>
      <c r="Y168" s="19"/>
      <c r="Z168" s="20"/>
      <c r="AA168" s="12" t="s">
        <v>887</v>
      </c>
      <c r="AB168" s="23"/>
    </row>
    <row r="169" spans="1:28" ht="25.5">
      <c r="A169" s="15">
        <v>168</v>
      </c>
      <c r="B169" s="9" t="s">
        <v>269</v>
      </c>
      <c r="C169" s="9" t="s">
        <v>882</v>
      </c>
      <c r="D169" s="10" t="s">
        <v>883</v>
      </c>
      <c r="E169" s="21" t="s">
        <v>888</v>
      </c>
      <c r="F169" s="10" t="s">
        <v>889</v>
      </c>
      <c r="G169" s="12" t="s">
        <v>64</v>
      </c>
      <c r="H169" s="13">
        <v>0.69</v>
      </c>
      <c r="I169" s="14" t="s">
        <v>687</v>
      </c>
      <c r="J169" s="22" t="s">
        <v>688</v>
      </c>
      <c r="K169" s="9">
        <v>3</v>
      </c>
      <c r="L169" s="15"/>
      <c r="M169" s="16" t="s">
        <v>74</v>
      </c>
      <c r="N169" s="14"/>
      <c r="O169" s="15" t="s">
        <v>65</v>
      </c>
      <c r="P169" s="22" t="s">
        <v>624</v>
      </c>
      <c r="Q169" s="15"/>
      <c r="R169" s="17" t="s">
        <v>74</v>
      </c>
      <c r="S169" s="18"/>
      <c r="T169" s="22" t="str">
        <f>IF(R169="維持",J169,IF(R169="排除","無關新聞事件",IFERROR(INDEX(事件規則!$B$2:$B$53,MATCH(S169,事件規則!$A$2:$A$53,0)),"")))</f>
        <v>無關新聞事件</v>
      </c>
      <c r="U169" s="9">
        <f>IF(R169="維持",K169,IF(R169="排除",0,IFERROR(INDEX(事件規則!$C$2:$C$53,MATCH(S169,事件規則!$A$2:$A$53,0)),"")))</f>
        <v>0</v>
      </c>
      <c r="V169" s="19"/>
      <c r="W169" s="20"/>
      <c r="X169" s="10" t="str">
        <f t="shared" si="2"/>
        <v/>
      </c>
      <c r="Y169" s="19"/>
      <c r="Z169" s="20"/>
      <c r="AA169" s="12" t="s">
        <v>890</v>
      </c>
      <c r="AB169" s="23"/>
    </row>
    <row r="170" spans="1:28" ht="25.5">
      <c r="A170" s="15">
        <v>169</v>
      </c>
      <c r="B170" s="9" t="s">
        <v>269</v>
      </c>
      <c r="C170" s="9" t="s">
        <v>631</v>
      </c>
      <c r="D170" s="10" t="s">
        <v>632</v>
      </c>
      <c r="E170" s="21" t="s">
        <v>891</v>
      </c>
      <c r="F170" s="22" t="s">
        <v>892</v>
      </c>
      <c r="G170" s="12" t="s">
        <v>893</v>
      </c>
      <c r="H170" s="13">
        <v>-0.13500000000000001</v>
      </c>
      <c r="I170" s="14" t="s">
        <v>687</v>
      </c>
      <c r="J170" s="22" t="s">
        <v>688</v>
      </c>
      <c r="K170" s="9">
        <v>3</v>
      </c>
      <c r="L170" s="15"/>
      <c r="M170" s="16" t="s">
        <v>74</v>
      </c>
      <c r="N170" s="14"/>
      <c r="O170" s="15" t="s">
        <v>65</v>
      </c>
      <c r="P170" s="22" t="s">
        <v>624</v>
      </c>
      <c r="Q170" s="15"/>
      <c r="R170" s="17" t="s">
        <v>74</v>
      </c>
      <c r="S170" s="18"/>
      <c r="T170" s="22" t="str">
        <f>IF(R170="維持",J170,IF(R170="排除","無關新聞事件",IFERROR(INDEX(事件規則!$B$2:$B$53,MATCH(S170,事件規則!$A$2:$A$53,0)),"")))</f>
        <v>無關新聞事件</v>
      </c>
      <c r="U170" s="9">
        <f>IF(R170="維持",K170,IF(R170="排除",0,IFERROR(INDEX(事件規則!$C$2:$C$53,MATCH(S170,事件規則!$A$2:$A$53,0)),"")))</f>
        <v>0</v>
      </c>
      <c r="V170" s="19"/>
      <c r="W170" s="20"/>
      <c r="X170" s="10" t="str">
        <f t="shared" si="2"/>
        <v/>
      </c>
      <c r="Y170" s="19"/>
      <c r="Z170" s="20"/>
      <c r="AA170" s="12" t="s">
        <v>894</v>
      </c>
      <c r="AB170" s="23"/>
    </row>
    <row r="171" spans="1:28" ht="38.25">
      <c r="A171" s="15">
        <v>170</v>
      </c>
      <c r="B171" s="9" t="s">
        <v>269</v>
      </c>
      <c r="C171" s="9" t="s">
        <v>895</v>
      </c>
      <c r="D171" s="10" t="s">
        <v>896</v>
      </c>
      <c r="E171" s="21" t="s">
        <v>897</v>
      </c>
      <c r="F171" s="10" t="s">
        <v>898</v>
      </c>
      <c r="G171" s="12" t="s">
        <v>351</v>
      </c>
      <c r="H171" s="13">
        <v>-0.61799999999999999</v>
      </c>
      <c r="I171" s="14" t="s">
        <v>687</v>
      </c>
      <c r="J171" s="22" t="s">
        <v>688</v>
      </c>
      <c r="K171" s="9">
        <v>3</v>
      </c>
      <c r="L171" s="15"/>
      <c r="M171" s="16" t="s">
        <v>74</v>
      </c>
      <c r="N171" s="14"/>
      <c r="O171" s="15" t="s">
        <v>65</v>
      </c>
      <c r="P171" s="22" t="s">
        <v>624</v>
      </c>
      <c r="Q171" s="15"/>
      <c r="R171" s="17" t="s">
        <v>74</v>
      </c>
      <c r="S171" s="18"/>
      <c r="T171" s="22" t="str">
        <f>IF(R171="維持",J171,IF(R171="排除","無關新聞事件",IFERROR(INDEX(事件規則!$B$2:$B$53,MATCH(S171,事件規則!$A$2:$A$53,0)),"")))</f>
        <v>無關新聞事件</v>
      </c>
      <c r="U171" s="9">
        <f>IF(R171="維持",K171,IF(R171="排除",0,IFERROR(INDEX(事件規則!$C$2:$C$53,MATCH(S171,事件規則!$A$2:$A$53,0)),"")))</f>
        <v>0</v>
      </c>
      <c r="V171" s="19"/>
      <c r="W171" s="20"/>
      <c r="X171" s="10" t="str">
        <f t="shared" si="2"/>
        <v/>
      </c>
      <c r="Y171" s="19"/>
      <c r="Z171" s="20"/>
      <c r="AA171" s="12" t="s">
        <v>899</v>
      </c>
      <c r="AB171" s="23"/>
    </row>
    <row r="172" spans="1:28" ht="38.25">
      <c r="A172" s="15">
        <v>171</v>
      </c>
      <c r="B172" s="9" t="s">
        <v>269</v>
      </c>
      <c r="C172" s="9" t="s">
        <v>389</v>
      </c>
      <c r="D172" s="10" t="s">
        <v>390</v>
      </c>
      <c r="E172" s="21" t="s">
        <v>900</v>
      </c>
      <c r="F172" s="22" t="s">
        <v>901</v>
      </c>
      <c r="G172" s="12" t="s">
        <v>902</v>
      </c>
      <c r="H172" s="13">
        <v>8.4000000000000005E-2</v>
      </c>
      <c r="I172" s="14" t="s">
        <v>687</v>
      </c>
      <c r="J172" s="22" t="s">
        <v>688</v>
      </c>
      <c r="K172" s="9">
        <v>3</v>
      </c>
      <c r="L172" s="15"/>
      <c r="M172" s="16" t="s">
        <v>74</v>
      </c>
      <c r="N172" s="14"/>
      <c r="O172" s="15" t="s">
        <v>65</v>
      </c>
      <c r="P172" s="22" t="s">
        <v>624</v>
      </c>
      <c r="Q172" s="15"/>
      <c r="R172" s="17" t="s">
        <v>74</v>
      </c>
      <c r="S172" s="18"/>
      <c r="T172" s="22" t="str">
        <f>IF(R172="維持",J172,IF(R172="排除","無關新聞事件",IFERROR(INDEX(事件規則!$B$2:$B$53,MATCH(S172,事件規則!$A$2:$A$53,0)),"")))</f>
        <v>無關新聞事件</v>
      </c>
      <c r="U172" s="9">
        <f>IF(R172="維持",K172,IF(R172="排除",0,IFERROR(INDEX(事件規則!$C$2:$C$53,MATCH(S172,事件規則!$A$2:$A$53,0)),"")))</f>
        <v>0</v>
      </c>
      <c r="V172" s="19"/>
      <c r="W172" s="20"/>
      <c r="X172" s="10" t="str">
        <f t="shared" si="2"/>
        <v/>
      </c>
      <c r="Y172" s="19"/>
      <c r="Z172" s="20"/>
      <c r="AA172" s="12" t="s">
        <v>903</v>
      </c>
      <c r="AB172" s="23"/>
    </row>
    <row r="173" spans="1:28" ht="25.5">
      <c r="A173" s="15">
        <v>172</v>
      </c>
      <c r="B173" s="9" t="s">
        <v>77</v>
      </c>
      <c r="C173" s="9" t="s">
        <v>782</v>
      </c>
      <c r="D173" s="10" t="s">
        <v>783</v>
      </c>
      <c r="E173" s="21" t="s">
        <v>904</v>
      </c>
      <c r="F173" s="22" t="s">
        <v>905</v>
      </c>
      <c r="G173" s="12" t="s">
        <v>299</v>
      </c>
      <c r="H173" s="13">
        <v>-0.95899999999999996</v>
      </c>
      <c r="I173" s="14" t="s">
        <v>906</v>
      </c>
      <c r="J173" s="22" t="s">
        <v>907</v>
      </c>
      <c r="K173" s="9">
        <v>3</v>
      </c>
      <c r="L173" s="15"/>
      <c r="M173" s="16" t="s">
        <v>54</v>
      </c>
      <c r="N173" s="14"/>
      <c r="O173" s="15" t="s">
        <v>65</v>
      </c>
      <c r="P173" s="22" t="s">
        <v>908</v>
      </c>
      <c r="Q173" s="15"/>
      <c r="R173" s="17" t="s">
        <v>54</v>
      </c>
      <c r="S173" s="18"/>
      <c r="T173" s="22" t="str">
        <f>IF(R173="維持",J173,IF(R173="排除","無關新聞事件",IFERROR(INDEX(事件規則!$B$2:$B$53,MATCH(S173,事件規則!$A$2:$A$53,0)),"")))</f>
        <v>裁員或人力縮減</v>
      </c>
      <c r="U173" s="9">
        <f>IF(R173="維持",K173,IF(R173="排除",0,IFERROR(INDEX(事件規則!$C$2:$C$53,MATCH(S173,事件規則!$A$2:$A$53,0)),"")))</f>
        <v>3</v>
      </c>
      <c r="V173" s="19"/>
      <c r="W173" s="20"/>
      <c r="X173" s="10" t="str">
        <f t="shared" si="2"/>
        <v/>
      </c>
      <c r="Y173" s="19"/>
      <c r="Z173" s="20"/>
      <c r="AA173" s="12" t="s">
        <v>909</v>
      </c>
      <c r="AB173" s="23"/>
    </row>
    <row r="174" spans="1:28" ht="38.25">
      <c r="A174" s="15">
        <v>173</v>
      </c>
      <c r="B174" s="9" t="s">
        <v>77</v>
      </c>
      <c r="C174" s="9" t="s">
        <v>865</v>
      </c>
      <c r="D174" s="10" t="s">
        <v>866</v>
      </c>
      <c r="E174" s="21" t="s">
        <v>910</v>
      </c>
      <c r="F174" s="22" t="s">
        <v>911</v>
      </c>
      <c r="G174" s="12" t="s">
        <v>912</v>
      </c>
      <c r="H174" s="13">
        <v>0.30199999999999999</v>
      </c>
      <c r="I174" s="14" t="s">
        <v>906</v>
      </c>
      <c r="J174" s="22" t="s">
        <v>907</v>
      </c>
      <c r="K174" s="9">
        <v>3</v>
      </c>
      <c r="L174" s="15"/>
      <c r="M174" s="16" t="s">
        <v>74</v>
      </c>
      <c r="N174" s="14"/>
      <c r="O174" s="15" t="s">
        <v>65</v>
      </c>
      <c r="P174" s="22" t="s">
        <v>624</v>
      </c>
      <c r="Q174" s="15"/>
      <c r="R174" s="17" t="s">
        <v>74</v>
      </c>
      <c r="S174" s="18"/>
      <c r="T174" s="22" t="str">
        <f>IF(R174="維持",J174,IF(R174="排除","無關新聞事件",IFERROR(INDEX(事件規則!$B$2:$B$53,MATCH(S174,事件規則!$A$2:$A$53,0)),"")))</f>
        <v>無關新聞事件</v>
      </c>
      <c r="U174" s="9">
        <f>IF(R174="維持",K174,IF(R174="排除",0,IFERROR(INDEX(事件規則!$C$2:$C$53,MATCH(S174,事件規則!$A$2:$A$53,0)),"")))</f>
        <v>0</v>
      </c>
      <c r="V174" s="19"/>
      <c r="W174" s="20"/>
      <c r="X174" s="10" t="str">
        <f t="shared" si="2"/>
        <v/>
      </c>
      <c r="Y174" s="19"/>
      <c r="Z174" s="20"/>
      <c r="AA174" s="12" t="s">
        <v>913</v>
      </c>
      <c r="AB174" s="23"/>
    </row>
    <row r="175" spans="1:28" ht="38.25">
      <c r="A175" s="15">
        <v>174</v>
      </c>
      <c r="B175" s="9" t="s">
        <v>77</v>
      </c>
      <c r="C175" s="9" t="s">
        <v>288</v>
      </c>
      <c r="D175" s="10" t="s">
        <v>289</v>
      </c>
      <c r="E175" s="21" t="s">
        <v>914</v>
      </c>
      <c r="F175" s="22" t="s">
        <v>915</v>
      </c>
      <c r="G175" s="12" t="s">
        <v>916</v>
      </c>
      <c r="H175" s="13">
        <v>-0.30199999999999999</v>
      </c>
      <c r="I175" s="14" t="s">
        <v>906</v>
      </c>
      <c r="J175" s="22" t="s">
        <v>907</v>
      </c>
      <c r="K175" s="9">
        <v>3</v>
      </c>
      <c r="L175" s="15"/>
      <c r="M175" s="16" t="s">
        <v>74</v>
      </c>
      <c r="N175" s="14"/>
      <c r="O175" s="15" t="s">
        <v>65</v>
      </c>
      <c r="P175" s="22" t="s">
        <v>624</v>
      </c>
      <c r="Q175" s="15"/>
      <c r="R175" s="17" t="s">
        <v>74</v>
      </c>
      <c r="S175" s="18"/>
      <c r="T175" s="22" t="str">
        <f>IF(R175="維持",J175,IF(R175="排除","無關新聞事件",IFERROR(INDEX(事件規則!$B$2:$B$53,MATCH(S175,事件規則!$A$2:$A$53,0)),"")))</f>
        <v>無關新聞事件</v>
      </c>
      <c r="U175" s="9">
        <f>IF(R175="維持",K175,IF(R175="排除",0,IFERROR(INDEX(事件規則!$C$2:$C$53,MATCH(S175,事件規則!$A$2:$A$53,0)),"")))</f>
        <v>0</v>
      </c>
      <c r="V175" s="19"/>
      <c r="W175" s="20"/>
      <c r="X175" s="10" t="str">
        <f t="shared" si="2"/>
        <v/>
      </c>
      <c r="Y175" s="19"/>
      <c r="Z175" s="20"/>
      <c r="AA175" s="12" t="s">
        <v>917</v>
      </c>
      <c r="AB175" s="23"/>
    </row>
    <row r="176" spans="1:28" ht="25.5">
      <c r="A176" s="15">
        <v>175</v>
      </c>
      <c r="B176" s="9" t="s">
        <v>77</v>
      </c>
      <c r="C176" s="9" t="s">
        <v>327</v>
      </c>
      <c r="D176" s="10" t="s">
        <v>328</v>
      </c>
      <c r="E176" s="21" t="s">
        <v>918</v>
      </c>
      <c r="F176" s="22" t="s">
        <v>919</v>
      </c>
      <c r="G176" s="12" t="s">
        <v>920</v>
      </c>
      <c r="H176" s="13">
        <v>-0.95499999999999996</v>
      </c>
      <c r="I176" s="14" t="s">
        <v>906</v>
      </c>
      <c r="J176" s="22" t="s">
        <v>907</v>
      </c>
      <c r="K176" s="9">
        <v>3</v>
      </c>
      <c r="L176" s="15"/>
      <c r="M176" s="16" t="s">
        <v>74</v>
      </c>
      <c r="N176" s="14"/>
      <c r="O176" s="15" t="s">
        <v>65</v>
      </c>
      <c r="P176" s="22" t="s">
        <v>624</v>
      </c>
      <c r="Q176" s="15"/>
      <c r="R176" s="17" t="s">
        <v>74</v>
      </c>
      <c r="S176" s="18"/>
      <c r="T176" s="22" t="str">
        <f>IF(R176="維持",J176,IF(R176="排除","無關新聞事件",IFERROR(INDEX(事件規則!$B$2:$B$53,MATCH(S176,事件規則!$A$2:$A$53,0)),"")))</f>
        <v>無關新聞事件</v>
      </c>
      <c r="U176" s="9">
        <f>IF(R176="維持",K176,IF(R176="排除",0,IFERROR(INDEX(事件規則!$C$2:$C$53,MATCH(S176,事件規則!$A$2:$A$53,0)),"")))</f>
        <v>0</v>
      </c>
      <c r="V176" s="19"/>
      <c r="W176" s="20"/>
      <c r="X176" s="10" t="str">
        <f t="shared" si="2"/>
        <v/>
      </c>
      <c r="Y176" s="19"/>
      <c r="Z176" s="20"/>
      <c r="AA176" s="12" t="s">
        <v>921</v>
      </c>
      <c r="AB176" s="23"/>
    </row>
    <row r="177" spans="1:28" ht="25.5">
      <c r="A177" s="15">
        <v>176</v>
      </c>
      <c r="B177" s="9" t="s">
        <v>77</v>
      </c>
      <c r="C177" s="9" t="s">
        <v>327</v>
      </c>
      <c r="D177" s="10" t="s">
        <v>328</v>
      </c>
      <c r="E177" s="21" t="s">
        <v>922</v>
      </c>
      <c r="F177" s="22" t="s">
        <v>923</v>
      </c>
      <c r="G177" s="12" t="s">
        <v>920</v>
      </c>
      <c r="H177" s="13">
        <v>-0.95699999999999996</v>
      </c>
      <c r="I177" s="14" t="s">
        <v>906</v>
      </c>
      <c r="J177" s="22" t="s">
        <v>907</v>
      </c>
      <c r="K177" s="9">
        <v>3</v>
      </c>
      <c r="L177" s="15"/>
      <c r="M177" s="16" t="s">
        <v>74</v>
      </c>
      <c r="N177" s="14"/>
      <c r="O177" s="15" t="s">
        <v>65</v>
      </c>
      <c r="P177" s="22" t="s">
        <v>624</v>
      </c>
      <c r="Q177" s="15"/>
      <c r="R177" s="17" t="s">
        <v>74</v>
      </c>
      <c r="S177" s="18"/>
      <c r="T177" s="22" t="str">
        <f>IF(R177="維持",J177,IF(R177="排除","無關新聞事件",IFERROR(INDEX(事件規則!$B$2:$B$53,MATCH(S177,事件規則!$A$2:$A$53,0)),"")))</f>
        <v>無關新聞事件</v>
      </c>
      <c r="U177" s="9">
        <f>IF(R177="維持",K177,IF(R177="排除",0,IFERROR(INDEX(事件規則!$C$2:$C$53,MATCH(S177,事件規則!$A$2:$A$53,0)),"")))</f>
        <v>0</v>
      </c>
      <c r="V177" s="19"/>
      <c r="W177" s="20"/>
      <c r="X177" s="10" t="str">
        <f t="shared" si="2"/>
        <v/>
      </c>
      <c r="Y177" s="19"/>
      <c r="Z177" s="20"/>
      <c r="AA177" s="12" t="s">
        <v>924</v>
      </c>
      <c r="AB177" s="23"/>
    </row>
    <row r="178" spans="1:28" ht="25.5">
      <c r="A178" s="15">
        <v>177</v>
      </c>
      <c r="B178" s="9" t="s">
        <v>77</v>
      </c>
      <c r="C178" s="9" t="s">
        <v>736</v>
      </c>
      <c r="D178" s="10" t="s">
        <v>737</v>
      </c>
      <c r="E178" s="21" t="s">
        <v>925</v>
      </c>
      <c r="F178" s="22" t="s">
        <v>926</v>
      </c>
      <c r="G178" s="12" t="s">
        <v>927</v>
      </c>
      <c r="H178" s="13">
        <v>-0.92300000000000004</v>
      </c>
      <c r="I178" s="14" t="s">
        <v>906</v>
      </c>
      <c r="J178" s="22" t="s">
        <v>907</v>
      </c>
      <c r="K178" s="9">
        <v>3</v>
      </c>
      <c r="L178" s="15"/>
      <c r="M178" s="16" t="s">
        <v>54</v>
      </c>
      <c r="N178" s="14"/>
      <c r="O178" s="15" t="s">
        <v>65</v>
      </c>
      <c r="P178" s="10" t="s">
        <v>928</v>
      </c>
      <c r="Q178" s="15"/>
      <c r="R178" s="17" t="s">
        <v>54</v>
      </c>
      <c r="S178" s="18"/>
      <c r="T178" s="22" t="str">
        <f>IF(R178="維持",J178,IF(R178="排除","無關新聞事件",IFERROR(INDEX(事件規則!$B$2:$B$53,MATCH(S178,事件規則!$A$2:$A$53,0)),"")))</f>
        <v>裁員或人力縮減</v>
      </c>
      <c r="U178" s="9">
        <f>IF(R178="維持",K178,IF(R178="排除",0,IFERROR(INDEX(事件規則!$C$2:$C$53,MATCH(S178,事件規則!$A$2:$A$53,0)),"")))</f>
        <v>3</v>
      </c>
      <c r="V178" s="19"/>
      <c r="W178" s="20"/>
      <c r="X178" s="10" t="str">
        <f t="shared" si="2"/>
        <v/>
      </c>
      <c r="Y178" s="19"/>
      <c r="Z178" s="20"/>
      <c r="AA178" s="12" t="s">
        <v>929</v>
      </c>
      <c r="AB178" s="23"/>
    </row>
    <row r="179" spans="1:28" ht="38.25">
      <c r="A179" s="15">
        <v>178</v>
      </c>
      <c r="B179" s="9" t="s">
        <v>87</v>
      </c>
      <c r="C179" s="9" t="s">
        <v>930</v>
      </c>
      <c r="D179" s="10" t="s">
        <v>931</v>
      </c>
      <c r="E179" s="21" t="s">
        <v>932</v>
      </c>
      <c r="F179" s="10" t="s">
        <v>933</v>
      </c>
      <c r="G179" s="12" t="s">
        <v>934</v>
      </c>
      <c r="H179" s="13">
        <v>-0.67600000000000005</v>
      </c>
      <c r="I179" s="14" t="s">
        <v>906</v>
      </c>
      <c r="J179" s="22" t="s">
        <v>907</v>
      </c>
      <c r="K179" s="9">
        <v>3</v>
      </c>
      <c r="L179" s="15"/>
      <c r="M179" s="16" t="s">
        <v>74</v>
      </c>
      <c r="N179" s="14"/>
      <c r="O179" s="15" t="s">
        <v>65</v>
      </c>
      <c r="P179" s="22" t="s">
        <v>624</v>
      </c>
      <c r="Q179" s="15"/>
      <c r="R179" s="17" t="s">
        <v>74</v>
      </c>
      <c r="S179" s="18"/>
      <c r="T179" s="22" t="str">
        <f>IF(R179="維持",J179,IF(R179="排除","無關新聞事件",IFERROR(INDEX(事件規則!$B$2:$B$53,MATCH(S179,事件規則!$A$2:$A$53,0)),"")))</f>
        <v>無關新聞事件</v>
      </c>
      <c r="U179" s="9">
        <f>IF(R179="維持",K179,IF(R179="排除",0,IFERROR(INDEX(事件規則!$C$2:$C$53,MATCH(S179,事件規則!$A$2:$A$53,0)),"")))</f>
        <v>0</v>
      </c>
      <c r="V179" s="19"/>
      <c r="W179" s="20"/>
      <c r="X179" s="10" t="str">
        <f t="shared" si="2"/>
        <v/>
      </c>
      <c r="Y179" s="19"/>
      <c r="Z179" s="20"/>
      <c r="AA179" s="12" t="s">
        <v>935</v>
      </c>
      <c r="AB179" s="23"/>
    </row>
    <row r="180" spans="1:28" ht="25.5">
      <c r="A180" s="15">
        <v>179</v>
      </c>
      <c r="B180" s="9" t="s">
        <v>87</v>
      </c>
      <c r="C180" s="9" t="s">
        <v>865</v>
      </c>
      <c r="D180" s="10" t="s">
        <v>866</v>
      </c>
      <c r="E180" s="21" t="s">
        <v>936</v>
      </c>
      <c r="F180" s="22" t="s">
        <v>937</v>
      </c>
      <c r="G180" s="12" t="s">
        <v>938</v>
      </c>
      <c r="H180" s="13">
        <v>2.4E-2</v>
      </c>
      <c r="I180" s="14" t="s">
        <v>906</v>
      </c>
      <c r="J180" s="22" t="s">
        <v>907</v>
      </c>
      <c r="K180" s="9">
        <v>3</v>
      </c>
      <c r="L180" s="15"/>
      <c r="M180" s="16" t="s">
        <v>74</v>
      </c>
      <c r="N180" s="14"/>
      <c r="O180" s="15" t="s">
        <v>65</v>
      </c>
      <c r="P180" s="22" t="s">
        <v>624</v>
      </c>
      <c r="Q180" s="15"/>
      <c r="R180" s="17" t="s">
        <v>74</v>
      </c>
      <c r="S180" s="18"/>
      <c r="T180" s="22" t="str">
        <f>IF(R180="維持",J180,IF(R180="排除","無關新聞事件",IFERROR(INDEX(事件規則!$B$2:$B$53,MATCH(S180,事件規則!$A$2:$A$53,0)),"")))</f>
        <v>無關新聞事件</v>
      </c>
      <c r="U180" s="9">
        <f>IF(R180="維持",K180,IF(R180="排除",0,IFERROR(INDEX(事件規則!$C$2:$C$53,MATCH(S180,事件規則!$A$2:$A$53,0)),"")))</f>
        <v>0</v>
      </c>
      <c r="V180" s="19"/>
      <c r="W180" s="20"/>
      <c r="X180" s="10" t="str">
        <f t="shared" si="2"/>
        <v/>
      </c>
      <c r="Y180" s="19"/>
      <c r="Z180" s="20"/>
      <c r="AA180" s="12" t="s">
        <v>939</v>
      </c>
      <c r="AB180" s="23"/>
    </row>
    <row r="181" spans="1:28" ht="25.5">
      <c r="A181" s="15">
        <v>180</v>
      </c>
      <c r="B181" s="9" t="s">
        <v>87</v>
      </c>
      <c r="C181" s="9" t="s">
        <v>940</v>
      </c>
      <c r="D181" s="10" t="s">
        <v>941</v>
      </c>
      <c r="E181" s="21" t="s">
        <v>942</v>
      </c>
      <c r="F181" s="22" t="s">
        <v>943</v>
      </c>
      <c r="G181" s="12" t="s">
        <v>944</v>
      </c>
      <c r="H181" s="13">
        <v>-0.93700000000000006</v>
      </c>
      <c r="I181" s="14" t="s">
        <v>906</v>
      </c>
      <c r="J181" s="22" t="s">
        <v>907</v>
      </c>
      <c r="K181" s="9">
        <v>3</v>
      </c>
      <c r="L181" s="15"/>
      <c r="M181" s="16" t="s">
        <v>74</v>
      </c>
      <c r="N181" s="14"/>
      <c r="O181" s="15" t="s">
        <v>65</v>
      </c>
      <c r="P181" s="22" t="s">
        <v>624</v>
      </c>
      <c r="Q181" s="15"/>
      <c r="R181" s="17" t="s">
        <v>74</v>
      </c>
      <c r="S181" s="18"/>
      <c r="T181" s="22" t="str">
        <f>IF(R181="維持",J181,IF(R181="排除","無關新聞事件",IFERROR(INDEX(事件規則!$B$2:$B$53,MATCH(S181,事件規則!$A$2:$A$53,0)),"")))</f>
        <v>無關新聞事件</v>
      </c>
      <c r="U181" s="9">
        <f>IF(R181="維持",K181,IF(R181="排除",0,IFERROR(INDEX(事件規則!$C$2:$C$53,MATCH(S181,事件規則!$A$2:$A$53,0)),"")))</f>
        <v>0</v>
      </c>
      <c r="V181" s="19"/>
      <c r="W181" s="20"/>
      <c r="X181" s="10" t="str">
        <f t="shared" si="2"/>
        <v/>
      </c>
      <c r="Y181" s="19"/>
      <c r="Z181" s="20"/>
      <c r="AA181" s="12" t="s">
        <v>945</v>
      </c>
      <c r="AB181" s="23"/>
    </row>
    <row r="182" spans="1:28" ht="25.5">
      <c r="A182" s="15">
        <v>181</v>
      </c>
      <c r="B182" s="9" t="s">
        <v>87</v>
      </c>
      <c r="C182" s="9" t="s">
        <v>497</v>
      </c>
      <c r="D182" s="10" t="s">
        <v>498</v>
      </c>
      <c r="E182" s="21" t="s">
        <v>946</v>
      </c>
      <c r="F182" s="22" t="s">
        <v>947</v>
      </c>
      <c r="G182" s="12" t="s">
        <v>497</v>
      </c>
      <c r="H182" s="13">
        <v>8.0000000000000002E-3</v>
      </c>
      <c r="I182" s="14" t="s">
        <v>906</v>
      </c>
      <c r="J182" s="22" t="s">
        <v>907</v>
      </c>
      <c r="K182" s="9">
        <v>3</v>
      </c>
      <c r="L182" s="15"/>
      <c r="M182" s="16" t="s">
        <v>74</v>
      </c>
      <c r="N182" s="14"/>
      <c r="O182" s="15" t="s">
        <v>65</v>
      </c>
      <c r="P182" s="22" t="s">
        <v>624</v>
      </c>
      <c r="Q182" s="15"/>
      <c r="R182" s="17" t="s">
        <v>74</v>
      </c>
      <c r="S182" s="18"/>
      <c r="T182" s="22" t="str">
        <f>IF(R182="維持",J182,IF(R182="排除","無關新聞事件",IFERROR(INDEX(事件規則!$B$2:$B$53,MATCH(S182,事件規則!$A$2:$A$53,0)),"")))</f>
        <v>無關新聞事件</v>
      </c>
      <c r="U182" s="9">
        <f>IF(R182="維持",K182,IF(R182="排除",0,IFERROR(INDEX(事件規則!$C$2:$C$53,MATCH(S182,事件規則!$A$2:$A$53,0)),"")))</f>
        <v>0</v>
      </c>
      <c r="V182" s="19"/>
      <c r="W182" s="20"/>
      <c r="X182" s="10" t="str">
        <f t="shared" si="2"/>
        <v/>
      </c>
      <c r="Y182" s="19"/>
      <c r="Z182" s="20"/>
      <c r="AA182" s="12" t="s">
        <v>948</v>
      </c>
      <c r="AB182" s="23"/>
    </row>
    <row r="183" spans="1:28" ht="25.5">
      <c r="A183" s="15">
        <v>182</v>
      </c>
      <c r="B183" s="9" t="s">
        <v>87</v>
      </c>
      <c r="C183" s="9" t="s">
        <v>865</v>
      </c>
      <c r="D183" s="10" t="s">
        <v>866</v>
      </c>
      <c r="E183" s="21" t="s">
        <v>949</v>
      </c>
      <c r="F183" s="10" t="s">
        <v>950</v>
      </c>
      <c r="G183" s="12" t="s">
        <v>912</v>
      </c>
      <c r="H183" s="13">
        <v>-0.28799999999999998</v>
      </c>
      <c r="I183" s="14" t="s">
        <v>906</v>
      </c>
      <c r="J183" s="22" t="s">
        <v>907</v>
      </c>
      <c r="K183" s="9">
        <v>3</v>
      </c>
      <c r="L183" s="15"/>
      <c r="M183" s="16" t="s">
        <v>74</v>
      </c>
      <c r="N183" s="14"/>
      <c r="O183" s="15" t="s">
        <v>65</v>
      </c>
      <c r="P183" s="22" t="s">
        <v>624</v>
      </c>
      <c r="Q183" s="15"/>
      <c r="R183" s="17" t="s">
        <v>74</v>
      </c>
      <c r="S183" s="18"/>
      <c r="T183" s="22" t="str">
        <f>IF(R183="維持",J183,IF(R183="排除","無關新聞事件",IFERROR(INDEX(事件規則!$B$2:$B$53,MATCH(S183,事件規則!$A$2:$A$53,0)),"")))</f>
        <v>無關新聞事件</v>
      </c>
      <c r="U183" s="9">
        <f>IF(R183="維持",K183,IF(R183="排除",0,IFERROR(INDEX(事件規則!$C$2:$C$53,MATCH(S183,事件規則!$A$2:$A$53,0)),"")))</f>
        <v>0</v>
      </c>
      <c r="V183" s="19"/>
      <c r="W183" s="20"/>
      <c r="X183" s="10" t="str">
        <f t="shared" si="2"/>
        <v/>
      </c>
      <c r="Y183" s="19"/>
      <c r="Z183" s="20"/>
      <c r="AA183" s="12" t="s">
        <v>951</v>
      </c>
      <c r="AB183" s="23"/>
    </row>
    <row r="184" spans="1:28" ht="38.25">
      <c r="A184" s="15">
        <v>183</v>
      </c>
      <c r="B184" s="9" t="s">
        <v>87</v>
      </c>
      <c r="C184" s="9" t="s">
        <v>865</v>
      </c>
      <c r="D184" s="10" t="s">
        <v>866</v>
      </c>
      <c r="E184" s="21" t="s">
        <v>952</v>
      </c>
      <c r="F184" s="10" t="s">
        <v>953</v>
      </c>
      <c r="G184" s="12" t="s">
        <v>912</v>
      </c>
      <c r="H184" s="13">
        <v>6.5000000000000002E-2</v>
      </c>
      <c r="I184" s="14" t="s">
        <v>906</v>
      </c>
      <c r="J184" s="22" t="s">
        <v>907</v>
      </c>
      <c r="K184" s="9">
        <v>3</v>
      </c>
      <c r="L184" s="15"/>
      <c r="M184" s="16" t="s">
        <v>74</v>
      </c>
      <c r="N184" s="14"/>
      <c r="O184" s="15" t="s">
        <v>65</v>
      </c>
      <c r="P184" s="22" t="s">
        <v>624</v>
      </c>
      <c r="Q184" s="15"/>
      <c r="R184" s="17" t="s">
        <v>74</v>
      </c>
      <c r="S184" s="18"/>
      <c r="T184" s="22" t="str">
        <f>IF(R184="維持",J184,IF(R184="排除","無關新聞事件",IFERROR(INDEX(事件規則!$B$2:$B$53,MATCH(S184,事件規則!$A$2:$A$53,0)),"")))</f>
        <v>無關新聞事件</v>
      </c>
      <c r="U184" s="9">
        <f>IF(R184="維持",K184,IF(R184="排除",0,IFERROR(INDEX(事件規則!$C$2:$C$53,MATCH(S184,事件規則!$A$2:$A$53,0)),"")))</f>
        <v>0</v>
      </c>
      <c r="V184" s="19"/>
      <c r="W184" s="20"/>
      <c r="X184" s="10" t="str">
        <f t="shared" si="2"/>
        <v/>
      </c>
      <c r="Y184" s="19"/>
      <c r="Z184" s="20"/>
      <c r="AA184" s="12" t="s">
        <v>954</v>
      </c>
      <c r="AB184" s="23"/>
    </row>
    <row r="185" spans="1:28" ht="25.5">
      <c r="A185" s="15">
        <v>184</v>
      </c>
      <c r="B185" s="9" t="s">
        <v>87</v>
      </c>
      <c r="C185" s="9" t="s">
        <v>865</v>
      </c>
      <c r="D185" s="10" t="s">
        <v>866</v>
      </c>
      <c r="E185" s="21" t="s">
        <v>955</v>
      </c>
      <c r="F185" s="22" t="s">
        <v>956</v>
      </c>
      <c r="G185" s="12" t="s">
        <v>957</v>
      </c>
      <c r="H185" s="13">
        <v>-0.02</v>
      </c>
      <c r="I185" s="14" t="s">
        <v>906</v>
      </c>
      <c r="J185" s="22" t="s">
        <v>907</v>
      </c>
      <c r="K185" s="9">
        <v>3</v>
      </c>
      <c r="L185" s="15"/>
      <c r="M185" s="16" t="s">
        <v>74</v>
      </c>
      <c r="N185" s="14"/>
      <c r="O185" s="15" t="s">
        <v>65</v>
      </c>
      <c r="P185" s="22" t="s">
        <v>624</v>
      </c>
      <c r="Q185" s="15"/>
      <c r="R185" s="17" t="s">
        <v>74</v>
      </c>
      <c r="S185" s="18"/>
      <c r="T185" s="22" t="str">
        <f>IF(R185="維持",J185,IF(R185="排除","無關新聞事件",IFERROR(INDEX(事件規則!$B$2:$B$53,MATCH(S185,事件規則!$A$2:$A$53,0)),"")))</f>
        <v>無關新聞事件</v>
      </c>
      <c r="U185" s="9">
        <f>IF(R185="維持",K185,IF(R185="排除",0,IFERROR(INDEX(事件規則!$C$2:$C$53,MATCH(S185,事件規則!$A$2:$A$53,0)),"")))</f>
        <v>0</v>
      </c>
      <c r="V185" s="19"/>
      <c r="W185" s="20"/>
      <c r="X185" s="10" t="str">
        <f t="shared" si="2"/>
        <v/>
      </c>
      <c r="Y185" s="19"/>
      <c r="Z185" s="20"/>
      <c r="AA185" s="12" t="s">
        <v>958</v>
      </c>
      <c r="AB185" s="23"/>
    </row>
    <row r="186" spans="1:28" ht="25.5">
      <c r="A186" s="15">
        <v>185</v>
      </c>
      <c r="B186" s="9" t="s">
        <v>87</v>
      </c>
      <c r="C186" s="9" t="s">
        <v>865</v>
      </c>
      <c r="D186" s="10" t="s">
        <v>866</v>
      </c>
      <c r="E186" s="21" t="s">
        <v>959</v>
      </c>
      <c r="F186" s="22" t="s">
        <v>960</v>
      </c>
      <c r="G186" s="12" t="s">
        <v>961</v>
      </c>
      <c r="H186" s="13">
        <v>0.19900000000000001</v>
      </c>
      <c r="I186" s="14" t="s">
        <v>906</v>
      </c>
      <c r="J186" s="22" t="s">
        <v>907</v>
      </c>
      <c r="K186" s="9">
        <v>3</v>
      </c>
      <c r="L186" s="15"/>
      <c r="M186" s="16" t="s">
        <v>74</v>
      </c>
      <c r="N186" s="14"/>
      <c r="O186" s="15" t="s">
        <v>65</v>
      </c>
      <c r="P186" s="22" t="s">
        <v>624</v>
      </c>
      <c r="Q186" s="15"/>
      <c r="R186" s="17" t="s">
        <v>74</v>
      </c>
      <c r="S186" s="18"/>
      <c r="T186" s="22" t="str">
        <f>IF(R186="維持",J186,IF(R186="排除","無關新聞事件",IFERROR(INDEX(事件規則!$B$2:$B$53,MATCH(S186,事件規則!$A$2:$A$53,0)),"")))</f>
        <v>無關新聞事件</v>
      </c>
      <c r="U186" s="9">
        <f>IF(R186="維持",K186,IF(R186="排除",0,IFERROR(INDEX(事件規則!$C$2:$C$53,MATCH(S186,事件規則!$A$2:$A$53,0)),"")))</f>
        <v>0</v>
      </c>
      <c r="V186" s="19"/>
      <c r="W186" s="20"/>
      <c r="X186" s="10" t="str">
        <f t="shared" si="2"/>
        <v/>
      </c>
      <c r="Y186" s="19"/>
      <c r="Z186" s="20"/>
      <c r="AA186" s="12" t="s">
        <v>962</v>
      </c>
      <c r="AB186" s="23"/>
    </row>
    <row r="187" spans="1:28" ht="38.25">
      <c r="A187" s="15">
        <v>186</v>
      </c>
      <c r="B187" s="9" t="s">
        <v>87</v>
      </c>
      <c r="C187" s="9" t="s">
        <v>865</v>
      </c>
      <c r="D187" s="10" t="s">
        <v>866</v>
      </c>
      <c r="E187" s="21" t="s">
        <v>963</v>
      </c>
      <c r="F187" s="22" t="s">
        <v>964</v>
      </c>
      <c r="G187" s="12" t="s">
        <v>965</v>
      </c>
      <c r="H187" s="13">
        <v>0.16400000000000001</v>
      </c>
      <c r="I187" s="14" t="s">
        <v>906</v>
      </c>
      <c r="J187" s="22" t="s">
        <v>907</v>
      </c>
      <c r="K187" s="9">
        <v>3</v>
      </c>
      <c r="L187" s="15"/>
      <c r="M187" s="16" t="s">
        <v>74</v>
      </c>
      <c r="N187" s="14"/>
      <c r="O187" s="15" t="s">
        <v>65</v>
      </c>
      <c r="P187" s="22" t="s">
        <v>624</v>
      </c>
      <c r="Q187" s="15"/>
      <c r="R187" s="17" t="s">
        <v>74</v>
      </c>
      <c r="S187" s="18"/>
      <c r="T187" s="22" t="str">
        <f>IF(R187="維持",J187,IF(R187="排除","無關新聞事件",IFERROR(INDEX(事件規則!$B$2:$B$53,MATCH(S187,事件規則!$A$2:$A$53,0)),"")))</f>
        <v>無關新聞事件</v>
      </c>
      <c r="U187" s="9">
        <f>IF(R187="維持",K187,IF(R187="排除",0,IFERROR(INDEX(事件規則!$C$2:$C$53,MATCH(S187,事件規則!$A$2:$A$53,0)),"")))</f>
        <v>0</v>
      </c>
      <c r="V187" s="19"/>
      <c r="W187" s="20"/>
      <c r="X187" s="10" t="str">
        <f t="shared" si="2"/>
        <v/>
      </c>
      <c r="Y187" s="19"/>
      <c r="Z187" s="20"/>
      <c r="AA187" s="12" t="s">
        <v>966</v>
      </c>
      <c r="AB187" s="23"/>
    </row>
    <row r="188" spans="1:28" ht="25.5">
      <c r="A188" s="15">
        <v>187</v>
      </c>
      <c r="B188" s="9" t="s">
        <v>87</v>
      </c>
      <c r="C188" s="9" t="s">
        <v>865</v>
      </c>
      <c r="D188" s="10" t="s">
        <v>866</v>
      </c>
      <c r="E188" s="21" t="s">
        <v>967</v>
      </c>
      <c r="F188" s="10" t="s">
        <v>968</v>
      </c>
      <c r="G188" s="12" t="s">
        <v>969</v>
      </c>
      <c r="H188" s="13">
        <v>0.63500000000000001</v>
      </c>
      <c r="I188" s="14" t="s">
        <v>906</v>
      </c>
      <c r="J188" s="22" t="s">
        <v>907</v>
      </c>
      <c r="K188" s="9">
        <v>3</v>
      </c>
      <c r="L188" s="15"/>
      <c r="M188" s="16" t="s">
        <v>74</v>
      </c>
      <c r="N188" s="14"/>
      <c r="O188" s="15" t="s">
        <v>65</v>
      </c>
      <c r="P188" s="22" t="s">
        <v>624</v>
      </c>
      <c r="Q188" s="15"/>
      <c r="R188" s="17" t="s">
        <v>74</v>
      </c>
      <c r="S188" s="18"/>
      <c r="T188" s="22" t="str">
        <f>IF(R188="維持",J188,IF(R188="排除","無關新聞事件",IFERROR(INDEX(事件規則!$B$2:$B$53,MATCH(S188,事件規則!$A$2:$A$53,0)),"")))</f>
        <v>無關新聞事件</v>
      </c>
      <c r="U188" s="9">
        <f>IF(R188="維持",K188,IF(R188="排除",0,IFERROR(INDEX(事件規則!$C$2:$C$53,MATCH(S188,事件規則!$A$2:$A$53,0)),"")))</f>
        <v>0</v>
      </c>
      <c r="V188" s="19"/>
      <c r="W188" s="20"/>
      <c r="X188" s="10" t="str">
        <f t="shared" si="2"/>
        <v/>
      </c>
      <c r="Y188" s="19"/>
      <c r="Z188" s="20"/>
      <c r="AA188" s="12" t="s">
        <v>970</v>
      </c>
      <c r="AB188" s="23"/>
    </row>
    <row r="189" spans="1:28" ht="25.5">
      <c r="A189" s="15">
        <v>188</v>
      </c>
      <c r="B189" s="9" t="s">
        <v>87</v>
      </c>
      <c r="C189" s="9" t="s">
        <v>865</v>
      </c>
      <c r="D189" s="10" t="s">
        <v>866</v>
      </c>
      <c r="E189" s="21" t="s">
        <v>971</v>
      </c>
      <c r="F189" s="22" t="s">
        <v>972</v>
      </c>
      <c r="G189" s="12" t="s">
        <v>973</v>
      </c>
      <c r="H189" s="13">
        <v>8.0000000000000002E-3</v>
      </c>
      <c r="I189" s="14" t="s">
        <v>906</v>
      </c>
      <c r="J189" s="22" t="s">
        <v>907</v>
      </c>
      <c r="K189" s="9">
        <v>3</v>
      </c>
      <c r="L189" s="15"/>
      <c r="M189" s="16" t="s">
        <v>74</v>
      </c>
      <c r="N189" s="14"/>
      <c r="O189" s="15" t="s">
        <v>65</v>
      </c>
      <c r="P189" s="22" t="s">
        <v>624</v>
      </c>
      <c r="Q189" s="15"/>
      <c r="R189" s="17" t="s">
        <v>74</v>
      </c>
      <c r="S189" s="18"/>
      <c r="T189" s="22" t="str">
        <f>IF(R189="維持",J189,IF(R189="排除","無關新聞事件",IFERROR(INDEX(事件規則!$B$2:$B$53,MATCH(S189,事件規則!$A$2:$A$53,0)),"")))</f>
        <v>無關新聞事件</v>
      </c>
      <c r="U189" s="9">
        <f>IF(R189="維持",K189,IF(R189="排除",0,IFERROR(INDEX(事件規則!$C$2:$C$53,MATCH(S189,事件規則!$A$2:$A$53,0)),"")))</f>
        <v>0</v>
      </c>
      <c r="V189" s="19"/>
      <c r="W189" s="20"/>
      <c r="X189" s="10" t="str">
        <f t="shared" si="2"/>
        <v/>
      </c>
      <c r="Y189" s="19"/>
      <c r="Z189" s="20"/>
      <c r="AA189" s="12" t="s">
        <v>974</v>
      </c>
      <c r="AB189" s="23"/>
    </row>
    <row r="190" spans="1:28" ht="25.5">
      <c r="A190" s="15">
        <v>189</v>
      </c>
      <c r="B190" s="9" t="s">
        <v>87</v>
      </c>
      <c r="C190" s="9" t="s">
        <v>865</v>
      </c>
      <c r="D190" s="10" t="s">
        <v>866</v>
      </c>
      <c r="E190" s="21" t="s">
        <v>975</v>
      </c>
      <c r="F190" s="22" t="s">
        <v>976</v>
      </c>
      <c r="G190" s="12" t="s">
        <v>957</v>
      </c>
      <c r="H190" s="13">
        <v>4.4999999999999998E-2</v>
      </c>
      <c r="I190" s="14" t="s">
        <v>906</v>
      </c>
      <c r="J190" s="22" t="s">
        <v>907</v>
      </c>
      <c r="K190" s="9">
        <v>3</v>
      </c>
      <c r="L190" s="15"/>
      <c r="M190" s="16" t="s">
        <v>74</v>
      </c>
      <c r="N190" s="14"/>
      <c r="O190" s="15" t="s">
        <v>65</v>
      </c>
      <c r="P190" s="22" t="s">
        <v>624</v>
      </c>
      <c r="Q190" s="15"/>
      <c r="R190" s="17" t="s">
        <v>74</v>
      </c>
      <c r="S190" s="18"/>
      <c r="T190" s="22" t="str">
        <f>IF(R190="維持",J190,IF(R190="排除","無關新聞事件",IFERROR(INDEX(事件規則!$B$2:$B$53,MATCH(S190,事件規則!$A$2:$A$53,0)),"")))</f>
        <v>無關新聞事件</v>
      </c>
      <c r="U190" s="9">
        <f>IF(R190="維持",K190,IF(R190="排除",0,IFERROR(INDEX(事件規則!$C$2:$C$53,MATCH(S190,事件規則!$A$2:$A$53,0)),"")))</f>
        <v>0</v>
      </c>
      <c r="V190" s="19"/>
      <c r="W190" s="20"/>
      <c r="X190" s="10" t="str">
        <f t="shared" si="2"/>
        <v/>
      </c>
      <c r="Y190" s="19"/>
      <c r="Z190" s="20"/>
      <c r="AA190" s="12" t="s">
        <v>977</v>
      </c>
      <c r="AB190" s="23"/>
    </row>
    <row r="191" spans="1:28" ht="25.5">
      <c r="A191" s="15">
        <v>190</v>
      </c>
      <c r="B191" s="9" t="s">
        <v>87</v>
      </c>
      <c r="C191" s="9" t="s">
        <v>865</v>
      </c>
      <c r="D191" s="10" t="s">
        <v>866</v>
      </c>
      <c r="E191" s="21" t="s">
        <v>978</v>
      </c>
      <c r="F191" s="22" t="s">
        <v>979</v>
      </c>
      <c r="G191" s="12" t="s">
        <v>957</v>
      </c>
      <c r="H191" s="13">
        <v>-5.8000000000000003E-2</v>
      </c>
      <c r="I191" s="14" t="s">
        <v>906</v>
      </c>
      <c r="J191" s="22" t="s">
        <v>907</v>
      </c>
      <c r="K191" s="9">
        <v>3</v>
      </c>
      <c r="L191" s="15"/>
      <c r="M191" s="16" t="s">
        <v>74</v>
      </c>
      <c r="N191" s="14"/>
      <c r="O191" s="15" t="s">
        <v>65</v>
      </c>
      <c r="P191" s="22" t="s">
        <v>624</v>
      </c>
      <c r="Q191" s="15"/>
      <c r="R191" s="17" t="s">
        <v>74</v>
      </c>
      <c r="S191" s="18"/>
      <c r="T191" s="22" t="str">
        <f>IF(R191="維持",J191,IF(R191="排除","無關新聞事件",IFERROR(INDEX(事件規則!$B$2:$B$53,MATCH(S191,事件規則!$A$2:$A$53,0)),"")))</f>
        <v>無關新聞事件</v>
      </c>
      <c r="U191" s="9">
        <f>IF(R191="維持",K191,IF(R191="排除",0,IFERROR(INDEX(事件規則!$C$2:$C$53,MATCH(S191,事件規則!$A$2:$A$53,0)),"")))</f>
        <v>0</v>
      </c>
      <c r="V191" s="19"/>
      <c r="W191" s="20"/>
      <c r="X191" s="10" t="str">
        <f t="shared" si="2"/>
        <v/>
      </c>
      <c r="Y191" s="19"/>
      <c r="Z191" s="20"/>
      <c r="AA191" s="12" t="s">
        <v>980</v>
      </c>
      <c r="AB191" s="23"/>
    </row>
    <row r="192" spans="1:28" ht="25.5">
      <c r="A192" s="15">
        <v>191</v>
      </c>
      <c r="B192" s="9" t="s">
        <v>87</v>
      </c>
      <c r="C192" s="9" t="s">
        <v>288</v>
      </c>
      <c r="D192" s="10" t="s">
        <v>289</v>
      </c>
      <c r="E192" s="21" t="s">
        <v>981</v>
      </c>
      <c r="F192" s="10" t="s">
        <v>982</v>
      </c>
      <c r="G192" s="12" t="s">
        <v>983</v>
      </c>
      <c r="H192" s="13">
        <v>-0.92200000000000004</v>
      </c>
      <c r="I192" s="14" t="s">
        <v>906</v>
      </c>
      <c r="J192" s="22" t="s">
        <v>907</v>
      </c>
      <c r="K192" s="9">
        <v>3</v>
      </c>
      <c r="L192" s="15"/>
      <c r="M192" s="16" t="s">
        <v>54</v>
      </c>
      <c r="N192" s="14"/>
      <c r="O192" s="15" t="s">
        <v>65</v>
      </c>
      <c r="P192" s="10" t="s">
        <v>984</v>
      </c>
      <c r="Q192" s="15"/>
      <c r="R192" s="17" t="s">
        <v>54</v>
      </c>
      <c r="S192" s="18"/>
      <c r="T192" s="22" t="str">
        <f>IF(R192="維持",J192,IF(R192="排除","無關新聞事件",IFERROR(INDEX(事件規則!$B$2:$B$53,MATCH(S192,事件規則!$A$2:$A$53,0)),"")))</f>
        <v>裁員或人力縮減</v>
      </c>
      <c r="U192" s="9">
        <f>IF(R192="維持",K192,IF(R192="排除",0,IFERROR(INDEX(事件規則!$C$2:$C$53,MATCH(S192,事件規則!$A$2:$A$53,0)),"")))</f>
        <v>3</v>
      </c>
      <c r="V192" s="19"/>
      <c r="W192" s="20"/>
      <c r="X192" s="10" t="str">
        <f t="shared" si="2"/>
        <v/>
      </c>
      <c r="Y192" s="19"/>
      <c r="Z192" s="20"/>
      <c r="AA192" s="12" t="s">
        <v>985</v>
      </c>
      <c r="AB192" s="23"/>
    </row>
    <row r="193" spans="1:28" ht="25.5">
      <c r="A193" s="15">
        <v>192</v>
      </c>
      <c r="B193" s="9" t="s">
        <v>87</v>
      </c>
      <c r="C193" s="9" t="s">
        <v>78</v>
      </c>
      <c r="D193" s="10" t="s">
        <v>79</v>
      </c>
      <c r="E193" s="21" t="s">
        <v>981</v>
      </c>
      <c r="F193" s="10" t="s">
        <v>982</v>
      </c>
      <c r="G193" s="12" t="s">
        <v>983</v>
      </c>
      <c r="H193" s="13">
        <v>-0.92200000000000004</v>
      </c>
      <c r="I193" s="14" t="s">
        <v>906</v>
      </c>
      <c r="J193" s="22" t="s">
        <v>907</v>
      </c>
      <c r="K193" s="9">
        <v>3</v>
      </c>
      <c r="L193" s="15"/>
      <c r="M193" s="16" t="s">
        <v>54</v>
      </c>
      <c r="N193" s="14"/>
      <c r="O193" s="15" t="s">
        <v>65</v>
      </c>
      <c r="P193" s="10" t="s">
        <v>984</v>
      </c>
      <c r="Q193" s="15"/>
      <c r="R193" s="17" t="s">
        <v>54</v>
      </c>
      <c r="S193" s="18"/>
      <c r="T193" s="22" t="str">
        <f>IF(R193="維持",J193,IF(R193="排除","無關新聞事件",IFERROR(INDEX(事件規則!$B$2:$B$53,MATCH(S193,事件規則!$A$2:$A$53,0)),"")))</f>
        <v>裁員或人力縮減</v>
      </c>
      <c r="U193" s="9">
        <f>IF(R193="維持",K193,IF(R193="排除",0,IFERROR(INDEX(事件規則!$C$2:$C$53,MATCH(S193,事件規則!$A$2:$A$53,0)),"")))</f>
        <v>3</v>
      </c>
      <c r="V193" s="19"/>
      <c r="W193" s="20"/>
      <c r="X193" s="10" t="str">
        <f t="shared" si="2"/>
        <v/>
      </c>
      <c r="Y193" s="19"/>
      <c r="Z193" s="20"/>
      <c r="AA193" s="12" t="s">
        <v>986</v>
      </c>
      <c r="AB193" s="23"/>
    </row>
    <row r="194" spans="1:28" ht="25.5">
      <c r="A194" s="15">
        <v>193</v>
      </c>
      <c r="B194" s="9" t="s">
        <v>87</v>
      </c>
      <c r="C194" s="9" t="s">
        <v>987</v>
      </c>
      <c r="D194" s="10" t="s">
        <v>988</v>
      </c>
      <c r="E194" s="21" t="s">
        <v>981</v>
      </c>
      <c r="F194" s="10" t="s">
        <v>982</v>
      </c>
      <c r="G194" s="12" t="s">
        <v>983</v>
      </c>
      <c r="H194" s="13">
        <v>-0.92200000000000004</v>
      </c>
      <c r="I194" s="14" t="s">
        <v>906</v>
      </c>
      <c r="J194" s="22" t="s">
        <v>907</v>
      </c>
      <c r="K194" s="9">
        <v>3</v>
      </c>
      <c r="L194" s="15"/>
      <c r="M194" s="16" t="s">
        <v>54</v>
      </c>
      <c r="N194" s="14"/>
      <c r="O194" s="15" t="s">
        <v>65</v>
      </c>
      <c r="P194" s="10" t="s">
        <v>984</v>
      </c>
      <c r="Q194" s="15"/>
      <c r="R194" s="17" t="s">
        <v>54</v>
      </c>
      <c r="S194" s="18"/>
      <c r="T194" s="22" t="str">
        <f>IF(R194="維持",J194,IF(R194="排除","無關新聞事件",IFERROR(INDEX(事件規則!$B$2:$B$53,MATCH(S194,事件規則!$A$2:$A$53,0)),"")))</f>
        <v>裁員或人力縮減</v>
      </c>
      <c r="U194" s="9">
        <f>IF(R194="維持",K194,IF(R194="排除",0,IFERROR(INDEX(事件規則!$C$2:$C$53,MATCH(S194,事件規則!$A$2:$A$53,0)),"")))</f>
        <v>3</v>
      </c>
      <c r="V194" s="19"/>
      <c r="W194" s="20"/>
      <c r="X194" s="10" t="str">
        <f t="shared" ref="X194:X257" si="3">IF(AND(R194="修改",S194=""),"請選新事件代碼",IF(AND(R194&lt;&gt;"修改",S194&lt;&gt;""),"只有「修改」才需填代碼",""))</f>
        <v/>
      </c>
      <c r="Y194" s="19"/>
      <c r="Z194" s="20"/>
      <c r="AA194" s="12" t="s">
        <v>989</v>
      </c>
      <c r="AB194" s="23"/>
    </row>
    <row r="195" spans="1:28" ht="38.25">
      <c r="A195" s="15">
        <v>194</v>
      </c>
      <c r="B195" s="9" t="s">
        <v>87</v>
      </c>
      <c r="C195" s="9" t="s">
        <v>865</v>
      </c>
      <c r="D195" s="10" t="s">
        <v>866</v>
      </c>
      <c r="E195" s="21" t="s">
        <v>990</v>
      </c>
      <c r="F195" s="22" t="s">
        <v>991</v>
      </c>
      <c r="G195" s="12" t="s">
        <v>992</v>
      </c>
      <c r="H195" s="13">
        <v>0.11600000000000001</v>
      </c>
      <c r="I195" s="14" t="s">
        <v>906</v>
      </c>
      <c r="J195" s="22" t="s">
        <v>907</v>
      </c>
      <c r="K195" s="9">
        <v>3</v>
      </c>
      <c r="L195" s="15"/>
      <c r="M195" s="16" t="s">
        <v>74</v>
      </c>
      <c r="N195" s="14"/>
      <c r="O195" s="15" t="s">
        <v>65</v>
      </c>
      <c r="P195" s="22" t="s">
        <v>624</v>
      </c>
      <c r="Q195" s="15"/>
      <c r="R195" s="17" t="s">
        <v>74</v>
      </c>
      <c r="S195" s="18"/>
      <c r="T195" s="22" t="str">
        <f>IF(R195="維持",J195,IF(R195="排除","無關新聞事件",IFERROR(INDEX(事件規則!$B$2:$B$53,MATCH(S195,事件規則!$A$2:$A$53,0)),"")))</f>
        <v>無關新聞事件</v>
      </c>
      <c r="U195" s="9">
        <f>IF(R195="維持",K195,IF(R195="排除",0,IFERROR(INDEX(事件規則!$C$2:$C$53,MATCH(S195,事件規則!$A$2:$A$53,0)),"")))</f>
        <v>0</v>
      </c>
      <c r="V195" s="19"/>
      <c r="W195" s="20"/>
      <c r="X195" s="10" t="str">
        <f t="shared" si="3"/>
        <v/>
      </c>
      <c r="Y195" s="19"/>
      <c r="Z195" s="20"/>
      <c r="AA195" s="12" t="s">
        <v>993</v>
      </c>
      <c r="AB195" s="23"/>
    </row>
    <row r="196" spans="1:28" ht="38.25">
      <c r="A196" s="15">
        <v>195</v>
      </c>
      <c r="B196" s="9" t="s">
        <v>87</v>
      </c>
      <c r="C196" s="9" t="s">
        <v>865</v>
      </c>
      <c r="D196" s="10" t="s">
        <v>866</v>
      </c>
      <c r="E196" s="21" t="s">
        <v>994</v>
      </c>
      <c r="F196" s="22" t="s">
        <v>995</v>
      </c>
      <c r="G196" s="12" t="s">
        <v>996</v>
      </c>
      <c r="H196" s="13">
        <v>0.313</v>
      </c>
      <c r="I196" s="14" t="s">
        <v>906</v>
      </c>
      <c r="J196" s="22" t="s">
        <v>907</v>
      </c>
      <c r="K196" s="9">
        <v>3</v>
      </c>
      <c r="L196" s="15"/>
      <c r="M196" s="16" t="s">
        <v>74</v>
      </c>
      <c r="N196" s="14"/>
      <c r="O196" s="15" t="s">
        <v>65</v>
      </c>
      <c r="P196" s="22" t="s">
        <v>624</v>
      </c>
      <c r="Q196" s="15"/>
      <c r="R196" s="17" t="s">
        <v>74</v>
      </c>
      <c r="S196" s="18"/>
      <c r="T196" s="22" t="str">
        <f>IF(R196="維持",J196,IF(R196="排除","無關新聞事件",IFERROR(INDEX(事件規則!$B$2:$B$53,MATCH(S196,事件規則!$A$2:$A$53,0)),"")))</f>
        <v>無關新聞事件</v>
      </c>
      <c r="U196" s="9">
        <f>IF(R196="維持",K196,IF(R196="排除",0,IFERROR(INDEX(事件規則!$C$2:$C$53,MATCH(S196,事件規則!$A$2:$A$53,0)),"")))</f>
        <v>0</v>
      </c>
      <c r="V196" s="19"/>
      <c r="W196" s="20"/>
      <c r="X196" s="10" t="str">
        <f t="shared" si="3"/>
        <v/>
      </c>
      <c r="Y196" s="19"/>
      <c r="Z196" s="20"/>
      <c r="AA196" s="12" t="s">
        <v>997</v>
      </c>
      <c r="AB196" s="23"/>
    </row>
    <row r="197" spans="1:28" ht="38.25">
      <c r="A197" s="15">
        <v>196</v>
      </c>
      <c r="B197" s="9" t="s">
        <v>87</v>
      </c>
      <c r="C197" s="9" t="s">
        <v>865</v>
      </c>
      <c r="D197" s="10" t="s">
        <v>866</v>
      </c>
      <c r="E197" s="21" t="s">
        <v>998</v>
      </c>
      <c r="F197" s="22" t="s">
        <v>999</v>
      </c>
      <c r="G197" s="12" t="s">
        <v>1000</v>
      </c>
      <c r="H197" s="13">
        <v>0.113</v>
      </c>
      <c r="I197" s="14" t="s">
        <v>906</v>
      </c>
      <c r="J197" s="22" t="s">
        <v>907</v>
      </c>
      <c r="K197" s="9">
        <v>3</v>
      </c>
      <c r="L197" s="15"/>
      <c r="M197" s="16" t="s">
        <v>74</v>
      </c>
      <c r="N197" s="14"/>
      <c r="O197" s="15" t="s">
        <v>65</v>
      </c>
      <c r="P197" s="22" t="s">
        <v>624</v>
      </c>
      <c r="Q197" s="15"/>
      <c r="R197" s="17" t="s">
        <v>74</v>
      </c>
      <c r="S197" s="18"/>
      <c r="T197" s="22" t="str">
        <f>IF(R197="維持",J197,IF(R197="排除","無關新聞事件",IFERROR(INDEX(事件規則!$B$2:$B$53,MATCH(S197,事件規則!$A$2:$A$53,0)),"")))</f>
        <v>無關新聞事件</v>
      </c>
      <c r="U197" s="9">
        <f>IF(R197="維持",K197,IF(R197="排除",0,IFERROR(INDEX(事件規則!$C$2:$C$53,MATCH(S197,事件規則!$A$2:$A$53,0)),"")))</f>
        <v>0</v>
      </c>
      <c r="V197" s="19"/>
      <c r="W197" s="20"/>
      <c r="X197" s="10" t="str">
        <f t="shared" si="3"/>
        <v/>
      </c>
      <c r="Y197" s="19"/>
      <c r="Z197" s="20"/>
      <c r="AA197" s="12" t="s">
        <v>1001</v>
      </c>
      <c r="AB197" s="23"/>
    </row>
    <row r="198" spans="1:28" ht="25.5">
      <c r="A198" s="15">
        <v>197</v>
      </c>
      <c r="B198" s="9" t="s">
        <v>87</v>
      </c>
      <c r="C198" s="9" t="s">
        <v>865</v>
      </c>
      <c r="D198" s="10" t="s">
        <v>866</v>
      </c>
      <c r="E198" s="21" t="s">
        <v>1002</v>
      </c>
      <c r="F198" s="22" t="s">
        <v>1003</v>
      </c>
      <c r="G198" s="12" t="s">
        <v>1004</v>
      </c>
      <c r="H198" s="13">
        <v>8.5999999999999993E-2</v>
      </c>
      <c r="I198" s="14" t="s">
        <v>906</v>
      </c>
      <c r="J198" s="22" t="s">
        <v>907</v>
      </c>
      <c r="K198" s="9">
        <v>3</v>
      </c>
      <c r="L198" s="15"/>
      <c r="M198" s="16" t="s">
        <v>74</v>
      </c>
      <c r="N198" s="14"/>
      <c r="O198" s="15" t="s">
        <v>65</v>
      </c>
      <c r="P198" s="22" t="s">
        <v>624</v>
      </c>
      <c r="Q198" s="15"/>
      <c r="R198" s="17" t="s">
        <v>74</v>
      </c>
      <c r="S198" s="18"/>
      <c r="T198" s="22" t="str">
        <f>IF(R198="維持",J198,IF(R198="排除","無關新聞事件",IFERROR(INDEX(事件規則!$B$2:$B$53,MATCH(S198,事件規則!$A$2:$A$53,0)),"")))</f>
        <v>無關新聞事件</v>
      </c>
      <c r="U198" s="9">
        <f>IF(R198="維持",K198,IF(R198="排除",0,IFERROR(INDEX(事件規則!$C$2:$C$53,MATCH(S198,事件規則!$A$2:$A$53,0)),"")))</f>
        <v>0</v>
      </c>
      <c r="V198" s="19"/>
      <c r="W198" s="20"/>
      <c r="X198" s="10" t="str">
        <f t="shared" si="3"/>
        <v/>
      </c>
      <c r="Y198" s="19"/>
      <c r="Z198" s="20"/>
      <c r="AA198" s="12" t="s">
        <v>1005</v>
      </c>
      <c r="AB198" s="23"/>
    </row>
    <row r="199" spans="1:28" ht="25.5">
      <c r="A199" s="15">
        <v>198</v>
      </c>
      <c r="B199" s="9" t="s">
        <v>87</v>
      </c>
      <c r="C199" s="9" t="s">
        <v>865</v>
      </c>
      <c r="D199" s="10" t="s">
        <v>866</v>
      </c>
      <c r="E199" s="21" t="s">
        <v>1006</v>
      </c>
      <c r="F199" s="22" t="s">
        <v>1007</v>
      </c>
      <c r="G199" s="12" t="s">
        <v>1008</v>
      </c>
      <c r="H199" s="13">
        <v>-0.40799999999999997</v>
      </c>
      <c r="I199" s="14" t="s">
        <v>906</v>
      </c>
      <c r="J199" s="22" t="s">
        <v>907</v>
      </c>
      <c r="K199" s="9">
        <v>3</v>
      </c>
      <c r="L199" s="15"/>
      <c r="M199" s="16" t="s">
        <v>74</v>
      </c>
      <c r="N199" s="14"/>
      <c r="O199" s="15" t="s">
        <v>65</v>
      </c>
      <c r="P199" s="22" t="s">
        <v>624</v>
      </c>
      <c r="Q199" s="15"/>
      <c r="R199" s="17" t="s">
        <v>74</v>
      </c>
      <c r="S199" s="18"/>
      <c r="T199" s="22" t="str">
        <f>IF(R199="維持",J199,IF(R199="排除","無關新聞事件",IFERROR(INDEX(事件規則!$B$2:$B$53,MATCH(S199,事件規則!$A$2:$A$53,0)),"")))</f>
        <v>無關新聞事件</v>
      </c>
      <c r="U199" s="9">
        <f>IF(R199="維持",K199,IF(R199="排除",0,IFERROR(INDEX(事件規則!$C$2:$C$53,MATCH(S199,事件規則!$A$2:$A$53,0)),"")))</f>
        <v>0</v>
      </c>
      <c r="V199" s="19"/>
      <c r="W199" s="20"/>
      <c r="X199" s="10" t="str">
        <f t="shared" si="3"/>
        <v/>
      </c>
      <c r="Y199" s="19"/>
      <c r="Z199" s="20"/>
      <c r="AA199" s="12" t="s">
        <v>1009</v>
      </c>
      <c r="AB199" s="23"/>
    </row>
    <row r="200" spans="1:28" ht="38.25">
      <c r="A200" s="15">
        <v>199</v>
      </c>
      <c r="B200" s="9" t="s">
        <v>87</v>
      </c>
      <c r="C200" s="9" t="s">
        <v>865</v>
      </c>
      <c r="D200" s="10" t="s">
        <v>866</v>
      </c>
      <c r="E200" s="21" t="s">
        <v>1010</v>
      </c>
      <c r="F200" s="22" t="s">
        <v>1011</v>
      </c>
      <c r="G200" s="12" t="s">
        <v>1008</v>
      </c>
      <c r="H200" s="13">
        <v>0.193</v>
      </c>
      <c r="I200" s="14" t="s">
        <v>906</v>
      </c>
      <c r="J200" s="22" t="s">
        <v>907</v>
      </c>
      <c r="K200" s="9">
        <v>3</v>
      </c>
      <c r="L200" s="15"/>
      <c r="M200" s="16" t="s">
        <v>74</v>
      </c>
      <c r="N200" s="14"/>
      <c r="O200" s="15" t="s">
        <v>65</v>
      </c>
      <c r="P200" s="22" t="s">
        <v>624</v>
      </c>
      <c r="Q200" s="15"/>
      <c r="R200" s="17" t="s">
        <v>74</v>
      </c>
      <c r="S200" s="18"/>
      <c r="T200" s="22" t="str">
        <f>IF(R200="維持",J200,IF(R200="排除","無關新聞事件",IFERROR(INDEX(事件規則!$B$2:$B$53,MATCH(S200,事件規則!$A$2:$A$53,0)),"")))</f>
        <v>無關新聞事件</v>
      </c>
      <c r="U200" s="9">
        <f>IF(R200="維持",K200,IF(R200="排除",0,IFERROR(INDEX(事件規則!$C$2:$C$53,MATCH(S200,事件規則!$A$2:$A$53,0)),"")))</f>
        <v>0</v>
      </c>
      <c r="V200" s="19"/>
      <c r="W200" s="20"/>
      <c r="X200" s="10" t="str">
        <f t="shared" si="3"/>
        <v/>
      </c>
      <c r="Y200" s="19"/>
      <c r="Z200" s="20"/>
      <c r="AA200" s="12" t="s">
        <v>1012</v>
      </c>
      <c r="AB200" s="23"/>
    </row>
    <row r="201" spans="1:28" ht="25.5">
      <c r="A201" s="15">
        <v>200</v>
      </c>
      <c r="B201" s="9" t="s">
        <v>87</v>
      </c>
      <c r="C201" s="9" t="s">
        <v>865</v>
      </c>
      <c r="D201" s="10" t="s">
        <v>866</v>
      </c>
      <c r="E201" s="21" t="s">
        <v>1013</v>
      </c>
      <c r="F201" s="22" t="s">
        <v>1014</v>
      </c>
      <c r="G201" s="12" t="s">
        <v>1015</v>
      </c>
      <c r="H201" s="13">
        <v>3.5999999999999997E-2</v>
      </c>
      <c r="I201" s="14" t="s">
        <v>906</v>
      </c>
      <c r="J201" s="22" t="s">
        <v>907</v>
      </c>
      <c r="K201" s="9">
        <v>3</v>
      </c>
      <c r="L201" s="15"/>
      <c r="M201" s="16" t="s">
        <v>74</v>
      </c>
      <c r="N201" s="14"/>
      <c r="O201" s="15" t="s">
        <v>65</v>
      </c>
      <c r="P201" s="22" t="s">
        <v>624</v>
      </c>
      <c r="Q201" s="15"/>
      <c r="R201" s="17" t="s">
        <v>74</v>
      </c>
      <c r="S201" s="18"/>
      <c r="T201" s="22" t="str">
        <f>IF(R201="維持",J201,IF(R201="排除","無關新聞事件",IFERROR(INDEX(事件規則!$B$2:$B$53,MATCH(S201,事件規則!$A$2:$A$53,0)),"")))</f>
        <v>無關新聞事件</v>
      </c>
      <c r="U201" s="9">
        <f>IF(R201="維持",K201,IF(R201="排除",0,IFERROR(INDEX(事件規則!$C$2:$C$53,MATCH(S201,事件規則!$A$2:$A$53,0)),"")))</f>
        <v>0</v>
      </c>
      <c r="V201" s="19"/>
      <c r="W201" s="20"/>
      <c r="X201" s="10" t="str">
        <f t="shared" si="3"/>
        <v/>
      </c>
      <c r="Y201" s="19"/>
      <c r="Z201" s="20"/>
      <c r="AA201" s="12" t="s">
        <v>1016</v>
      </c>
      <c r="AB201" s="23"/>
    </row>
    <row r="202" spans="1:28" ht="38.25">
      <c r="A202" s="15">
        <v>201</v>
      </c>
      <c r="B202" s="9" t="s">
        <v>87</v>
      </c>
      <c r="C202" s="9" t="s">
        <v>865</v>
      </c>
      <c r="D202" s="10" t="s">
        <v>866</v>
      </c>
      <c r="E202" s="21" t="s">
        <v>1017</v>
      </c>
      <c r="F202" s="22" t="s">
        <v>1018</v>
      </c>
      <c r="G202" s="12" t="s">
        <v>1008</v>
      </c>
      <c r="H202" s="13">
        <v>3.1E-2</v>
      </c>
      <c r="I202" s="14" t="s">
        <v>906</v>
      </c>
      <c r="J202" s="22" t="s">
        <v>907</v>
      </c>
      <c r="K202" s="9">
        <v>3</v>
      </c>
      <c r="L202" s="15"/>
      <c r="M202" s="16" t="s">
        <v>74</v>
      </c>
      <c r="N202" s="14"/>
      <c r="O202" s="15" t="s">
        <v>65</v>
      </c>
      <c r="P202" s="22" t="s">
        <v>624</v>
      </c>
      <c r="Q202" s="15"/>
      <c r="R202" s="17" t="s">
        <v>74</v>
      </c>
      <c r="S202" s="18"/>
      <c r="T202" s="22" t="str">
        <f>IF(R202="維持",J202,IF(R202="排除","無關新聞事件",IFERROR(INDEX(事件規則!$B$2:$B$53,MATCH(S202,事件規則!$A$2:$A$53,0)),"")))</f>
        <v>無關新聞事件</v>
      </c>
      <c r="U202" s="9">
        <f>IF(R202="維持",K202,IF(R202="排除",0,IFERROR(INDEX(事件規則!$C$2:$C$53,MATCH(S202,事件規則!$A$2:$A$53,0)),"")))</f>
        <v>0</v>
      </c>
      <c r="V202" s="19"/>
      <c r="W202" s="20"/>
      <c r="X202" s="10" t="str">
        <f t="shared" si="3"/>
        <v/>
      </c>
      <c r="Y202" s="19"/>
      <c r="Z202" s="20"/>
      <c r="AA202" s="12" t="s">
        <v>1019</v>
      </c>
      <c r="AB202" s="23"/>
    </row>
    <row r="203" spans="1:28" ht="38.25">
      <c r="A203" s="15">
        <v>202</v>
      </c>
      <c r="B203" s="9" t="s">
        <v>87</v>
      </c>
      <c r="C203" s="9" t="s">
        <v>865</v>
      </c>
      <c r="D203" s="10" t="s">
        <v>866</v>
      </c>
      <c r="E203" s="21" t="s">
        <v>1020</v>
      </c>
      <c r="F203" s="22" t="s">
        <v>1021</v>
      </c>
      <c r="G203" s="12" t="s">
        <v>1022</v>
      </c>
      <c r="H203" s="13">
        <v>0.66500000000000004</v>
      </c>
      <c r="I203" s="14" t="s">
        <v>906</v>
      </c>
      <c r="J203" s="22" t="s">
        <v>907</v>
      </c>
      <c r="K203" s="9">
        <v>3</v>
      </c>
      <c r="L203" s="15"/>
      <c r="M203" s="16" t="s">
        <v>74</v>
      </c>
      <c r="N203" s="14"/>
      <c r="O203" s="15" t="s">
        <v>65</v>
      </c>
      <c r="P203" s="22" t="s">
        <v>624</v>
      </c>
      <c r="Q203" s="15"/>
      <c r="R203" s="17" t="s">
        <v>74</v>
      </c>
      <c r="S203" s="18"/>
      <c r="T203" s="22" t="str">
        <f>IF(R203="維持",J203,IF(R203="排除","無關新聞事件",IFERROR(INDEX(事件規則!$B$2:$B$53,MATCH(S203,事件規則!$A$2:$A$53,0)),"")))</f>
        <v>無關新聞事件</v>
      </c>
      <c r="U203" s="9">
        <f>IF(R203="維持",K203,IF(R203="排除",0,IFERROR(INDEX(事件規則!$C$2:$C$53,MATCH(S203,事件規則!$A$2:$A$53,0)),"")))</f>
        <v>0</v>
      </c>
      <c r="V203" s="19"/>
      <c r="W203" s="20"/>
      <c r="X203" s="10" t="str">
        <f t="shared" si="3"/>
        <v/>
      </c>
      <c r="Y203" s="19"/>
      <c r="Z203" s="20"/>
      <c r="AA203" s="12" t="s">
        <v>1023</v>
      </c>
      <c r="AB203" s="23"/>
    </row>
    <row r="204" spans="1:28" ht="25.5">
      <c r="A204" s="15">
        <v>203</v>
      </c>
      <c r="B204" s="9" t="s">
        <v>87</v>
      </c>
      <c r="C204" s="9" t="s">
        <v>865</v>
      </c>
      <c r="D204" s="10" t="s">
        <v>866</v>
      </c>
      <c r="E204" s="21" t="s">
        <v>1024</v>
      </c>
      <c r="F204" s="22" t="s">
        <v>1025</v>
      </c>
      <c r="G204" s="12" t="s">
        <v>1026</v>
      </c>
      <c r="H204" s="13">
        <v>0.11700000000000001</v>
      </c>
      <c r="I204" s="14" t="s">
        <v>906</v>
      </c>
      <c r="J204" s="22" t="s">
        <v>907</v>
      </c>
      <c r="K204" s="9">
        <v>3</v>
      </c>
      <c r="L204" s="15"/>
      <c r="M204" s="16" t="s">
        <v>74</v>
      </c>
      <c r="N204" s="14"/>
      <c r="O204" s="15" t="s">
        <v>65</v>
      </c>
      <c r="P204" s="22" t="s">
        <v>624</v>
      </c>
      <c r="Q204" s="15"/>
      <c r="R204" s="17" t="s">
        <v>74</v>
      </c>
      <c r="S204" s="18"/>
      <c r="T204" s="22" t="str">
        <f>IF(R204="維持",J204,IF(R204="排除","無關新聞事件",IFERROR(INDEX(事件規則!$B$2:$B$53,MATCH(S204,事件規則!$A$2:$A$53,0)),"")))</f>
        <v>無關新聞事件</v>
      </c>
      <c r="U204" s="9">
        <f>IF(R204="維持",K204,IF(R204="排除",0,IFERROR(INDEX(事件規則!$C$2:$C$53,MATCH(S204,事件規則!$A$2:$A$53,0)),"")))</f>
        <v>0</v>
      </c>
      <c r="V204" s="19"/>
      <c r="W204" s="20"/>
      <c r="X204" s="10" t="str">
        <f t="shared" si="3"/>
        <v/>
      </c>
      <c r="Y204" s="19"/>
      <c r="Z204" s="20"/>
      <c r="AA204" s="12" t="s">
        <v>1027</v>
      </c>
      <c r="AB204" s="23"/>
    </row>
    <row r="205" spans="1:28" ht="25.5">
      <c r="A205" s="15">
        <v>204</v>
      </c>
      <c r="B205" s="9" t="s">
        <v>87</v>
      </c>
      <c r="C205" s="9" t="s">
        <v>865</v>
      </c>
      <c r="D205" s="10" t="s">
        <v>866</v>
      </c>
      <c r="E205" s="21" t="s">
        <v>1028</v>
      </c>
      <c r="F205" s="22" t="s">
        <v>1029</v>
      </c>
      <c r="G205" s="12" t="s">
        <v>1026</v>
      </c>
      <c r="H205" s="13">
        <v>7.2999999999999995E-2</v>
      </c>
      <c r="I205" s="14" t="s">
        <v>906</v>
      </c>
      <c r="J205" s="22" t="s">
        <v>907</v>
      </c>
      <c r="K205" s="9">
        <v>3</v>
      </c>
      <c r="L205" s="15"/>
      <c r="M205" s="16" t="s">
        <v>74</v>
      </c>
      <c r="N205" s="14"/>
      <c r="O205" s="15" t="s">
        <v>65</v>
      </c>
      <c r="P205" s="22" t="s">
        <v>624</v>
      </c>
      <c r="Q205" s="15"/>
      <c r="R205" s="17" t="s">
        <v>74</v>
      </c>
      <c r="S205" s="18"/>
      <c r="T205" s="22" t="str">
        <f>IF(R205="維持",J205,IF(R205="排除","無關新聞事件",IFERROR(INDEX(事件規則!$B$2:$B$53,MATCH(S205,事件規則!$A$2:$A$53,0)),"")))</f>
        <v>無關新聞事件</v>
      </c>
      <c r="U205" s="9">
        <f>IF(R205="維持",K205,IF(R205="排除",0,IFERROR(INDEX(事件規則!$C$2:$C$53,MATCH(S205,事件規則!$A$2:$A$53,0)),"")))</f>
        <v>0</v>
      </c>
      <c r="V205" s="19"/>
      <c r="W205" s="20"/>
      <c r="X205" s="10" t="str">
        <f t="shared" si="3"/>
        <v/>
      </c>
      <c r="Y205" s="19"/>
      <c r="Z205" s="20"/>
      <c r="AA205" s="12" t="s">
        <v>1030</v>
      </c>
      <c r="AB205" s="23"/>
    </row>
    <row r="206" spans="1:28" ht="25.5">
      <c r="A206" s="15">
        <v>205</v>
      </c>
      <c r="B206" s="9" t="s">
        <v>87</v>
      </c>
      <c r="C206" s="9" t="s">
        <v>865</v>
      </c>
      <c r="D206" s="10" t="s">
        <v>866</v>
      </c>
      <c r="E206" s="21" t="s">
        <v>1031</v>
      </c>
      <c r="F206" s="22" t="s">
        <v>1032</v>
      </c>
      <c r="G206" s="12" t="s">
        <v>1033</v>
      </c>
      <c r="H206" s="13">
        <v>0.34200000000000003</v>
      </c>
      <c r="I206" s="14" t="s">
        <v>906</v>
      </c>
      <c r="J206" s="22" t="s">
        <v>907</v>
      </c>
      <c r="K206" s="9">
        <v>3</v>
      </c>
      <c r="L206" s="15"/>
      <c r="M206" s="16" t="s">
        <v>74</v>
      </c>
      <c r="N206" s="14"/>
      <c r="O206" s="15" t="s">
        <v>65</v>
      </c>
      <c r="P206" s="22" t="s">
        <v>624</v>
      </c>
      <c r="Q206" s="15"/>
      <c r="R206" s="17" t="s">
        <v>74</v>
      </c>
      <c r="S206" s="18"/>
      <c r="T206" s="22" t="str">
        <f>IF(R206="維持",J206,IF(R206="排除","無關新聞事件",IFERROR(INDEX(事件規則!$B$2:$B$53,MATCH(S206,事件規則!$A$2:$A$53,0)),"")))</f>
        <v>無關新聞事件</v>
      </c>
      <c r="U206" s="9">
        <f>IF(R206="維持",K206,IF(R206="排除",0,IFERROR(INDEX(事件規則!$C$2:$C$53,MATCH(S206,事件規則!$A$2:$A$53,0)),"")))</f>
        <v>0</v>
      </c>
      <c r="V206" s="19"/>
      <c r="W206" s="20"/>
      <c r="X206" s="10" t="str">
        <f t="shared" si="3"/>
        <v/>
      </c>
      <c r="Y206" s="19"/>
      <c r="Z206" s="20"/>
      <c r="AA206" s="12" t="s">
        <v>1034</v>
      </c>
      <c r="AB206" s="23"/>
    </row>
    <row r="207" spans="1:28" ht="25.5">
      <c r="A207" s="15">
        <v>206</v>
      </c>
      <c r="B207" s="9" t="s">
        <v>87</v>
      </c>
      <c r="C207" s="9" t="s">
        <v>865</v>
      </c>
      <c r="D207" s="10" t="s">
        <v>866</v>
      </c>
      <c r="E207" s="21" t="s">
        <v>1035</v>
      </c>
      <c r="F207" s="22" t="s">
        <v>1036</v>
      </c>
      <c r="G207" s="12" t="s">
        <v>1037</v>
      </c>
      <c r="H207" s="13">
        <v>-0.93300000000000005</v>
      </c>
      <c r="I207" s="14" t="s">
        <v>906</v>
      </c>
      <c r="J207" s="22" t="s">
        <v>907</v>
      </c>
      <c r="K207" s="9">
        <v>3</v>
      </c>
      <c r="L207" s="15"/>
      <c r="M207" s="16" t="s">
        <v>74</v>
      </c>
      <c r="N207" s="14"/>
      <c r="O207" s="15" t="s">
        <v>65</v>
      </c>
      <c r="P207" s="22" t="s">
        <v>624</v>
      </c>
      <c r="Q207" s="15"/>
      <c r="R207" s="17" t="s">
        <v>74</v>
      </c>
      <c r="S207" s="18"/>
      <c r="T207" s="22" t="str">
        <f>IF(R207="維持",J207,IF(R207="排除","無關新聞事件",IFERROR(INDEX(事件規則!$B$2:$B$53,MATCH(S207,事件規則!$A$2:$A$53,0)),"")))</f>
        <v>無關新聞事件</v>
      </c>
      <c r="U207" s="9">
        <f>IF(R207="維持",K207,IF(R207="排除",0,IFERROR(INDEX(事件規則!$C$2:$C$53,MATCH(S207,事件規則!$A$2:$A$53,0)),"")))</f>
        <v>0</v>
      </c>
      <c r="V207" s="19"/>
      <c r="W207" s="20"/>
      <c r="X207" s="10" t="str">
        <f t="shared" si="3"/>
        <v/>
      </c>
      <c r="Y207" s="19"/>
      <c r="Z207" s="20"/>
      <c r="AA207" s="12" t="s">
        <v>1038</v>
      </c>
      <c r="AB207" s="23"/>
    </row>
    <row r="208" spans="1:28" ht="25.5">
      <c r="A208" s="15">
        <v>207</v>
      </c>
      <c r="B208" s="9" t="s">
        <v>87</v>
      </c>
      <c r="C208" s="9" t="s">
        <v>865</v>
      </c>
      <c r="D208" s="10" t="s">
        <v>866</v>
      </c>
      <c r="E208" s="21" t="s">
        <v>1039</v>
      </c>
      <c r="F208" s="22" t="s">
        <v>1040</v>
      </c>
      <c r="G208" s="12" t="s">
        <v>996</v>
      </c>
      <c r="H208" s="13">
        <v>-0.92100000000000004</v>
      </c>
      <c r="I208" s="14" t="s">
        <v>906</v>
      </c>
      <c r="J208" s="22" t="s">
        <v>907</v>
      </c>
      <c r="K208" s="9">
        <v>3</v>
      </c>
      <c r="L208" s="15"/>
      <c r="M208" s="16" t="s">
        <v>74</v>
      </c>
      <c r="N208" s="14"/>
      <c r="O208" s="15" t="s">
        <v>65</v>
      </c>
      <c r="P208" s="22" t="s">
        <v>624</v>
      </c>
      <c r="Q208" s="15"/>
      <c r="R208" s="17" t="s">
        <v>74</v>
      </c>
      <c r="S208" s="18"/>
      <c r="T208" s="22" t="str">
        <f>IF(R208="維持",J208,IF(R208="排除","無關新聞事件",IFERROR(INDEX(事件規則!$B$2:$B$53,MATCH(S208,事件規則!$A$2:$A$53,0)),"")))</f>
        <v>無關新聞事件</v>
      </c>
      <c r="U208" s="9">
        <f>IF(R208="維持",K208,IF(R208="排除",0,IFERROR(INDEX(事件規則!$C$2:$C$53,MATCH(S208,事件規則!$A$2:$A$53,0)),"")))</f>
        <v>0</v>
      </c>
      <c r="V208" s="19"/>
      <c r="W208" s="20"/>
      <c r="X208" s="10" t="str">
        <f t="shared" si="3"/>
        <v/>
      </c>
      <c r="Y208" s="19"/>
      <c r="Z208" s="20"/>
      <c r="AA208" s="12" t="s">
        <v>1041</v>
      </c>
      <c r="AB208" s="23"/>
    </row>
    <row r="209" spans="1:28" ht="38.25">
      <c r="A209" s="15">
        <v>208</v>
      </c>
      <c r="B209" s="9" t="s">
        <v>87</v>
      </c>
      <c r="C209" s="9" t="s">
        <v>865</v>
      </c>
      <c r="D209" s="10" t="s">
        <v>866</v>
      </c>
      <c r="E209" s="21" t="s">
        <v>1042</v>
      </c>
      <c r="F209" s="22" t="s">
        <v>1043</v>
      </c>
      <c r="G209" s="12" t="s">
        <v>1044</v>
      </c>
      <c r="H209" s="13">
        <v>-0.58699999999999997</v>
      </c>
      <c r="I209" s="14" t="s">
        <v>906</v>
      </c>
      <c r="J209" s="22" t="s">
        <v>907</v>
      </c>
      <c r="K209" s="9">
        <v>3</v>
      </c>
      <c r="L209" s="15"/>
      <c r="M209" s="16" t="s">
        <v>74</v>
      </c>
      <c r="N209" s="14"/>
      <c r="O209" s="15" t="s">
        <v>65</v>
      </c>
      <c r="P209" s="22" t="s">
        <v>624</v>
      </c>
      <c r="Q209" s="15"/>
      <c r="R209" s="17" t="s">
        <v>74</v>
      </c>
      <c r="S209" s="18"/>
      <c r="T209" s="22" t="str">
        <f>IF(R209="維持",J209,IF(R209="排除","無關新聞事件",IFERROR(INDEX(事件規則!$B$2:$B$53,MATCH(S209,事件規則!$A$2:$A$53,0)),"")))</f>
        <v>無關新聞事件</v>
      </c>
      <c r="U209" s="9">
        <f>IF(R209="維持",K209,IF(R209="排除",0,IFERROR(INDEX(事件規則!$C$2:$C$53,MATCH(S209,事件規則!$A$2:$A$53,0)),"")))</f>
        <v>0</v>
      </c>
      <c r="V209" s="19"/>
      <c r="W209" s="20"/>
      <c r="X209" s="10" t="str">
        <f t="shared" si="3"/>
        <v/>
      </c>
      <c r="Y209" s="19"/>
      <c r="Z209" s="20"/>
      <c r="AA209" s="12" t="s">
        <v>1045</v>
      </c>
      <c r="AB209" s="23"/>
    </row>
    <row r="210" spans="1:28" ht="25.5">
      <c r="A210" s="15">
        <v>209</v>
      </c>
      <c r="B210" s="9" t="s">
        <v>87</v>
      </c>
      <c r="C210" s="9" t="s">
        <v>865</v>
      </c>
      <c r="D210" s="10" t="s">
        <v>866</v>
      </c>
      <c r="E210" s="21" t="s">
        <v>1046</v>
      </c>
      <c r="F210" s="22" t="s">
        <v>1047</v>
      </c>
      <c r="G210" s="12" t="s">
        <v>1048</v>
      </c>
      <c r="H210" s="13">
        <v>-0.72399999999999998</v>
      </c>
      <c r="I210" s="14" t="s">
        <v>906</v>
      </c>
      <c r="J210" s="22" t="s">
        <v>907</v>
      </c>
      <c r="K210" s="9">
        <v>3</v>
      </c>
      <c r="L210" s="15"/>
      <c r="M210" s="16" t="s">
        <v>74</v>
      </c>
      <c r="N210" s="14"/>
      <c r="O210" s="15" t="s">
        <v>65</v>
      </c>
      <c r="P210" s="22" t="s">
        <v>624</v>
      </c>
      <c r="Q210" s="15"/>
      <c r="R210" s="17" t="s">
        <v>74</v>
      </c>
      <c r="S210" s="18"/>
      <c r="T210" s="22" t="str">
        <f>IF(R210="維持",J210,IF(R210="排除","無關新聞事件",IFERROR(INDEX(事件規則!$B$2:$B$53,MATCH(S210,事件規則!$A$2:$A$53,0)),"")))</f>
        <v>無關新聞事件</v>
      </c>
      <c r="U210" s="9">
        <f>IF(R210="維持",K210,IF(R210="排除",0,IFERROR(INDEX(事件規則!$C$2:$C$53,MATCH(S210,事件規則!$A$2:$A$53,0)),"")))</f>
        <v>0</v>
      </c>
      <c r="V210" s="19"/>
      <c r="W210" s="20"/>
      <c r="X210" s="10" t="str">
        <f t="shared" si="3"/>
        <v/>
      </c>
      <c r="Y210" s="19"/>
      <c r="Z210" s="20"/>
      <c r="AA210" s="12" t="s">
        <v>1049</v>
      </c>
      <c r="AB210" s="23"/>
    </row>
    <row r="211" spans="1:28" ht="25.5">
      <c r="A211" s="15">
        <v>210</v>
      </c>
      <c r="B211" s="9" t="s">
        <v>87</v>
      </c>
      <c r="C211" s="9" t="s">
        <v>865</v>
      </c>
      <c r="D211" s="10" t="s">
        <v>866</v>
      </c>
      <c r="E211" s="21" t="s">
        <v>1050</v>
      </c>
      <c r="F211" s="22" t="s">
        <v>1051</v>
      </c>
      <c r="G211" s="12" t="s">
        <v>1008</v>
      </c>
      <c r="H211" s="13">
        <v>-0.77500000000000002</v>
      </c>
      <c r="I211" s="14" t="s">
        <v>906</v>
      </c>
      <c r="J211" s="22" t="s">
        <v>907</v>
      </c>
      <c r="K211" s="9">
        <v>3</v>
      </c>
      <c r="L211" s="15"/>
      <c r="M211" s="16" t="s">
        <v>74</v>
      </c>
      <c r="N211" s="14"/>
      <c r="O211" s="15" t="s">
        <v>65</v>
      </c>
      <c r="P211" s="22" t="s">
        <v>624</v>
      </c>
      <c r="Q211" s="15"/>
      <c r="R211" s="17" t="s">
        <v>74</v>
      </c>
      <c r="S211" s="18"/>
      <c r="T211" s="22" t="str">
        <f>IF(R211="維持",J211,IF(R211="排除","無關新聞事件",IFERROR(INDEX(事件規則!$B$2:$B$53,MATCH(S211,事件規則!$A$2:$A$53,0)),"")))</f>
        <v>無關新聞事件</v>
      </c>
      <c r="U211" s="9">
        <f>IF(R211="維持",K211,IF(R211="排除",0,IFERROR(INDEX(事件規則!$C$2:$C$53,MATCH(S211,事件規則!$A$2:$A$53,0)),"")))</f>
        <v>0</v>
      </c>
      <c r="V211" s="19"/>
      <c r="W211" s="20"/>
      <c r="X211" s="10" t="str">
        <f t="shared" si="3"/>
        <v/>
      </c>
      <c r="Y211" s="19"/>
      <c r="Z211" s="20"/>
      <c r="AA211" s="12" t="s">
        <v>1052</v>
      </c>
      <c r="AB211" s="23"/>
    </row>
    <row r="212" spans="1:28" ht="38.25">
      <c r="A212" s="15">
        <v>211</v>
      </c>
      <c r="B212" s="9" t="s">
        <v>87</v>
      </c>
      <c r="C212" s="9" t="s">
        <v>865</v>
      </c>
      <c r="D212" s="10" t="s">
        <v>866</v>
      </c>
      <c r="E212" s="21" t="s">
        <v>1053</v>
      </c>
      <c r="F212" s="22" t="s">
        <v>1054</v>
      </c>
      <c r="G212" s="12" t="s">
        <v>1055</v>
      </c>
      <c r="H212" s="13">
        <v>-0.73499999999999999</v>
      </c>
      <c r="I212" s="14" t="s">
        <v>906</v>
      </c>
      <c r="J212" s="22" t="s">
        <v>907</v>
      </c>
      <c r="K212" s="9">
        <v>3</v>
      </c>
      <c r="L212" s="15"/>
      <c r="M212" s="16" t="s">
        <v>74</v>
      </c>
      <c r="N212" s="14"/>
      <c r="O212" s="15" t="s">
        <v>65</v>
      </c>
      <c r="P212" s="22" t="s">
        <v>624</v>
      </c>
      <c r="Q212" s="15"/>
      <c r="R212" s="17" t="s">
        <v>74</v>
      </c>
      <c r="S212" s="18"/>
      <c r="T212" s="22" t="str">
        <f>IF(R212="維持",J212,IF(R212="排除","無關新聞事件",IFERROR(INDEX(事件規則!$B$2:$B$53,MATCH(S212,事件規則!$A$2:$A$53,0)),"")))</f>
        <v>無關新聞事件</v>
      </c>
      <c r="U212" s="9">
        <f>IF(R212="維持",K212,IF(R212="排除",0,IFERROR(INDEX(事件規則!$C$2:$C$53,MATCH(S212,事件規則!$A$2:$A$53,0)),"")))</f>
        <v>0</v>
      </c>
      <c r="V212" s="19"/>
      <c r="W212" s="20"/>
      <c r="X212" s="10" t="str">
        <f t="shared" si="3"/>
        <v/>
      </c>
      <c r="Y212" s="19"/>
      <c r="Z212" s="20"/>
      <c r="AA212" s="12" t="s">
        <v>1056</v>
      </c>
      <c r="AB212" s="23"/>
    </row>
    <row r="213" spans="1:28" ht="25.5">
      <c r="A213" s="15">
        <v>212</v>
      </c>
      <c r="B213" s="9" t="s">
        <v>87</v>
      </c>
      <c r="C213" s="9" t="s">
        <v>1057</v>
      </c>
      <c r="D213" s="10" t="s">
        <v>1058</v>
      </c>
      <c r="E213" s="21" t="s">
        <v>1059</v>
      </c>
      <c r="F213" s="10" t="s">
        <v>1060</v>
      </c>
      <c r="G213" s="12" t="s">
        <v>1061</v>
      </c>
      <c r="H213" s="13">
        <v>-0.88300000000000001</v>
      </c>
      <c r="I213" s="14" t="s">
        <v>906</v>
      </c>
      <c r="J213" s="22" t="s">
        <v>907</v>
      </c>
      <c r="K213" s="9">
        <v>3</v>
      </c>
      <c r="L213" s="15"/>
      <c r="M213" s="16" t="s">
        <v>74</v>
      </c>
      <c r="N213" s="14"/>
      <c r="O213" s="15" t="s">
        <v>65</v>
      </c>
      <c r="P213" s="22" t="s">
        <v>624</v>
      </c>
      <c r="Q213" s="15"/>
      <c r="R213" s="17" t="s">
        <v>74</v>
      </c>
      <c r="S213" s="18"/>
      <c r="T213" s="22" t="str">
        <f>IF(R213="維持",J213,IF(R213="排除","無關新聞事件",IFERROR(INDEX(事件規則!$B$2:$B$53,MATCH(S213,事件規則!$A$2:$A$53,0)),"")))</f>
        <v>無關新聞事件</v>
      </c>
      <c r="U213" s="9">
        <f>IF(R213="維持",K213,IF(R213="排除",0,IFERROR(INDEX(事件規則!$C$2:$C$53,MATCH(S213,事件規則!$A$2:$A$53,0)),"")))</f>
        <v>0</v>
      </c>
      <c r="V213" s="19"/>
      <c r="W213" s="20"/>
      <c r="X213" s="10" t="str">
        <f t="shared" si="3"/>
        <v/>
      </c>
      <c r="Y213" s="19"/>
      <c r="Z213" s="20"/>
      <c r="AA213" s="12" t="s">
        <v>1062</v>
      </c>
      <c r="AB213" s="23"/>
    </row>
    <row r="214" spans="1:28" ht="25.5">
      <c r="A214" s="15">
        <v>213</v>
      </c>
      <c r="B214" s="9" t="s">
        <v>100</v>
      </c>
      <c r="C214" s="9" t="s">
        <v>865</v>
      </c>
      <c r="D214" s="10" t="s">
        <v>866</v>
      </c>
      <c r="E214" s="21" t="s">
        <v>1063</v>
      </c>
      <c r="F214" s="22" t="s">
        <v>1064</v>
      </c>
      <c r="G214" s="12" t="s">
        <v>983</v>
      </c>
      <c r="H214" s="13">
        <v>-0.93799999999999994</v>
      </c>
      <c r="I214" s="14" t="s">
        <v>906</v>
      </c>
      <c r="J214" s="22" t="s">
        <v>907</v>
      </c>
      <c r="K214" s="9">
        <v>3</v>
      </c>
      <c r="L214" s="15"/>
      <c r="M214" s="16" t="s">
        <v>54</v>
      </c>
      <c r="N214" s="14"/>
      <c r="O214" s="15" t="s">
        <v>55</v>
      </c>
      <c r="P214" s="10" t="s">
        <v>1065</v>
      </c>
      <c r="Q214" s="15"/>
      <c r="R214" s="17" t="s">
        <v>54</v>
      </c>
      <c r="S214" s="18"/>
      <c r="T214" s="22" t="str">
        <f>IF(R214="維持",J214,IF(R214="排除","無關新聞事件",IFERROR(INDEX(事件規則!$B$2:$B$53,MATCH(S214,事件規則!$A$2:$A$53,0)),"")))</f>
        <v>裁員或人力縮減</v>
      </c>
      <c r="U214" s="9">
        <f>IF(R214="維持",K214,IF(R214="排除",0,IFERROR(INDEX(事件規則!$C$2:$C$53,MATCH(S214,事件規則!$A$2:$A$53,0)),"")))</f>
        <v>3</v>
      </c>
      <c r="V214" s="19"/>
      <c r="W214" s="20"/>
      <c r="X214" s="10" t="str">
        <f t="shared" si="3"/>
        <v/>
      </c>
      <c r="Y214" s="19"/>
      <c r="Z214" s="20"/>
      <c r="AA214" s="12" t="s">
        <v>1066</v>
      </c>
      <c r="AB214" s="23"/>
    </row>
    <row r="215" spans="1:28" ht="25.5">
      <c r="A215" s="15">
        <v>214</v>
      </c>
      <c r="B215" s="9" t="s">
        <v>100</v>
      </c>
      <c r="C215" s="9" t="s">
        <v>865</v>
      </c>
      <c r="D215" s="10" t="s">
        <v>866</v>
      </c>
      <c r="E215" s="21" t="s">
        <v>1067</v>
      </c>
      <c r="F215" s="22" t="s">
        <v>1068</v>
      </c>
      <c r="G215" s="12" t="s">
        <v>973</v>
      </c>
      <c r="H215" s="13">
        <v>4.9000000000000002E-2</v>
      </c>
      <c r="I215" s="14" t="s">
        <v>906</v>
      </c>
      <c r="J215" s="22" t="s">
        <v>907</v>
      </c>
      <c r="K215" s="9">
        <v>3</v>
      </c>
      <c r="L215" s="15"/>
      <c r="M215" s="16" t="s">
        <v>74</v>
      </c>
      <c r="N215" s="14"/>
      <c r="O215" s="15" t="s">
        <v>65</v>
      </c>
      <c r="P215" s="22" t="s">
        <v>624</v>
      </c>
      <c r="Q215" s="15"/>
      <c r="R215" s="17" t="s">
        <v>74</v>
      </c>
      <c r="S215" s="18"/>
      <c r="T215" s="22" t="str">
        <f>IF(R215="維持",J215,IF(R215="排除","無關新聞事件",IFERROR(INDEX(事件規則!$B$2:$B$53,MATCH(S215,事件規則!$A$2:$A$53,0)),"")))</f>
        <v>無關新聞事件</v>
      </c>
      <c r="U215" s="9">
        <f>IF(R215="維持",K215,IF(R215="排除",0,IFERROR(INDEX(事件規則!$C$2:$C$53,MATCH(S215,事件規則!$A$2:$A$53,0)),"")))</f>
        <v>0</v>
      </c>
      <c r="V215" s="19"/>
      <c r="W215" s="20"/>
      <c r="X215" s="10" t="str">
        <f t="shared" si="3"/>
        <v/>
      </c>
      <c r="Y215" s="19"/>
      <c r="Z215" s="20"/>
      <c r="AA215" s="12" t="s">
        <v>1069</v>
      </c>
      <c r="AB215" s="23"/>
    </row>
    <row r="216" spans="1:28" ht="38.25">
      <c r="A216" s="15">
        <v>215</v>
      </c>
      <c r="B216" s="9" t="s">
        <v>100</v>
      </c>
      <c r="C216" s="9" t="s">
        <v>327</v>
      </c>
      <c r="D216" s="10" t="s">
        <v>328</v>
      </c>
      <c r="E216" s="21" t="s">
        <v>1070</v>
      </c>
      <c r="F216" s="10" t="s">
        <v>1071</v>
      </c>
      <c r="G216" s="12" t="s">
        <v>1072</v>
      </c>
      <c r="H216" s="13">
        <v>-0.95299999999999996</v>
      </c>
      <c r="I216" s="14" t="s">
        <v>906</v>
      </c>
      <c r="J216" s="22" t="s">
        <v>907</v>
      </c>
      <c r="K216" s="9">
        <v>3</v>
      </c>
      <c r="L216" s="15"/>
      <c r="M216" s="16" t="s">
        <v>54</v>
      </c>
      <c r="N216" s="14"/>
      <c r="O216" s="15" t="s">
        <v>211</v>
      </c>
      <c r="P216" s="22" t="s">
        <v>1073</v>
      </c>
      <c r="Q216" s="15" t="s">
        <v>213</v>
      </c>
      <c r="R216" s="17" t="s">
        <v>54</v>
      </c>
      <c r="S216" s="18"/>
      <c r="T216" s="22" t="str">
        <f>IF(R216="維持",J216,IF(R216="排除","無關新聞事件",IFERROR(INDEX(事件規則!$B$2:$B$53,MATCH(S216,事件規則!$A$2:$A$53,0)),"")))</f>
        <v>裁員或人力縮減</v>
      </c>
      <c r="U216" s="9">
        <f>IF(R216="維持",K216,IF(R216="排除",0,IFERROR(INDEX(事件規則!$C$2:$C$53,MATCH(S216,事件規則!$A$2:$A$53,0)),"")))</f>
        <v>3</v>
      </c>
      <c r="V216" s="19"/>
      <c r="W216" s="20"/>
      <c r="X216" s="10" t="str">
        <f t="shared" si="3"/>
        <v/>
      </c>
      <c r="Y216" s="19"/>
      <c r="Z216" s="20"/>
      <c r="AA216" s="12" t="s">
        <v>1074</v>
      </c>
      <c r="AB216" s="23"/>
    </row>
    <row r="217" spans="1:28" ht="38.25">
      <c r="A217" s="15">
        <v>216</v>
      </c>
      <c r="B217" s="9" t="s">
        <v>100</v>
      </c>
      <c r="C217" s="9" t="s">
        <v>865</v>
      </c>
      <c r="D217" s="10" t="s">
        <v>866</v>
      </c>
      <c r="E217" s="21" t="s">
        <v>1075</v>
      </c>
      <c r="F217" s="10" t="s">
        <v>1076</v>
      </c>
      <c r="G217" s="12" t="s">
        <v>1077</v>
      </c>
      <c r="H217" s="13">
        <v>-1.4999999999999999E-2</v>
      </c>
      <c r="I217" s="14" t="s">
        <v>906</v>
      </c>
      <c r="J217" s="22" t="s">
        <v>907</v>
      </c>
      <c r="K217" s="9">
        <v>3</v>
      </c>
      <c r="L217" s="15"/>
      <c r="M217" s="16" t="s">
        <v>74</v>
      </c>
      <c r="N217" s="14"/>
      <c r="O217" s="15" t="s">
        <v>65</v>
      </c>
      <c r="P217" s="22" t="s">
        <v>624</v>
      </c>
      <c r="Q217" s="15"/>
      <c r="R217" s="17" t="s">
        <v>74</v>
      </c>
      <c r="S217" s="18"/>
      <c r="T217" s="22" t="str">
        <f>IF(R217="維持",J217,IF(R217="排除","無關新聞事件",IFERROR(INDEX(事件規則!$B$2:$B$53,MATCH(S217,事件規則!$A$2:$A$53,0)),"")))</f>
        <v>無關新聞事件</v>
      </c>
      <c r="U217" s="9">
        <f>IF(R217="維持",K217,IF(R217="排除",0,IFERROR(INDEX(事件規則!$C$2:$C$53,MATCH(S217,事件規則!$A$2:$A$53,0)),"")))</f>
        <v>0</v>
      </c>
      <c r="V217" s="19"/>
      <c r="W217" s="20"/>
      <c r="X217" s="10" t="str">
        <f t="shared" si="3"/>
        <v/>
      </c>
      <c r="Y217" s="19"/>
      <c r="Z217" s="20"/>
      <c r="AA217" s="12" t="s">
        <v>1078</v>
      </c>
      <c r="AB217" s="23"/>
    </row>
    <row r="218" spans="1:28" ht="38.25">
      <c r="A218" s="15">
        <v>217</v>
      </c>
      <c r="B218" s="9" t="s">
        <v>100</v>
      </c>
      <c r="C218" s="9" t="s">
        <v>865</v>
      </c>
      <c r="D218" s="10" t="s">
        <v>866</v>
      </c>
      <c r="E218" s="21" t="s">
        <v>1079</v>
      </c>
      <c r="F218" s="22" t="s">
        <v>1080</v>
      </c>
      <c r="G218" s="12" t="s">
        <v>957</v>
      </c>
      <c r="H218" s="13">
        <v>-0.85899999999999999</v>
      </c>
      <c r="I218" s="14" t="s">
        <v>906</v>
      </c>
      <c r="J218" s="22" t="s">
        <v>907</v>
      </c>
      <c r="K218" s="9">
        <v>3</v>
      </c>
      <c r="L218" s="15"/>
      <c r="M218" s="16" t="s">
        <v>74</v>
      </c>
      <c r="N218" s="14"/>
      <c r="O218" s="15" t="s">
        <v>65</v>
      </c>
      <c r="P218" s="22" t="s">
        <v>624</v>
      </c>
      <c r="Q218" s="15"/>
      <c r="R218" s="17" t="s">
        <v>74</v>
      </c>
      <c r="S218" s="18"/>
      <c r="T218" s="22" t="str">
        <f>IF(R218="維持",J218,IF(R218="排除","無關新聞事件",IFERROR(INDEX(事件規則!$B$2:$B$53,MATCH(S218,事件規則!$A$2:$A$53,0)),"")))</f>
        <v>無關新聞事件</v>
      </c>
      <c r="U218" s="9">
        <f>IF(R218="維持",K218,IF(R218="排除",0,IFERROR(INDEX(事件規則!$C$2:$C$53,MATCH(S218,事件規則!$A$2:$A$53,0)),"")))</f>
        <v>0</v>
      </c>
      <c r="V218" s="19"/>
      <c r="W218" s="20"/>
      <c r="X218" s="10" t="str">
        <f t="shared" si="3"/>
        <v/>
      </c>
      <c r="Y218" s="19"/>
      <c r="Z218" s="20"/>
      <c r="AA218" s="12" t="s">
        <v>1081</v>
      </c>
      <c r="AB218" s="23"/>
    </row>
    <row r="219" spans="1:28" ht="38.25">
      <c r="A219" s="15">
        <v>218</v>
      </c>
      <c r="B219" s="9" t="s">
        <v>100</v>
      </c>
      <c r="C219" s="9" t="s">
        <v>160</v>
      </c>
      <c r="D219" s="10" t="s">
        <v>161</v>
      </c>
      <c r="E219" s="21" t="s">
        <v>1082</v>
      </c>
      <c r="F219" s="10" t="s">
        <v>1083</v>
      </c>
      <c r="G219" s="12" t="s">
        <v>1084</v>
      </c>
      <c r="H219" s="13">
        <v>-0.96499999999999997</v>
      </c>
      <c r="I219" s="14" t="s">
        <v>906</v>
      </c>
      <c r="J219" s="22" t="s">
        <v>907</v>
      </c>
      <c r="K219" s="9">
        <v>3</v>
      </c>
      <c r="L219" s="15"/>
      <c r="M219" s="16" t="s">
        <v>54</v>
      </c>
      <c r="N219" s="14"/>
      <c r="O219" s="15" t="s">
        <v>65</v>
      </c>
      <c r="P219" s="10" t="s">
        <v>1085</v>
      </c>
      <c r="Q219" s="15"/>
      <c r="R219" s="17" t="s">
        <v>54</v>
      </c>
      <c r="S219" s="18"/>
      <c r="T219" s="22" t="str">
        <f>IF(R219="維持",J219,IF(R219="排除","無關新聞事件",IFERROR(INDEX(事件規則!$B$2:$B$53,MATCH(S219,事件規則!$A$2:$A$53,0)),"")))</f>
        <v>裁員或人力縮減</v>
      </c>
      <c r="U219" s="9">
        <f>IF(R219="維持",K219,IF(R219="排除",0,IFERROR(INDEX(事件規則!$C$2:$C$53,MATCH(S219,事件規則!$A$2:$A$53,0)),"")))</f>
        <v>3</v>
      </c>
      <c r="V219" s="19"/>
      <c r="W219" s="20"/>
      <c r="X219" s="10" t="str">
        <f t="shared" si="3"/>
        <v/>
      </c>
      <c r="Y219" s="19"/>
      <c r="Z219" s="20"/>
      <c r="AA219" s="12" t="s">
        <v>1086</v>
      </c>
      <c r="AB219" s="23"/>
    </row>
    <row r="220" spans="1:28" ht="25.5">
      <c r="A220" s="15">
        <v>219</v>
      </c>
      <c r="B220" s="9" t="s">
        <v>100</v>
      </c>
      <c r="C220" s="9" t="s">
        <v>865</v>
      </c>
      <c r="D220" s="10" t="s">
        <v>866</v>
      </c>
      <c r="E220" s="21" t="s">
        <v>1087</v>
      </c>
      <c r="F220" s="22" t="s">
        <v>1088</v>
      </c>
      <c r="G220" s="12" t="s">
        <v>1008</v>
      </c>
      <c r="H220" s="13">
        <v>-0.01</v>
      </c>
      <c r="I220" s="14" t="s">
        <v>906</v>
      </c>
      <c r="J220" s="22" t="s">
        <v>907</v>
      </c>
      <c r="K220" s="9">
        <v>3</v>
      </c>
      <c r="L220" s="15"/>
      <c r="M220" s="16" t="s">
        <v>74</v>
      </c>
      <c r="N220" s="14"/>
      <c r="O220" s="15" t="s">
        <v>65</v>
      </c>
      <c r="P220" s="22" t="s">
        <v>624</v>
      </c>
      <c r="Q220" s="15"/>
      <c r="R220" s="17" t="s">
        <v>74</v>
      </c>
      <c r="S220" s="18"/>
      <c r="T220" s="22" t="str">
        <f>IF(R220="維持",J220,IF(R220="排除","無關新聞事件",IFERROR(INDEX(事件規則!$B$2:$B$53,MATCH(S220,事件規則!$A$2:$A$53,0)),"")))</f>
        <v>無關新聞事件</v>
      </c>
      <c r="U220" s="9">
        <f>IF(R220="維持",K220,IF(R220="排除",0,IFERROR(INDEX(事件規則!$C$2:$C$53,MATCH(S220,事件規則!$A$2:$A$53,0)),"")))</f>
        <v>0</v>
      </c>
      <c r="V220" s="19"/>
      <c r="W220" s="20"/>
      <c r="X220" s="10" t="str">
        <f t="shared" si="3"/>
        <v/>
      </c>
      <c r="Y220" s="19"/>
      <c r="Z220" s="20"/>
      <c r="AA220" s="12" t="s">
        <v>1089</v>
      </c>
      <c r="AB220" s="23"/>
    </row>
    <row r="221" spans="1:28" ht="38.25">
      <c r="A221" s="15">
        <v>220</v>
      </c>
      <c r="B221" s="9" t="s">
        <v>100</v>
      </c>
      <c r="C221" s="9" t="s">
        <v>865</v>
      </c>
      <c r="D221" s="10" t="s">
        <v>866</v>
      </c>
      <c r="E221" s="21" t="s">
        <v>1090</v>
      </c>
      <c r="F221" s="22" t="s">
        <v>1091</v>
      </c>
      <c r="G221" s="12" t="s">
        <v>938</v>
      </c>
      <c r="H221" s="13">
        <v>-2.5000000000000001E-2</v>
      </c>
      <c r="I221" s="14" t="s">
        <v>906</v>
      </c>
      <c r="J221" s="22" t="s">
        <v>907</v>
      </c>
      <c r="K221" s="9">
        <v>3</v>
      </c>
      <c r="L221" s="15"/>
      <c r="M221" s="16" t="s">
        <v>74</v>
      </c>
      <c r="N221" s="14"/>
      <c r="O221" s="15" t="s">
        <v>65</v>
      </c>
      <c r="P221" s="22" t="s">
        <v>624</v>
      </c>
      <c r="Q221" s="15"/>
      <c r="R221" s="17" t="s">
        <v>74</v>
      </c>
      <c r="S221" s="18"/>
      <c r="T221" s="22" t="str">
        <f>IF(R221="維持",J221,IF(R221="排除","無關新聞事件",IFERROR(INDEX(事件規則!$B$2:$B$53,MATCH(S221,事件規則!$A$2:$A$53,0)),"")))</f>
        <v>無關新聞事件</v>
      </c>
      <c r="U221" s="9">
        <f>IF(R221="維持",K221,IF(R221="排除",0,IFERROR(INDEX(事件規則!$C$2:$C$53,MATCH(S221,事件規則!$A$2:$A$53,0)),"")))</f>
        <v>0</v>
      </c>
      <c r="V221" s="19"/>
      <c r="W221" s="20"/>
      <c r="X221" s="10" t="str">
        <f t="shared" si="3"/>
        <v/>
      </c>
      <c r="Y221" s="19"/>
      <c r="Z221" s="20"/>
      <c r="AA221" s="12" t="s">
        <v>1092</v>
      </c>
      <c r="AB221" s="23"/>
    </row>
    <row r="222" spans="1:28" ht="38.25">
      <c r="A222" s="15">
        <v>221</v>
      </c>
      <c r="B222" s="9" t="s">
        <v>149</v>
      </c>
      <c r="C222" s="9" t="s">
        <v>327</v>
      </c>
      <c r="D222" s="10" t="s">
        <v>328</v>
      </c>
      <c r="E222" s="21" t="s">
        <v>1093</v>
      </c>
      <c r="F222" s="10" t="s">
        <v>1094</v>
      </c>
      <c r="G222" s="12" t="s">
        <v>1008</v>
      </c>
      <c r="H222" s="13">
        <v>5.0999999999999997E-2</v>
      </c>
      <c r="I222" s="14" t="s">
        <v>906</v>
      </c>
      <c r="J222" s="22" t="s">
        <v>907</v>
      </c>
      <c r="K222" s="9">
        <v>3</v>
      </c>
      <c r="L222" s="15"/>
      <c r="M222" s="16" t="s">
        <v>74</v>
      </c>
      <c r="N222" s="14"/>
      <c r="O222" s="15" t="s">
        <v>65</v>
      </c>
      <c r="P222" s="22" t="s">
        <v>624</v>
      </c>
      <c r="Q222" s="15"/>
      <c r="R222" s="17" t="s">
        <v>74</v>
      </c>
      <c r="S222" s="18"/>
      <c r="T222" s="22" t="str">
        <f>IF(R222="維持",J222,IF(R222="排除","無關新聞事件",IFERROR(INDEX(事件規則!$B$2:$B$53,MATCH(S222,事件規則!$A$2:$A$53,0)),"")))</f>
        <v>無關新聞事件</v>
      </c>
      <c r="U222" s="9">
        <f>IF(R222="維持",K222,IF(R222="排除",0,IFERROR(INDEX(事件規則!$C$2:$C$53,MATCH(S222,事件規則!$A$2:$A$53,0)),"")))</f>
        <v>0</v>
      </c>
      <c r="V222" s="19"/>
      <c r="W222" s="20"/>
      <c r="X222" s="10" t="str">
        <f t="shared" si="3"/>
        <v/>
      </c>
      <c r="Y222" s="19"/>
      <c r="Z222" s="20"/>
      <c r="AA222" s="12" t="s">
        <v>1095</v>
      </c>
      <c r="AB222" s="23"/>
    </row>
    <row r="223" spans="1:28" ht="25.5">
      <c r="A223" s="15">
        <v>222</v>
      </c>
      <c r="B223" s="9" t="s">
        <v>159</v>
      </c>
      <c r="C223" s="9" t="s">
        <v>139</v>
      </c>
      <c r="D223" s="10" t="s">
        <v>140</v>
      </c>
      <c r="E223" s="21" t="s">
        <v>1096</v>
      </c>
      <c r="F223" s="22" t="s">
        <v>1097</v>
      </c>
      <c r="G223" s="12" t="s">
        <v>164</v>
      </c>
      <c r="H223" s="13">
        <v>-0.94</v>
      </c>
      <c r="I223" s="14" t="s">
        <v>906</v>
      </c>
      <c r="J223" s="22" t="s">
        <v>907</v>
      </c>
      <c r="K223" s="9">
        <v>3</v>
      </c>
      <c r="L223" s="15"/>
      <c r="M223" s="16" t="s">
        <v>74</v>
      </c>
      <c r="N223" s="14"/>
      <c r="O223" s="15" t="s">
        <v>65</v>
      </c>
      <c r="P223" s="22" t="s">
        <v>624</v>
      </c>
      <c r="Q223" s="15"/>
      <c r="R223" s="17" t="s">
        <v>74</v>
      </c>
      <c r="S223" s="18"/>
      <c r="T223" s="22" t="str">
        <f>IF(R223="維持",J223,IF(R223="排除","無關新聞事件",IFERROR(INDEX(事件規則!$B$2:$B$53,MATCH(S223,事件規則!$A$2:$A$53,0)),"")))</f>
        <v>無關新聞事件</v>
      </c>
      <c r="U223" s="9">
        <f>IF(R223="維持",K223,IF(R223="排除",0,IFERROR(INDEX(事件規則!$C$2:$C$53,MATCH(S223,事件規則!$A$2:$A$53,0)),"")))</f>
        <v>0</v>
      </c>
      <c r="V223" s="19"/>
      <c r="W223" s="20"/>
      <c r="X223" s="10" t="str">
        <f t="shared" si="3"/>
        <v/>
      </c>
      <c r="Y223" s="19"/>
      <c r="Z223" s="20"/>
      <c r="AA223" s="12" t="s">
        <v>1098</v>
      </c>
      <c r="AB223" s="23"/>
    </row>
    <row r="224" spans="1:28" ht="25.5">
      <c r="A224" s="15">
        <v>223</v>
      </c>
      <c r="B224" s="9" t="s">
        <v>159</v>
      </c>
      <c r="C224" s="9" t="s">
        <v>1099</v>
      </c>
      <c r="D224" s="10" t="s">
        <v>1100</v>
      </c>
      <c r="E224" s="21" t="s">
        <v>1101</v>
      </c>
      <c r="F224" s="10" t="s">
        <v>1102</v>
      </c>
      <c r="G224" s="12" t="s">
        <v>1103</v>
      </c>
      <c r="H224" s="13">
        <v>0.85699999999999998</v>
      </c>
      <c r="I224" s="14" t="s">
        <v>906</v>
      </c>
      <c r="J224" s="22" t="s">
        <v>907</v>
      </c>
      <c r="K224" s="9">
        <v>3</v>
      </c>
      <c r="L224" s="15"/>
      <c r="M224" s="16" t="s">
        <v>74</v>
      </c>
      <c r="N224" s="14"/>
      <c r="O224" s="15" t="s">
        <v>65</v>
      </c>
      <c r="P224" s="22" t="s">
        <v>624</v>
      </c>
      <c r="Q224" s="15"/>
      <c r="R224" s="17" t="s">
        <v>74</v>
      </c>
      <c r="S224" s="18"/>
      <c r="T224" s="22" t="str">
        <f>IF(R224="維持",J224,IF(R224="排除","無關新聞事件",IFERROR(INDEX(事件規則!$B$2:$B$53,MATCH(S224,事件規則!$A$2:$A$53,0)),"")))</f>
        <v>無關新聞事件</v>
      </c>
      <c r="U224" s="9">
        <f>IF(R224="維持",K224,IF(R224="排除",0,IFERROR(INDEX(事件規則!$C$2:$C$53,MATCH(S224,事件規則!$A$2:$A$53,0)),"")))</f>
        <v>0</v>
      </c>
      <c r="V224" s="19"/>
      <c r="W224" s="20"/>
      <c r="X224" s="10" t="str">
        <f t="shared" si="3"/>
        <v/>
      </c>
      <c r="Y224" s="19"/>
      <c r="Z224" s="20"/>
      <c r="AA224" s="12" t="s">
        <v>1104</v>
      </c>
      <c r="AB224" s="23"/>
    </row>
    <row r="225" spans="1:28" ht="25.5">
      <c r="A225" s="15">
        <v>224</v>
      </c>
      <c r="B225" s="9" t="s">
        <v>167</v>
      </c>
      <c r="C225" s="9" t="s">
        <v>736</v>
      </c>
      <c r="D225" s="10" t="s">
        <v>737</v>
      </c>
      <c r="E225" s="21" t="s">
        <v>1105</v>
      </c>
      <c r="F225" s="22" t="s">
        <v>1106</v>
      </c>
      <c r="G225" s="12" t="s">
        <v>1000</v>
      </c>
      <c r="H225" s="13">
        <v>-0.95599999999999996</v>
      </c>
      <c r="I225" s="14" t="s">
        <v>906</v>
      </c>
      <c r="J225" s="22" t="s">
        <v>907</v>
      </c>
      <c r="K225" s="9">
        <v>3</v>
      </c>
      <c r="L225" s="15"/>
      <c r="M225" s="16" t="s">
        <v>54</v>
      </c>
      <c r="N225" s="14"/>
      <c r="O225" s="15" t="s">
        <v>55</v>
      </c>
      <c r="P225" s="10" t="s">
        <v>1107</v>
      </c>
      <c r="Q225" s="15"/>
      <c r="R225" s="17" t="s">
        <v>54</v>
      </c>
      <c r="S225" s="18"/>
      <c r="T225" s="22" t="str">
        <f>IF(R225="維持",J225,IF(R225="排除","無關新聞事件",IFERROR(INDEX(事件規則!$B$2:$B$53,MATCH(S225,事件規則!$A$2:$A$53,0)),"")))</f>
        <v>裁員或人力縮減</v>
      </c>
      <c r="U225" s="9">
        <f>IF(R225="維持",K225,IF(R225="排除",0,IFERROR(INDEX(事件規則!$C$2:$C$53,MATCH(S225,事件規則!$A$2:$A$53,0)),"")))</f>
        <v>3</v>
      </c>
      <c r="V225" s="19"/>
      <c r="W225" s="20"/>
      <c r="X225" s="10" t="str">
        <f t="shared" si="3"/>
        <v/>
      </c>
      <c r="Y225" s="19"/>
      <c r="Z225" s="20"/>
      <c r="AA225" s="12" t="s">
        <v>1108</v>
      </c>
      <c r="AB225" s="23"/>
    </row>
    <row r="226" spans="1:28" ht="25.5">
      <c r="A226" s="15">
        <v>225</v>
      </c>
      <c r="B226" s="9" t="s">
        <v>167</v>
      </c>
      <c r="C226" s="9" t="s">
        <v>1109</v>
      </c>
      <c r="D226" s="10" t="s">
        <v>1110</v>
      </c>
      <c r="E226" s="21" t="s">
        <v>1111</v>
      </c>
      <c r="F226" s="10" t="s">
        <v>1112</v>
      </c>
      <c r="G226" s="12" t="s">
        <v>351</v>
      </c>
      <c r="H226" s="13">
        <v>-0.51500000000000001</v>
      </c>
      <c r="I226" s="14" t="s">
        <v>906</v>
      </c>
      <c r="J226" s="22" t="s">
        <v>907</v>
      </c>
      <c r="K226" s="9">
        <v>3</v>
      </c>
      <c r="L226" s="15"/>
      <c r="M226" s="16" t="s">
        <v>54</v>
      </c>
      <c r="N226" s="14"/>
      <c r="O226" s="15" t="s">
        <v>55</v>
      </c>
      <c r="P226" s="10" t="s">
        <v>1113</v>
      </c>
      <c r="Q226" s="15"/>
      <c r="R226" s="17" t="s">
        <v>54</v>
      </c>
      <c r="S226" s="18"/>
      <c r="T226" s="22" t="str">
        <f>IF(R226="維持",J226,IF(R226="排除","無關新聞事件",IFERROR(INDEX(事件規則!$B$2:$B$53,MATCH(S226,事件規則!$A$2:$A$53,0)),"")))</f>
        <v>裁員或人力縮減</v>
      </c>
      <c r="U226" s="9">
        <f>IF(R226="維持",K226,IF(R226="排除",0,IFERROR(INDEX(事件規則!$C$2:$C$53,MATCH(S226,事件規則!$A$2:$A$53,0)),"")))</f>
        <v>3</v>
      </c>
      <c r="V226" s="19"/>
      <c r="W226" s="20"/>
      <c r="X226" s="10" t="str">
        <f t="shared" si="3"/>
        <v/>
      </c>
      <c r="Y226" s="19"/>
      <c r="Z226" s="20"/>
      <c r="AA226" s="12" t="s">
        <v>1114</v>
      </c>
      <c r="AB226" s="23"/>
    </row>
    <row r="227" spans="1:28" ht="25.5">
      <c r="A227" s="15">
        <v>226</v>
      </c>
      <c r="B227" s="9" t="s">
        <v>167</v>
      </c>
      <c r="C227" s="9" t="s">
        <v>150</v>
      </c>
      <c r="D227" s="10" t="s">
        <v>151</v>
      </c>
      <c r="E227" s="21" t="s">
        <v>1115</v>
      </c>
      <c r="F227" s="10" t="s">
        <v>1116</v>
      </c>
      <c r="G227" s="12" t="s">
        <v>82</v>
      </c>
      <c r="H227" s="13">
        <v>-0.96</v>
      </c>
      <c r="I227" s="14" t="s">
        <v>906</v>
      </c>
      <c r="J227" s="22" t="s">
        <v>907</v>
      </c>
      <c r="K227" s="9">
        <v>3</v>
      </c>
      <c r="L227" s="15"/>
      <c r="M227" s="16" t="s">
        <v>74</v>
      </c>
      <c r="N227" s="14"/>
      <c r="O227" s="15" t="s">
        <v>65</v>
      </c>
      <c r="P227" s="22" t="s">
        <v>624</v>
      </c>
      <c r="Q227" s="15"/>
      <c r="R227" s="17" t="s">
        <v>74</v>
      </c>
      <c r="S227" s="18"/>
      <c r="T227" s="22" t="str">
        <f>IF(R227="維持",J227,IF(R227="排除","無關新聞事件",IFERROR(INDEX(事件規則!$B$2:$B$53,MATCH(S227,事件規則!$A$2:$A$53,0)),"")))</f>
        <v>無關新聞事件</v>
      </c>
      <c r="U227" s="9">
        <f>IF(R227="維持",K227,IF(R227="排除",0,IFERROR(INDEX(事件規則!$C$2:$C$53,MATCH(S227,事件規則!$A$2:$A$53,0)),"")))</f>
        <v>0</v>
      </c>
      <c r="V227" s="19"/>
      <c r="W227" s="20"/>
      <c r="X227" s="10" t="str">
        <f t="shared" si="3"/>
        <v/>
      </c>
      <c r="Y227" s="19"/>
      <c r="Z227" s="20"/>
      <c r="AA227" s="12" t="s">
        <v>1117</v>
      </c>
      <c r="AB227" s="23"/>
    </row>
    <row r="228" spans="1:28" ht="25.5">
      <c r="A228" s="15">
        <v>227</v>
      </c>
      <c r="B228" s="9" t="s">
        <v>167</v>
      </c>
      <c r="C228" s="9" t="s">
        <v>865</v>
      </c>
      <c r="D228" s="10" t="s">
        <v>866</v>
      </c>
      <c r="E228" s="21" t="s">
        <v>1118</v>
      </c>
      <c r="F228" s="22" t="s">
        <v>1119</v>
      </c>
      <c r="G228" s="12" t="s">
        <v>957</v>
      </c>
      <c r="H228" s="13">
        <v>-0.67600000000000005</v>
      </c>
      <c r="I228" s="14" t="s">
        <v>906</v>
      </c>
      <c r="J228" s="22" t="s">
        <v>907</v>
      </c>
      <c r="K228" s="9">
        <v>3</v>
      </c>
      <c r="L228" s="15"/>
      <c r="M228" s="16" t="s">
        <v>74</v>
      </c>
      <c r="N228" s="14"/>
      <c r="O228" s="15" t="s">
        <v>65</v>
      </c>
      <c r="P228" s="22" t="s">
        <v>624</v>
      </c>
      <c r="Q228" s="15"/>
      <c r="R228" s="17" t="s">
        <v>74</v>
      </c>
      <c r="S228" s="18"/>
      <c r="T228" s="22" t="str">
        <f>IF(R228="維持",J228,IF(R228="排除","無關新聞事件",IFERROR(INDEX(事件規則!$B$2:$B$53,MATCH(S228,事件規則!$A$2:$A$53,0)),"")))</f>
        <v>無關新聞事件</v>
      </c>
      <c r="U228" s="9">
        <f>IF(R228="維持",K228,IF(R228="排除",0,IFERROR(INDEX(事件規則!$C$2:$C$53,MATCH(S228,事件規則!$A$2:$A$53,0)),"")))</f>
        <v>0</v>
      </c>
      <c r="V228" s="19"/>
      <c r="W228" s="20"/>
      <c r="X228" s="10" t="str">
        <f t="shared" si="3"/>
        <v/>
      </c>
      <c r="Y228" s="19"/>
      <c r="Z228" s="20"/>
      <c r="AA228" s="12" t="s">
        <v>1120</v>
      </c>
      <c r="AB228" s="23"/>
    </row>
    <row r="229" spans="1:28" ht="25.5">
      <c r="A229" s="15">
        <v>228</v>
      </c>
      <c r="B229" s="9" t="s">
        <v>167</v>
      </c>
      <c r="C229" s="9" t="s">
        <v>736</v>
      </c>
      <c r="D229" s="10" t="s">
        <v>737</v>
      </c>
      <c r="E229" s="21" t="s">
        <v>1121</v>
      </c>
      <c r="F229" s="22" t="s">
        <v>1122</v>
      </c>
      <c r="G229" s="12" t="s">
        <v>1123</v>
      </c>
      <c r="H229" s="13">
        <v>-0.96099999999999997</v>
      </c>
      <c r="I229" s="14" t="s">
        <v>906</v>
      </c>
      <c r="J229" s="22" t="s">
        <v>907</v>
      </c>
      <c r="K229" s="9">
        <v>3</v>
      </c>
      <c r="L229" s="15"/>
      <c r="M229" s="16" t="s">
        <v>54</v>
      </c>
      <c r="N229" s="14"/>
      <c r="O229" s="15" t="s">
        <v>55</v>
      </c>
      <c r="P229" s="10" t="s">
        <v>1107</v>
      </c>
      <c r="Q229" s="15"/>
      <c r="R229" s="17" t="s">
        <v>54</v>
      </c>
      <c r="S229" s="18"/>
      <c r="T229" s="22" t="str">
        <f>IF(R229="維持",J229,IF(R229="排除","無關新聞事件",IFERROR(INDEX(事件規則!$B$2:$B$53,MATCH(S229,事件規則!$A$2:$A$53,0)),"")))</f>
        <v>裁員或人力縮減</v>
      </c>
      <c r="U229" s="9">
        <f>IF(R229="維持",K229,IF(R229="排除",0,IFERROR(INDEX(事件規則!$C$2:$C$53,MATCH(S229,事件規則!$A$2:$A$53,0)),"")))</f>
        <v>3</v>
      </c>
      <c r="V229" s="19"/>
      <c r="W229" s="20"/>
      <c r="X229" s="10" t="str">
        <f t="shared" si="3"/>
        <v/>
      </c>
      <c r="Y229" s="19"/>
      <c r="Z229" s="20"/>
      <c r="AA229" s="12" t="s">
        <v>1124</v>
      </c>
      <c r="AB229" s="23"/>
    </row>
    <row r="230" spans="1:28" ht="25.5">
      <c r="A230" s="15">
        <v>229</v>
      </c>
      <c r="B230" s="9" t="s">
        <v>167</v>
      </c>
      <c r="C230" s="9" t="s">
        <v>865</v>
      </c>
      <c r="D230" s="10" t="s">
        <v>866</v>
      </c>
      <c r="E230" s="21" t="s">
        <v>1125</v>
      </c>
      <c r="F230" s="22" t="s">
        <v>1126</v>
      </c>
      <c r="G230" s="12" t="s">
        <v>992</v>
      </c>
      <c r="H230" s="13">
        <v>0.48299999999999998</v>
      </c>
      <c r="I230" s="14" t="s">
        <v>906</v>
      </c>
      <c r="J230" s="22" t="s">
        <v>907</v>
      </c>
      <c r="K230" s="9">
        <v>3</v>
      </c>
      <c r="L230" s="15"/>
      <c r="M230" s="16" t="s">
        <v>74</v>
      </c>
      <c r="N230" s="14"/>
      <c r="O230" s="15" t="s">
        <v>65</v>
      </c>
      <c r="P230" s="22" t="s">
        <v>624</v>
      </c>
      <c r="Q230" s="15"/>
      <c r="R230" s="17" t="s">
        <v>74</v>
      </c>
      <c r="S230" s="18"/>
      <c r="T230" s="22" t="str">
        <f>IF(R230="維持",J230,IF(R230="排除","無關新聞事件",IFERROR(INDEX(事件規則!$B$2:$B$53,MATCH(S230,事件規則!$A$2:$A$53,0)),"")))</f>
        <v>無關新聞事件</v>
      </c>
      <c r="U230" s="9">
        <f>IF(R230="維持",K230,IF(R230="排除",0,IFERROR(INDEX(事件規則!$C$2:$C$53,MATCH(S230,事件規則!$A$2:$A$53,0)),"")))</f>
        <v>0</v>
      </c>
      <c r="V230" s="19"/>
      <c r="W230" s="20"/>
      <c r="X230" s="10" t="str">
        <f t="shared" si="3"/>
        <v/>
      </c>
      <c r="Y230" s="19"/>
      <c r="Z230" s="20"/>
      <c r="AA230" s="12" t="s">
        <v>1127</v>
      </c>
      <c r="AB230" s="23"/>
    </row>
    <row r="231" spans="1:28" ht="25.5">
      <c r="A231" s="15">
        <v>230</v>
      </c>
      <c r="B231" s="9" t="s">
        <v>167</v>
      </c>
      <c r="C231" s="9" t="s">
        <v>736</v>
      </c>
      <c r="D231" s="10" t="s">
        <v>737</v>
      </c>
      <c r="E231" s="21" t="s">
        <v>1128</v>
      </c>
      <c r="F231" s="22" t="s">
        <v>1129</v>
      </c>
      <c r="G231" s="12" t="s">
        <v>1130</v>
      </c>
      <c r="H231" s="13">
        <v>-0.94399999999999995</v>
      </c>
      <c r="I231" s="14" t="s">
        <v>906</v>
      </c>
      <c r="J231" s="22" t="s">
        <v>907</v>
      </c>
      <c r="K231" s="9">
        <v>3</v>
      </c>
      <c r="L231" s="15"/>
      <c r="M231" s="16" t="s">
        <v>54</v>
      </c>
      <c r="N231" s="14"/>
      <c r="O231" s="15" t="s">
        <v>55</v>
      </c>
      <c r="P231" s="10" t="s">
        <v>1107</v>
      </c>
      <c r="Q231" s="15"/>
      <c r="R231" s="17" t="s">
        <v>54</v>
      </c>
      <c r="S231" s="18"/>
      <c r="T231" s="22" t="str">
        <f>IF(R231="維持",J231,IF(R231="排除","無關新聞事件",IFERROR(INDEX(事件規則!$B$2:$B$53,MATCH(S231,事件規則!$A$2:$A$53,0)),"")))</f>
        <v>裁員或人力縮減</v>
      </c>
      <c r="U231" s="9">
        <f>IF(R231="維持",K231,IF(R231="排除",0,IFERROR(INDEX(事件規則!$C$2:$C$53,MATCH(S231,事件規則!$A$2:$A$53,0)),"")))</f>
        <v>3</v>
      </c>
      <c r="V231" s="19"/>
      <c r="W231" s="20"/>
      <c r="X231" s="10" t="str">
        <f t="shared" si="3"/>
        <v/>
      </c>
      <c r="Y231" s="19"/>
      <c r="Z231" s="20"/>
      <c r="AA231" s="12" t="s">
        <v>1131</v>
      </c>
      <c r="AB231" s="23"/>
    </row>
    <row r="232" spans="1:28" ht="25.5">
      <c r="A232" s="15">
        <v>231</v>
      </c>
      <c r="B232" s="9" t="s">
        <v>167</v>
      </c>
      <c r="C232" s="9" t="s">
        <v>736</v>
      </c>
      <c r="D232" s="10" t="s">
        <v>737</v>
      </c>
      <c r="E232" s="21" t="s">
        <v>1105</v>
      </c>
      <c r="F232" s="22" t="s">
        <v>1106</v>
      </c>
      <c r="G232" s="12" t="s">
        <v>1000</v>
      </c>
      <c r="H232" s="13">
        <v>-0.95599999999999996</v>
      </c>
      <c r="I232" s="14" t="s">
        <v>906</v>
      </c>
      <c r="J232" s="22" t="s">
        <v>907</v>
      </c>
      <c r="K232" s="9">
        <v>3</v>
      </c>
      <c r="L232" s="15"/>
      <c r="M232" s="16" t="s">
        <v>54</v>
      </c>
      <c r="N232" s="14"/>
      <c r="O232" s="15" t="s">
        <v>55</v>
      </c>
      <c r="P232" s="10" t="s">
        <v>1107</v>
      </c>
      <c r="Q232" s="15"/>
      <c r="R232" s="17" t="s">
        <v>54</v>
      </c>
      <c r="S232" s="18"/>
      <c r="T232" s="22" t="str">
        <f>IF(R232="維持",J232,IF(R232="排除","無關新聞事件",IFERROR(INDEX(事件規則!$B$2:$B$53,MATCH(S232,事件規則!$A$2:$A$53,0)),"")))</f>
        <v>裁員或人力縮減</v>
      </c>
      <c r="U232" s="9">
        <f>IF(R232="維持",K232,IF(R232="排除",0,IFERROR(INDEX(事件規則!$C$2:$C$53,MATCH(S232,事件規則!$A$2:$A$53,0)),"")))</f>
        <v>3</v>
      </c>
      <c r="V232" s="19"/>
      <c r="W232" s="20"/>
      <c r="X232" s="10" t="str">
        <f t="shared" si="3"/>
        <v/>
      </c>
      <c r="Y232" s="19"/>
      <c r="Z232" s="20"/>
      <c r="AA232" s="12" t="s">
        <v>1132</v>
      </c>
      <c r="AB232" s="23"/>
    </row>
    <row r="233" spans="1:28" ht="25.5">
      <c r="A233" s="15">
        <v>232</v>
      </c>
      <c r="B233" s="9" t="s">
        <v>167</v>
      </c>
      <c r="C233" s="9" t="s">
        <v>736</v>
      </c>
      <c r="D233" s="10" t="s">
        <v>737</v>
      </c>
      <c r="E233" s="21" t="s">
        <v>1133</v>
      </c>
      <c r="F233" s="22" t="s">
        <v>1134</v>
      </c>
      <c r="G233" s="12" t="s">
        <v>1000</v>
      </c>
      <c r="H233" s="13">
        <v>-0.94299999999999995</v>
      </c>
      <c r="I233" s="14" t="s">
        <v>906</v>
      </c>
      <c r="J233" s="22" t="s">
        <v>907</v>
      </c>
      <c r="K233" s="9">
        <v>3</v>
      </c>
      <c r="L233" s="15"/>
      <c r="M233" s="16" t="s">
        <v>54</v>
      </c>
      <c r="N233" s="14"/>
      <c r="O233" s="15" t="s">
        <v>55</v>
      </c>
      <c r="P233" s="10" t="s">
        <v>1107</v>
      </c>
      <c r="Q233" s="15"/>
      <c r="R233" s="17" t="s">
        <v>54</v>
      </c>
      <c r="S233" s="18"/>
      <c r="T233" s="22" t="str">
        <f>IF(R233="維持",J233,IF(R233="排除","無關新聞事件",IFERROR(INDEX(事件規則!$B$2:$B$53,MATCH(S233,事件規則!$A$2:$A$53,0)),"")))</f>
        <v>裁員或人力縮減</v>
      </c>
      <c r="U233" s="9">
        <f>IF(R233="維持",K233,IF(R233="排除",0,IFERROR(INDEX(事件規則!$C$2:$C$53,MATCH(S233,事件規則!$A$2:$A$53,0)),"")))</f>
        <v>3</v>
      </c>
      <c r="V233" s="19"/>
      <c r="W233" s="20"/>
      <c r="X233" s="10" t="str">
        <f t="shared" si="3"/>
        <v/>
      </c>
      <c r="Y233" s="19"/>
      <c r="Z233" s="20"/>
      <c r="AA233" s="12" t="s">
        <v>1135</v>
      </c>
      <c r="AB233" s="23"/>
    </row>
    <row r="234" spans="1:28" ht="38.25">
      <c r="A234" s="15">
        <v>233</v>
      </c>
      <c r="B234" s="9" t="s">
        <v>187</v>
      </c>
      <c r="C234" s="9" t="s">
        <v>1136</v>
      </c>
      <c r="D234" s="10" t="s">
        <v>1137</v>
      </c>
      <c r="E234" s="21" t="s">
        <v>1138</v>
      </c>
      <c r="F234" s="22" t="s">
        <v>1139</v>
      </c>
      <c r="G234" s="12" t="s">
        <v>192</v>
      </c>
      <c r="H234" s="13">
        <v>1.2E-2</v>
      </c>
      <c r="I234" s="14" t="s">
        <v>906</v>
      </c>
      <c r="J234" s="22" t="s">
        <v>907</v>
      </c>
      <c r="K234" s="9">
        <v>3</v>
      </c>
      <c r="L234" s="15"/>
      <c r="M234" s="16" t="s">
        <v>74</v>
      </c>
      <c r="N234" s="14"/>
      <c r="O234" s="15" t="s">
        <v>65</v>
      </c>
      <c r="P234" s="22" t="s">
        <v>624</v>
      </c>
      <c r="Q234" s="15"/>
      <c r="R234" s="17" t="s">
        <v>74</v>
      </c>
      <c r="S234" s="18"/>
      <c r="T234" s="22" t="str">
        <f>IF(R234="維持",J234,IF(R234="排除","無關新聞事件",IFERROR(INDEX(事件規則!$B$2:$B$53,MATCH(S234,事件規則!$A$2:$A$53,0)),"")))</f>
        <v>無關新聞事件</v>
      </c>
      <c r="U234" s="9">
        <f>IF(R234="維持",K234,IF(R234="排除",0,IFERROR(INDEX(事件規則!$C$2:$C$53,MATCH(S234,事件規則!$A$2:$A$53,0)),"")))</f>
        <v>0</v>
      </c>
      <c r="V234" s="19"/>
      <c r="W234" s="20"/>
      <c r="X234" s="10" t="str">
        <f t="shared" si="3"/>
        <v/>
      </c>
      <c r="Y234" s="19"/>
      <c r="Z234" s="20"/>
      <c r="AA234" s="12" t="s">
        <v>1140</v>
      </c>
      <c r="AB234" s="23"/>
    </row>
    <row r="235" spans="1:28" ht="25.5">
      <c r="A235" s="15">
        <v>234</v>
      </c>
      <c r="B235" s="9" t="s">
        <v>187</v>
      </c>
      <c r="C235" s="9" t="s">
        <v>736</v>
      </c>
      <c r="D235" s="10" t="s">
        <v>737</v>
      </c>
      <c r="E235" s="21" t="s">
        <v>1141</v>
      </c>
      <c r="F235" s="22" t="s">
        <v>1142</v>
      </c>
      <c r="G235" s="12" t="s">
        <v>1008</v>
      </c>
      <c r="H235" s="13">
        <v>0.42299999999999999</v>
      </c>
      <c r="I235" s="14" t="s">
        <v>906</v>
      </c>
      <c r="J235" s="22" t="s">
        <v>907</v>
      </c>
      <c r="K235" s="9">
        <v>3</v>
      </c>
      <c r="L235" s="15"/>
      <c r="M235" s="16" t="s">
        <v>74</v>
      </c>
      <c r="N235" s="14"/>
      <c r="O235" s="15" t="s">
        <v>65</v>
      </c>
      <c r="P235" s="22" t="s">
        <v>624</v>
      </c>
      <c r="Q235" s="15"/>
      <c r="R235" s="17" t="s">
        <v>74</v>
      </c>
      <c r="S235" s="18"/>
      <c r="T235" s="22" t="str">
        <f>IF(R235="維持",J235,IF(R235="排除","無關新聞事件",IFERROR(INDEX(事件規則!$B$2:$B$53,MATCH(S235,事件規則!$A$2:$A$53,0)),"")))</f>
        <v>無關新聞事件</v>
      </c>
      <c r="U235" s="9">
        <f>IF(R235="維持",K235,IF(R235="排除",0,IFERROR(INDEX(事件規則!$C$2:$C$53,MATCH(S235,事件規則!$A$2:$A$53,0)),"")))</f>
        <v>0</v>
      </c>
      <c r="V235" s="19"/>
      <c r="W235" s="20"/>
      <c r="X235" s="10" t="str">
        <f t="shared" si="3"/>
        <v/>
      </c>
      <c r="Y235" s="19"/>
      <c r="Z235" s="20"/>
      <c r="AA235" s="12" t="s">
        <v>1143</v>
      </c>
      <c r="AB235" s="23"/>
    </row>
    <row r="236" spans="1:28" ht="38.25">
      <c r="A236" s="15">
        <v>235</v>
      </c>
      <c r="B236" s="9" t="s">
        <v>187</v>
      </c>
      <c r="C236" s="9" t="s">
        <v>139</v>
      </c>
      <c r="D236" s="10" t="s">
        <v>140</v>
      </c>
      <c r="E236" s="21" t="s">
        <v>1144</v>
      </c>
      <c r="F236" s="22" t="s">
        <v>1145</v>
      </c>
      <c r="G236" s="12" t="s">
        <v>938</v>
      </c>
      <c r="H236" s="13">
        <v>0.24299999999999999</v>
      </c>
      <c r="I236" s="14" t="s">
        <v>906</v>
      </c>
      <c r="J236" s="22" t="s">
        <v>907</v>
      </c>
      <c r="K236" s="9">
        <v>3</v>
      </c>
      <c r="L236" s="15"/>
      <c r="M236" s="16" t="s">
        <v>74</v>
      </c>
      <c r="N236" s="14"/>
      <c r="O236" s="15" t="s">
        <v>65</v>
      </c>
      <c r="P236" s="22" t="s">
        <v>624</v>
      </c>
      <c r="Q236" s="15"/>
      <c r="R236" s="17" t="s">
        <v>74</v>
      </c>
      <c r="S236" s="18"/>
      <c r="T236" s="22" t="str">
        <f>IF(R236="維持",J236,IF(R236="排除","無關新聞事件",IFERROR(INDEX(事件規則!$B$2:$B$53,MATCH(S236,事件規則!$A$2:$A$53,0)),"")))</f>
        <v>無關新聞事件</v>
      </c>
      <c r="U236" s="9">
        <f>IF(R236="維持",K236,IF(R236="排除",0,IFERROR(INDEX(事件規則!$C$2:$C$53,MATCH(S236,事件規則!$A$2:$A$53,0)),"")))</f>
        <v>0</v>
      </c>
      <c r="V236" s="19"/>
      <c r="W236" s="20"/>
      <c r="X236" s="10" t="str">
        <f t="shared" si="3"/>
        <v/>
      </c>
      <c r="Y236" s="19"/>
      <c r="Z236" s="20"/>
      <c r="AA236" s="12" t="s">
        <v>1146</v>
      </c>
      <c r="AB236" s="23"/>
    </row>
    <row r="237" spans="1:28" ht="25.5">
      <c r="A237" s="15">
        <v>236</v>
      </c>
      <c r="B237" s="9" t="s">
        <v>195</v>
      </c>
      <c r="C237" s="9" t="s">
        <v>139</v>
      </c>
      <c r="D237" s="10" t="s">
        <v>140</v>
      </c>
      <c r="E237" s="21" t="s">
        <v>1147</v>
      </c>
      <c r="F237" s="22" t="s">
        <v>1148</v>
      </c>
      <c r="G237" s="12" t="s">
        <v>1149</v>
      </c>
      <c r="H237" s="13">
        <v>8.8999999999999996E-2</v>
      </c>
      <c r="I237" s="14" t="s">
        <v>906</v>
      </c>
      <c r="J237" s="22" t="s">
        <v>907</v>
      </c>
      <c r="K237" s="9">
        <v>3</v>
      </c>
      <c r="L237" s="15"/>
      <c r="M237" s="16" t="s">
        <v>74</v>
      </c>
      <c r="N237" s="14"/>
      <c r="O237" s="15" t="s">
        <v>65</v>
      </c>
      <c r="P237" s="22" t="s">
        <v>1150</v>
      </c>
      <c r="Q237" s="15"/>
      <c r="R237" s="17" t="s">
        <v>74</v>
      </c>
      <c r="S237" s="18"/>
      <c r="T237" s="22" t="str">
        <f>IF(R237="維持",J237,IF(R237="排除","無關新聞事件",IFERROR(INDEX(事件規則!$B$2:$B$53,MATCH(S237,事件規則!$A$2:$A$53,0)),"")))</f>
        <v>無關新聞事件</v>
      </c>
      <c r="U237" s="9">
        <f>IF(R237="維持",K237,IF(R237="排除",0,IFERROR(INDEX(事件規則!$C$2:$C$53,MATCH(S237,事件規則!$A$2:$A$53,0)),"")))</f>
        <v>0</v>
      </c>
      <c r="V237" s="19"/>
      <c r="W237" s="20"/>
      <c r="X237" s="10" t="str">
        <f t="shared" si="3"/>
        <v/>
      </c>
      <c r="Y237" s="19"/>
      <c r="Z237" s="20"/>
      <c r="AA237" s="12" t="s">
        <v>1151</v>
      </c>
      <c r="AB237" s="23"/>
    </row>
    <row r="238" spans="1:28" ht="38.25">
      <c r="A238" s="15">
        <v>237</v>
      </c>
      <c r="B238" s="9" t="s">
        <v>195</v>
      </c>
      <c r="C238" s="9" t="s">
        <v>865</v>
      </c>
      <c r="D238" s="10" t="s">
        <v>866</v>
      </c>
      <c r="E238" s="21" t="s">
        <v>1152</v>
      </c>
      <c r="F238" s="22" t="s">
        <v>1153</v>
      </c>
      <c r="G238" s="12" t="s">
        <v>1154</v>
      </c>
      <c r="H238" s="13">
        <v>0.30199999999999999</v>
      </c>
      <c r="I238" s="14" t="s">
        <v>906</v>
      </c>
      <c r="J238" s="22" t="s">
        <v>907</v>
      </c>
      <c r="K238" s="9">
        <v>3</v>
      </c>
      <c r="L238" s="15"/>
      <c r="M238" s="16" t="s">
        <v>74</v>
      </c>
      <c r="N238" s="14"/>
      <c r="O238" s="15" t="s">
        <v>65</v>
      </c>
      <c r="P238" s="22" t="s">
        <v>1150</v>
      </c>
      <c r="Q238" s="15"/>
      <c r="R238" s="17" t="s">
        <v>74</v>
      </c>
      <c r="S238" s="18"/>
      <c r="T238" s="22" t="str">
        <f>IF(R238="維持",J238,IF(R238="排除","無關新聞事件",IFERROR(INDEX(事件規則!$B$2:$B$53,MATCH(S238,事件規則!$A$2:$A$53,0)),"")))</f>
        <v>無關新聞事件</v>
      </c>
      <c r="U238" s="9">
        <f>IF(R238="維持",K238,IF(R238="排除",0,IFERROR(INDEX(事件規則!$C$2:$C$53,MATCH(S238,事件規則!$A$2:$A$53,0)),"")))</f>
        <v>0</v>
      </c>
      <c r="V238" s="19"/>
      <c r="W238" s="20"/>
      <c r="X238" s="10" t="str">
        <f t="shared" si="3"/>
        <v/>
      </c>
      <c r="Y238" s="19"/>
      <c r="Z238" s="20"/>
      <c r="AA238" s="12" t="s">
        <v>1155</v>
      </c>
      <c r="AB238" s="23"/>
    </row>
    <row r="239" spans="1:28" ht="25.5">
      <c r="A239" s="15">
        <v>238</v>
      </c>
      <c r="B239" s="9" t="s">
        <v>195</v>
      </c>
      <c r="C239" s="9" t="s">
        <v>865</v>
      </c>
      <c r="D239" s="10" t="s">
        <v>866</v>
      </c>
      <c r="E239" s="21" t="s">
        <v>1156</v>
      </c>
      <c r="F239" s="22" t="s">
        <v>1157</v>
      </c>
      <c r="G239" s="12" t="s">
        <v>1008</v>
      </c>
      <c r="H239" s="13">
        <v>-0.90300000000000002</v>
      </c>
      <c r="I239" s="14" t="s">
        <v>906</v>
      </c>
      <c r="J239" s="22" t="s">
        <v>907</v>
      </c>
      <c r="K239" s="9">
        <v>3</v>
      </c>
      <c r="L239" s="15"/>
      <c r="M239" s="16" t="s">
        <v>74</v>
      </c>
      <c r="N239" s="14"/>
      <c r="O239" s="15" t="s">
        <v>65</v>
      </c>
      <c r="P239" s="22" t="s">
        <v>1150</v>
      </c>
      <c r="Q239" s="15"/>
      <c r="R239" s="17" t="s">
        <v>74</v>
      </c>
      <c r="S239" s="18"/>
      <c r="T239" s="22" t="str">
        <f>IF(R239="維持",J239,IF(R239="排除","無關新聞事件",IFERROR(INDEX(事件規則!$B$2:$B$53,MATCH(S239,事件規則!$A$2:$A$53,0)),"")))</f>
        <v>無關新聞事件</v>
      </c>
      <c r="U239" s="9">
        <f>IF(R239="維持",K239,IF(R239="排除",0,IFERROR(INDEX(事件規則!$C$2:$C$53,MATCH(S239,事件規則!$A$2:$A$53,0)),"")))</f>
        <v>0</v>
      </c>
      <c r="V239" s="19"/>
      <c r="W239" s="20"/>
      <c r="X239" s="10" t="str">
        <f t="shared" si="3"/>
        <v/>
      </c>
      <c r="Y239" s="19"/>
      <c r="Z239" s="20"/>
      <c r="AA239" s="12" t="s">
        <v>1158</v>
      </c>
      <c r="AB239" s="23"/>
    </row>
    <row r="240" spans="1:28" ht="38.25">
      <c r="A240" s="15">
        <v>239</v>
      </c>
      <c r="B240" s="9" t="s">
        <v>195</v>
      </c>
      <c r="C240" s="9" t="s">
        <v>865</v>
      </c>
      <c r="D240" s="10" t="s">
        <v>866</v>
      </c>
      <c r="E240" s="21" t="s">
        <v>1159</v>
      </c>
      <c r="F240" s="22" t="s">
        <v>1160</v>
      </c>
      <c r="G240" s="12" t="s">
        <v>957</v>
      </c>
      <c r="H240" s="13">
        <v>-1.0999999999999999E-2</v>
      </c>
      <c r="I240" s="14" t="s">
        <v>906</v>
      </c>
      <c r="J240" s="22" t="s">
        <v>907</v>
      </c>
      <c r="K240" s="9">
        <v>3</v>
      </c>
      <c r="L240" s="15"/>
      <c r="M240" s="16" t="s">
        <v>74</v>
      </c>
      <c r="N240" s="14"/>
      <c r="O240" s="15" t="s">
        <v>65</v>
      </c>
      <c r="P240" s="22" t="s">
        <v>1150</v>
      </c>
      <c r="Q240" s="15"/>
      <c r="R240" s="17" t="s">
        <v>74</v>
      </c>
      <c r="S240" s="18"/>
      <c r="T240" s="22" t="str">
        <f>IF(R240="維持",J240,IF(R240="排除","無關新聞事件",IFERROR(INDEX(事件規則!$B$2:$B$53,MATCH(S240,事件規則!$A$2:$A$53,0)),"")))</f>
        <v>無關新聞事件</v>
      </c>
      <c r="U240" s="9">
        <f>IF(R240="維持",K240,IF(R240="排除",0,IFERROR(INDEX(事件規則!$C$2:$C$53,MATCH(S240,事件規則!$A$2:$A$53,0)),"")))</f>
        <v>0</v>
      </c>
      <c r="V240" s="19"/>
      <c r="W240" s="20"/>
      <c r="X240" s="10" t="str">
        <f t="shared" si="3"/>
        <v/>
      </c>
      <c r="Y240" s="19"/>
      <c r="Z240" s="20"/>
      <c r="AA240" s="12" t="s">
        <v>1161</v>
      </c>
      <c r="AB240" s="23"/>
    </row>
    <row r="241" spans="1:28" ht="25.5">
      <c r="A241" s="15">
        <v>240</v>
      </c>
      <c r="B241" s="9" t="s">
        <v>195</v>
      </c>
      <c r="C241" s="9" t="s">
        <v>865</v>
      </c>
      <c r="D241" s="10" t="s">
        <v>866</v>
      </c>
      <c r="E241" s="21" t="s">
        <v>1162</v>
      </c>
      <c r="F241" s="22" t="s">
        <v>1163</v>
      </c>
      <c r="G241" s="12" t="s">
        <v>957</v>
      </c>
      <c r="H241" s="13">
        <v>0.17799999999999999</v>
      </c>
      <c r="I241" s="14" t="s">
        <v>906</v>
      </c>
      <c r="J241" s="22" t="s">
        <v>907</v>
      </c>
      <c r="K241" s="9">
        <v>3</v>
      </c>
      <c r="L241" s="15"/>
      <c r="M241" s="16" t="s">
        <v>74</v>
      </c>
      <c r="N241" s="14"/>
      <c r="O241" s="15" t="s">
        <v>65</v>
      </c>
      <c r="P241" s="22" t="s">
        <v>1150</v>
      </c>
      <c r="Q241" s="15"/>
      <c r="R241" s="17" t="s">
        <v>74</v>
      </c>
      <c r="S241" s="18"/>
      <c r="T241" s="22" t="str">
        <f>IF(R241="維持",J241,IF(R241="排除","無關新聞事件",IFERROR(INDEX(事件規則!$B$2:$B$53,MATCH(S241,事件規則!$A$2:$A$53,0)),"")))</f>
        <v>無關新聞事件</v>
      </c>
      <c r="U241" s="9">
        <f>IF(R241="維持",K241,IF(R241="排除",0,IFERROR(INDEX(事件規則!$C$2:$C$53,MATCH(S241,事件規則!$A$2:$A$53,0)),"")))</f>
        <v>0</v>
      </c>
      <c r="V241" s="19"/>
      <c r="W241" s="20"/>
      <c r="X241" s="10" t="str">
        <f t="shared" si="3"/>
        <v/>
      </c>
      <c r="Y241" s="19"/>
      <c r="Z241" s="20"/>
      <c r="AA241" s="12" t="s">
        <v>1164</v>
      </c>
      <c r="AB241" s="23"/>
    </row>
    <row r="242" spans="1:28" ht="25.5">
      <c r="A242" s="15">
        <v>241</v>
      </c>
      <c r="B242" s="9" t="s">
        <v>195</v>
      </c>
      <c r="C242" s="9" t="s">
        <v>865</v>
      </c>
      <c r="D242" s="10" t="s">
        <v>866</v>
      </c>
      <c r="E242" s="21" t="s">
        <v>1165</v>
      </c>
      <c r="F242" s="22" t="s">
        <v>1166</v>
      </c>
      <c r="G242" s="12" t="s">
        <v>1167</v>
      </c>
      <c r="H242" s="13">
        <v>0.10100000000000001</v>
      </c>
      <c r="I242" s="14" t="s">
        <v>906</v>
      </c>
      <c r="J242" s="22" t="s">
        <v>907</v>
      </c>
      <c r="K242" s="9">
        <v>3</v>
      </c>
      <c r="L242" s="15"/>
      <c r="M242" s="16" t="s">
        <v>74</v>
      </c>
      <c r="N242" s="14"/>
      <c r="O242" s="15" t="s">
        <v>65</v>
      </c>
      <c r="P242" s="22" t="s">
        <v>1150</v>
      </c>
      <c r="Q242" s="15"/>
      <c r="R242" s="17" t="s">
        <v>74</v>
      </c>
      <c r="S242" s="18"/>
      <c r="T242" s="22" t="str">
        <f>IF(R242="維持",J242,IF(R242="排除","無關新聞事件",IFERROR(INDEX(事件規則!$B$2:$B$53,MATCH(S242,事件規則!$A$2:$A$53,0)),"")))</f>
        <v>無關新聞事件</v>
      </c>
      <c r="U242" s="9">
        <f>IF(R242="維持",K242,IF(R242="排除",0,IFERROR(INDEX(事件規則!$C$2:$C$53,MATCH(S242,事件規則!$A$2:$A$53,0)),"")))</f>
        <v>0</v>
      </c>
      <c r="V242" s="19"/>
      <c r="W242" s="20"/>
      <c r="X242" s="10" t="str">
        <f t="shared" si="3"/>
        <v/>
      </c>
      <c r="Y242" s="19"/>
      <c r="Z242" s="20"/>
      <c r="AA242" s="12" t="s">
        <v>1168</v>
      </c>
      <c r="AB242" s="23"/>
    </row>
    <row r="243" spans="1:28" ht="25.5">
      <c r="A243" s="15">
        <v>242</v>
      </c>
      <c r="B243" s="9" t="s">
        <v>195</v>
      </c>
      <c r="C243" s="9" t="s">
        <v>865</v>
      </c>
      <c r="D243" s="10" t="s">
        <v>866</v>
      </c>
      <c r="E243" s="21" t="s">
        <v>1169</v>
      </c>
      <c r="F243" s="22" t="s">
        <v>1170</v>
      </c>
      <c r="G243" s="12" t="s">
        <v>1171</v>
      </c>
      <c r="H243" s="13">
        <v>1.7999999999999999E-2</v>
      </c>
      <c r="I243" s="14" t="s">
        <v>906</v>
      </c>
      <c r="J243" s="22" t="s">
        <v>907</v>
      </c>
      <c r="K243" s="9">
        <v>3</v>
      </c>
      <c r="L243" s="15"/>
      <c r="M243" s="16" t="s">
        <v>74</v>
      </c>
      <c r="N243" s="14"/>
      <c r="O243" s="15" t="s">
        <v>65</v>
      </c>
      <c r="P243" s="22" t="s">
        <v>1150</v>
      </c>
      <c r="Q243" s="15"/>
      <c r="R243" s="17" t="s">
        <v>74</v>
      </c>
      <c r="S243" s="18"/>
      <c r="T243" s="22" t="str">
        <f>IF(R243="維持",J243,IF(R243="排除","無關新聞事件",IFERROR(INDEX(事件規則!$B$2:$B$53,MATCH(S243,事件規則!$A$2:$A$53,0)),"")))</f>
        <v>無關新聞事件</v>
      </c>
      <c r="U243" s="9">
        <f>IF(R243="維持",K243,IF(R243="排除",0,IFERROR(INDEX(事件規則!$C$2:$C$53,MATCH(S243,事件規則!$A$2:$A$53,0)),"")))</f>
        <v>0</v>
      </c>
      <c r="V243" s="19"/>
      <c r="W243" s="20"/>
      <c r="X243" s="10" t="str">
        <f t="shared" si="3"/>
        <v/>
      </c>
      <c r="Y243" s="19"/>
      <c r="Z243" s="20"/>
      <c r="AA243" s="12" t="s">
        <v>1172</v>
      </c>
      <c r="AB243" s="23"/>
    </row>
    <row r="244" spans="1:28" ht="38.25">
      <c r="A244" s="15">
        <v>243</v>
      </c>
      <c r="B244" s="9" t="s">
        <v>195</v>
      </c>
      <c r="C244" s="9" t="s">
        <v>865</v>
      </c>
      <c r="D244" s="10" t="s">
        <v>866</v>
      </c>
      <c r="E244" s="21" t="s">
        <v>1173</v>
      </c>
      <c r="F244" s="22" t="s">
        <v>1174</v>
      </c>
      <c r="G244" s="12" t="s">
        <v>1008</v>
      </c>
      <c r="H244" s="13">
        <v>-0.93500000000000005</v>
      </c>
      <c r="I244" s="14" t="s">
        <v>906</v>
      </c>
      <c r="J244" s="22" t="s">
        <v>907</v>
      </c>
      <c r="K244" s="9">
        <v>3</v>
      </c>
      <c r="L244" s="15"/>
      <c r="M244" s="16" t="s">
        <v>74</v>
      </c>
      <c r="N244" s="14"/>
      <c r="O244" s="15" t="s">
        <v>65</v>
      </c>
      <c r="P244" s="22" t="s">
        <v>1150</v>
      </c>
      <c r="Q244" s="15"/>
      <c r="R244" s="17" t="s">
        <v>74</v>
      </c>
      <c r="S244" s="18"/>
      <c r="T244" s="22" t="str">
        <f>IF(R244="維持",J244,IF(R244="排除","無關新聞事件",IFERROR(INDEX(事件規則!$B$2:$B$53,MATCH(S244,事件規則!$A$2:$A$53,0)),"")))</f>
        <v>無關新聞事件</v>
      </c>
      <c r="U244" s="9">
        <f>IF(R244="維持",K244,IF(R244="排除",0,IFERROR(INDEX(事件規則!$C$2:$C$53,MATCH(S244,事件規則!$A$2:$A$53,0)),"")))</f>
        <v>0</v>
      </c>
      <c r="V244" s="19"/>
      <c r="W244" s="20"/>
      <c r="X244" s="10" t="str">
        <f t="shared" si="3"/>
        <v/>
      </c>
      <c r="Y244" s="19"/>
      <c r="Z244" s="20"/>
      <c r="AA244" s="12" t="s">
        <v>1175</v>
      </c>
      <c r="AB244" s="23"/>
    </row>
    <row r="245" spans="1:28" ht="38.25">
      <c r="A245" s="15">
        <v>244</v>
      </c>
      <c r="B245" s="9" t="s">
        <v>195</v>
      </c>
      <c r="C245" s="9" t="s">
        <v>865</v>
      </c>
      <c r="D245" s="10" t="s">
        <v>866</v>
      </c>
      <c r="E245" s="21" t="s">
        <v>1176</v>
      </c>
      <c r="F245" s="10" t="s">
        <v>1177</v>
      </c>
      <c r="G245" s="12" t="s">
        <v>1077</v>
      </c>
      <c r="H245" s="13">
        <v>-6.0000000000000001E-3</v>
      </c>
      <c r="I245" s="14" t="s">
        <v>906</v>
      </c>
      <c r="J245" s="22" t="s">
        <v>907</v>
      </c>
      <c r="K245" s="9">
        <v>3</v>
      </c>
      <c r="L245" s="15"/>
      <c r="M245" s="16" t="s">
        <v>74</v>
      </c>
      <c r="N245" s="14"/>
      <c r="O245" s="15" t="s">
        <v>65</v>
      </c>
      <c r="P245" s="22" t="s">
        <v>1150</v>
      </c>
      <c r="Q245" s="15"/>
      <c r="R245" s="17" t="s">
        <v>74</v>
      </c>
      <c r="S245" s="18"/>
      <c r="T245" s="22" t="str">
        <f>IF(R245="維持",J245,IF(R245="排除","無關新聞事件",IFERROR(INDEX(事件規則!$B$2:$B$53,MATCH(S245,事件規則!$A$2:$A$53,0)),"")))</f>
        <v>無關新聞事件</v>
      </c>
      <c r="U245" s="9">
        <f>IF(R245="維持",K245,IF(R245="排除",0,IFERROR(INDEX(事件規則!$C$2:$C$53,MATCH(S245,事件規則!$A$2:$A$53,0)),"")))</f>
        <v>0</v>
      </c>
      <c r="V245" s="19"/>
      <c r="W245" s="20"/>
      <c r="X245" s="10" t="str">
        <f t="shared" si="3"/>
        <v/>
      </c>
      <c r="Y245" s="19"/>
      <c r="Z245" s="20"/>
      <c r="AA245" s="12" t="s">
        <v>1178</v>
      </c>
      <c r="AB245" s="23"/>
    </row>
    <row r="246" spans="1:28" ht="51">
      <c r="A246" s="15">
        <v>245</v>
      </c>
      <c r="B246" s="9" t="s">
        <v>203</v>
      </c>
      <c r="C246" s="9" t="s">
        <v>327</v>
      </c>
      <c r="D246" s="10" t="s">
        <v>328</v>
      </c>
      <c r="E246" s="21" t="s">
        <v>1179</v>
      </c>
      <c r="F246" s="22"/>
      <c r="G246" s="12" t="s">
        <v>386</v>
      </c>
      <c r="H246" s="13">
        <v>-0.94499999999999995</v>
      </c>
      <c r="I246" s="14" t="s">
        <v>906</v>
      </c>
      <c r="J246" s="22" t="s">
        <v>907</v>
      </c>
      <c r="K246" s="9">
        <v>3</v>
      </c>
      <c r="L246" s="15"/>
      <c r="M246" s="16" t="s">
        <v>74</v>
      </c>
      <c r="N246" s="14"/>
      <c r="O246" s="15" t="s">
        <v>65</v>
      </c>
      <c r="P246" s="22" t="s">
        <v>1150</v>
      </c>
      <c r="Q246" s="15"/>
      <c r="R246" s="17" t="s">
        <v>74</v>
      </c>
      <c r="S246" s="18"/>
      <c r="T246" s="22" t="str">
        <f>IF(R246="維持",J246,IF(R246="排除","無關新聞事件",IFERROR(INDEX(事件規則!$B$2:$B$53,MATCH(S246,事件規則!$A$2:$A$53,0)),"")))</f>
        <v>無關新聞事件</v>
      </c>
      <c r="U246" s="9">
        <f>IF(R246="維持",K246,IF(R246="排除",0,IFERROR(INDEX(事件規則!$C$2:$C$53,MATCH(S246,事件規則!$A$2:$A$53,0)),"")))</f>
        <v>0</v>
      </c>
      <c r="V246" s="19"/>
      <c r="W246" s="20"/>
      <c r="X246" s="10" t="str">
        <f t="shared" si="3"/>
        <v/>
      </c>
      <c r="Y246" s="19"/>
      <c r="Z246" s="20"/>
      <c r="AA246" s="12" t="s">
        <v>1180</v>
      </c>
      <c r="AB246" s="23"/>
    </row>
    <row r="247" spans="1:28" ht="25.5">
      <c r="A247" s="15">
        <v>246</v>
      </c>
      <c r="B247" s="9" t="s">
        <v>207</v>
      </c>
      <c r="C247" s="9" t="s">
        <v>782</v>
      </c>
      <c r="D247" s="10" t="s">
        <v>783</v>
      </c>
      <c r="E247" s="21" t="s">
        <v>1181</v>
      </c>
      <c r="F247" s="22"/>
      <c r="G247" s="12" t="s">
        <v>1182</v>
      </c>
      <c r="H247" s="13">
        <v>-0.95599999999999996</v>
      </c>
      <c r="I247" s="14" t="s">
        <v>906</v>
      </c>
      <c r="J247" s="22" t="s">
        <v>907</v>
      </c>
      <c r="K247" s="9">
        <v>3</v>
      </c>
      <c r="L247" s="15"/>
      <c r="M247" s="16" t="s">
        <v>54</v>
      </c>
      <c r="N247" s="14"/>
      <c r="O247" s="15" t="s">
        <v>55</v>
      </c>
      <c r="P247" s="22" t="s">
        <v>1183</v>
      </c>
      <c r="Q247" s="15"/>
      <c r="R247" s="17" t="s">
        <v>54</v>
      </c>
      <c r="S247" s="18"/>
      <c r="T247" s="22" t="str">
        <f>IF(R247="維持",J247,IF(R247="排除","無關新聞事件",IFERROR(INDEX(事件規則!$B$2:$B$53,MATCH(S247,事件規則!$A$2:$A$53,0)),"")))</f>
        <v>裁員或人力縮減</v>
      </c>
      <c r="U247" s="9">
        <f>IF(R247="維持",K247,IF(R247="排除",0,IFERROR(INDEX(事件規則!$C$2:$C$53,MATCH(S247,事件規則!$A$2:$A$53,0)),"")))</f>
        <v>3</v>
      </c>
      <c r="V247" s="19"/>
      <c r="W247" s="20"/>
      <c r="X247" s="10" t="str">
        <f t="shared" si="3"/>
        <v/>
      </c>
      <c r="Y247" s="19"/>
      <c r="Z247" s="20"/>
      <c r="AA247" s="12" t="s">
        <v>1184</v>
      </c>
      <c r="AB247" s="23"/>
    </row>
    <row r="248" spans="1:28" ht="25.5">
      <c r="A248" s="15">
        <v>247</v>
      </c>
      <c r="B248" s="9" t="s">
        <v>207</v>
      </c>
      <c r="C248" s="9" t="s">
        <v>782</v>
      </c>
      <c r="D248" s="10" t="s">
        <v>783</v>
      </c>
      <c r="E248" s="21" t="s">
        <v>1185</v>
      </c>
      <c r="F248" s="22"/>
      <c r="G248" s="12" t="s">
        <v>1186</v>
      </c>
      <c r="H248" s="13">
        <v>-0.95899999999999996</v>
      </c>
      <c r="I248" s="14" t="s">
        <v>906</v>
      </c>
      <c r="J248" s="22" t="s">
        <v>907</v>
      </c>
      <c r="K248" s="9">
        <v>3</v>
      </c>
      <c r="L248" s="15"/>
      <c r="M248" s="16" t="s">
        <v>54</v>
      </c>
      <c r="N248" s="14"/>
      <c r="O248" s="15" t="s">
        <v>55</v>
      </c>
      <c r="P248" s="22" t="s">
        <v>1183</v>
      </c>
      <c r="Q248" s="15"/>
      <c r="R248" s="17" t="s">
        <v>54</v>
      </c>
      <c r="S248" s="18"/>
      <c r="T248" s="22" t="str">
        <f>IF(R248="維持",J248,IF(R248="排除","無關新聞事件",IFERROR(INDEX(事件規則!$B$2:$B$53,MATCH(S248,事件規則!$A$2:$A$53,0)),"")))</f>
        <v>裁員或人力縮減</v>
      </c>
      <c r="U248" s="9">
        <f>IF(R248="維持",K248,IF(R248="排除",0,IFERROR(INDEX(事件規則!$C$2:$C$53,MATCH(S248,事件規則!$A$2:$A$53,0)),"")))</f>
        <v>3</v>
      </c>
      <c r="V248" s="19"/>
      <c r="W248" s="20"/>
      <c r="X248" s="10" t="str">
        <f t="shared" si="3"/>
        <v/>
      </c>
      <c r="Y248" s="19"/>
      <c r="Z248" s="20"/>
      <c r="AA248" s="12" t="s">
        <v>1187</v>
      </c>
      <c r="AB248" s="23"/>
    </row>
    <row r="249" spans="1:28" ht="25.5">
      <c r="A249" s="15">
        <v>248</v>
      </c>
      <c r="B249" s="9" t="s">
        <v>207</v>
      </c>
      <c r="C249" s="9" t="s">
        <v>631</v>
      </c>
      <c r="D249" s="10" t="s">
        <v>632</v>
      </c>
      <c r="E249" s="21" t="s">
        <v>1188</v>
      </c>
      <c r="F249" s="22"/>
      <c r="G249" s="12" t="s">
        <v>1189</v>
      </c>
      <c r="H249" s="13">
        <v>-0.96199999999999997</v>
      </c>
      <c r="I249" s="14" t="s">
        <v>906</v>
      </c>
      <c r="J249" s="22" t="s">
        <v>907</v>
      </c>
      <c r="K249" s="9">
        <v>3</v>
      </c>
      <c r="L249" s="15"/>
      <c r="M249" s="16" t="s">
        <v>54</v>
      </c>
      <c r="N249" s="14"/>
      <c r="O249" s="15" t="s">
        <v>65</v>
      </c>
      <c r="P249" s="10" t="s">
        <v>1190</v>
      </c>
      <c r="Q249" s="15"/>
      <c r="R249" s="17" t="s">
        <v>54</v>
      </c>
      <c r="S249" s="18"/>
      <c r="T249" s="22" t="str">
        <f>IF(R249="維持",J249,IF(R249="排除","無關新聞事件",IFERROR(INDEX(事件規則!$B$2:$B$53,MATCH(S249,事件規則!$A$2:$A$53,0)),"")))</f>
        <v>裁員或人力縮減</v>
      </c>
      <c r="U249" s="9">
        <f>IF(R249="維持",K249,IF(R249="排除",0,IFERROR(INDEX(事件規則!$C$2:$C$53,MATCH(S249,事件規則!$A$2:$A$53,0)),"")))</f>
        <v>3</v>
      </c>
      <c r="V249" s="19"/>
      <c r="W249" s="20"/>
      <c r="X249" s="10" t="str">
        <f t="shared" si="3"/>
        <v/>
      </c>
      <c r="Y249" s="19"/>
      <c r="Z249" s="20"/>
      <c r="AA249" s="12" t="s">
        <v>1191</v>
      </c>
      <c r="AB249" s="23"/>
    </row>
    <row r="250" spans="1:28" ht="38.25">
      <c r="A250" s="15">
        <v>249</v>
      </c>
      <c r="B250" s="9" t="s">
        <v>218</v>
      </c>
      <c r="C250" s="9" t="s">
        <v>497</v>
      </c>
      <c r="D250" s="10" t="s">
        <v>498</v>
      </c>
      <c r="E250" s="21" t="s">
        <v>1192</v>
      </c>
      <c r="F250" s="22"/>
      <c r="G250" s="12" t="s">
        <v>1193</v>
      </c>
      <c r="H250" s="13">
        <v>-0.79200000000000004</v>
      </c>
      <c r="I250" s="14" t="s">
        <v>906</v>
      </c>
      <c r="J250" s="22" t="s">
        <v>907</v>
      </c>
      <c r="K250" s="9">
        <v>3</v>
      </c>
      <c r="L250" s="15"/>
      <c r="M250" s="16" t="s">
        <v>54</v>
      </c>
      <c r="N250" s="14"/>
      <c r="O250" s="15" t="s">
        <v>65</v>
      </c>
      <c r="P250" s="10" t="s">
        <v>1194</v>
      </c>
      <c r="Q250" s="15"/>
      <c r="R250" s="17" t="s">
        <v>54</v>
      </c>
      <c r="S250" s="18"/>
      <c r="T250" s="22" t="str">
        <f>IF(R250="維持",J250,IF(R250="排除","無關新聞事件",IFERROR(INDEX(事件規則!$B$2:$B$53,MATCH(S250,事件規則!$A$2:$A$53,0)),"")))</f>
        <v>裁員或人力縮減</v>
      </c>
      <c r="U250" s="9">
        <f>IF(R250="維持",K250,IF(R250="排除",0,IFERROR(INDEX(事件規則!$C$2:$C$53,MATCH(S250,事件規則!$A$2:$A$53,0)),"")))</f>
        <v>3</v>
      </c>
      <c r="V250" s="19"/>
      <c r="W250" s="20"/>
      <c r="X250" s="10" t="str">
        <f t="shared" si="3"/>
        <v/>
      </c>
      <c r="Y250" s="19"/>
      <c r="Z250" s="20"/>
      <c r="AA250" s="12" t="s">
        <v>1195</v>
      </c>
      <c r="AB250" s="23"/>
    </row>
    <row r="251" spans="1:28" ht="38.25">
      <c r="A251" s="15">
        <v>250</v>
      </c>
      <c r="B251" s="9" t="s">
        <v>494</v>
      </c>
      <c r="C251" s="9" t="s">
        <v>865</v>
      </c>
      <c r="D251" s="10" t="s">
        <v>866</v>
      </c>
      <c r="E251" s="21" t="s">
        <v>1196</v>
      </c>
      <c r="F251" s="22"/>
      <c r="G251" s="12" t="s">
        <v>1077</v>
      </c>
      <c r="H251" s="13">
        <v>1.0999999999999999E-2</v>
      </c>
      <c r="I251" s="14" t="s">
        <v>906</v>
      </c>
      <c r="J251" s="22" t="s">
        <v>907</v>
      </c>
      <c r="K251" s="9">
        <v>3</v>
      </c>
      <c r="L251" s="15"/>
      <c r="M251" s="16" t="s">
        <v>74</v>
      </c>
      <c r="N251" s="14"/>
      <c r="O251" s="15" t="s">
        <v>65</v>
      </c>
      <c r="P251" s="22" t="s">
        <v>1150</v>
      </c>
      <c r="Q251" s="15"/>
      <c r="R251" s="17" t="s">
        <v>74</v>
      </c>
      <c r="S251" s="18"/>
      <c r="T251" s="22" t="str">
        <f>IF(R251="維持",J251,IF(R251="排除","無關新聞事件",IFERROR(INDEX(事件規則!$B$2:$B$53,MATCH(S251,事件規則!$A$2:$A$53,0)),"")))</f>
        <v>無關新聞事件</v>
      </c>
      <c r="U251" s="9">
        <f>IF(R251="維持",K251,IF(R251="排除",0,IFERROR(INDEX(事件規則!$C$2:$C$53,MATCH(S251,事件規則!$A$2:$A$53,0)),"")))</f>
        <v>0</v>
      </c>
      <c r="V251" s="19"/>
      <c r="W251" s="20"/>
      <c r="X251" s="10" t="str">
        <f t="shared" si="3"/>
        <v/>
      </c>
      <c r="Y251" s="19"/>
      <c r="Z251" s="20"/>
      <c r="AA251" s="12" t="s">
        <v>1197</v>
      </c>
      <c r="AB251" s="23"/>
    </row>
    <row r="252" spans="1:28" ht="25.5">
      <c r="A252" s="15">
        <v>251</v>
      </c>
      <c r="B252" s="9" t="s">
        <v>770</v>
      </c>
      <c r="C252" s="9" t="s">
        <v>865</v>
      </c>
      <c r="D252" s="10" t="s">
        <v>866</v>
      </c>
      <c r="E252" s="21" t="s">
        <v>1198</v>
      </c>
      <c r="F252" s="22"/>
      <c r="G252" s="12" t="s">
        <v>969</v>
      </c>
      <c r="H252" s="13">
        <v>-4.0000000000000001E-3</v>
      </c>
      <c r="I252" s="14" t="s">
        <v>906</v>
      </c>
      <c r="J252" s="22" t="s">
        <v>907</v>
      </c>
      <c r="K252" s="9">
        <v>3</v>
      </c>
      <c r="L252" s="15"/>
      <c r="M252" s="16" t="s">
        <v>74</v>
      </c>
      <c r="N252" s="14"/>
      <c r="O252" s="15" t="s">
        <v>65</v>
      </c>
      <c r="P252" s="22" t="s">
        <v>1150</v>
      </c>
      <c r="Q252" s="15"/>
      <c r="R252" s="17" t="s">
        <v>74</v>
      </c>
      <c r="S252" s="18"/>
      <c r="T252" s="22" t="str">
        <f>IF(R252="維持",J252,IF(R252="排除","無關新聞事件",IFERROR(INDEX(事件規則!$B$2:$B$53,MATCH(S252,事件規則!$A$2:$A$53,0)),"")))</f>
        <v>無關新聞事件</v>
      </c>
      <c r="U252" s="9">
        <f>IF(R252="維持",K252,IF(R252="排除",0,IFERROR(INDEX(事件規則!$C$2:$C$53,MATCH(S252,事件規則!$A$2:$A$53,0)),"")))</f>
        <v>0</v>
      </c>
      <c r="V252" s="19"/>
      <c r="W252" s="20"/>
      <c r="X252" s="10" t="str">
        <f t="shared" si="3"/>
        <v/>
      </c>
      <c r="Y252" s="19"/>
      <c r="Z252" s="20"/>
      <c r="AA252" s="12" t="s">
        <v>1199</v>
      </c>
      <c r="AB252" s="23"/>
    </row>
    <row r="253" spans="1:28" ht="38.25">
      <c r="A253" s="15">
        <v>252</v>
      </c>
      <c r="B253" s="9" t="s">
        <v>581</v>
      </c>
      <c r="C253" s="9" t="s">
        <v>288</v>
      </c>
      <c r="D253" s="10" t="s">
        <v>289</v>
      </c>
      <c r="E253" s="21" t="s">
        <v>1200</v>
      </c>
      <c r="F253" s="22"/>
      <c r="G253" s="12" t="s">
        <v>1201</v>
      </c>
      <c r="H253" s="13">
        <v>-0.95899999999999996</v>
      </c>
      <c r="I253" s="14" t="s">
        <v>906</v>
      </c>
      <c r="J253" s="22" t="s">
        <v>907</v>
      </c>
      <c r="K253" s="9">
        <v>3</v>
      </c>
      <c r="L253" s="15"/>
      <c r="M253" s="16" t="s">
        <v>54</v>
      </c>
      <c r="N253" s="14"/>
      <c r="O253" s="15" t="s">
        <v>211</v>
      </c>
      <c r="P253" s="22" t="s">
        <v>1202</v>
      </c>
      <c r="Q253" s="15"/>
      <c r="R253" s="17" t="s">
        <v>54</v>
      </c>
      <c r="S253" s="18"/>
      <c r="T253" s="22" t="str">
        <f>IF(R253="維持",J253,IF(R253="排除","無關新聞事件",IFERROR(INDEX(事件規則!$B$2:$B$53,MATCH(S253,事件規則!$A$2:$A$53,0)),"")))</f>
        <v>裁員或人力縮減</v>
      </c>
      <c r="U253" s="9">
        <f>IF(R253="維持",K253,IF(R253="排除",0,IFERROR(INDEX(事件規則!$C$2:$C$53,MATCH(S253,事件規則!$A$2:$A$53,0)),"")))</f>
        <v>3</v>
      </c>
      <c r="V253" s="19"/>
      <c r="W253" s="20"/>
      <c r="X253" s="10" t="str">
        <f t="shared" si="3"/>
        <v/>
      </c>
      <c r="Y253" s="19"/>
      <c r="Z253" s="20"/>
      <c r="AA253" s="12" t="s">
        <v>1203</v>
      </c>
      <c r="AB253" s="23"/>
    </row>
    <row r="254" spans="1:28" ht="25.5">
      <c r="A254" s="15">
        <v>253</v>
      </c>
      <c r="B254" s="9" t="s">
        <v>581</v>
      </c>
      <c r="C254" s="9" t="s">
        <v>782</v>
      </c>
      <c r="D254" s="10" t="s">
        <v>783</v>
      </c>
      <c r="E254" s="21" t="s">
        <v>1204</v>
      </c>
      <c r="F254" s="22"/>
      <c r="G254" s="12" t="s">
        <v>299</v>
      </c>
      <c r="H254" s="13">
        <v>-0.68600000000000005</v>
      </c>
      <c r="I254" s="14" t="s">
        <v>906</v>
      </c>
      <c r="J254" s="22" t="s">
        <v>907</v>
      </c>
      <c r="K254" s="9">
        <v>3</v>
      </c>
      <c r="L254" s="15"/>
      <c r="M254" s="16" t="s">
        <v>54</v>
      </c>
      <c r="N254" s="14"/>
      <c r="O254" s="15" t="s">
        <v>65</v>
      </c>
      <c r="P254" s="22" t="s">
        <v>1205</v>
      </c>
      <c r="Q254" s="15"/>
      <c r="R254" s="17" t="s">
        <v>54</v>
      </c>
      <c r="S254" s="18"/>
      <c r="T254" s="22" t="str">
        <f>IF(R254="維持",J254,IF(R254="排除","無關新聞事件",IFERROR(INDEX(事件規則!$B$2:$B$53,MATCH(S254,事件規則!$A$2:$A$53,0)),"")))</f>
        <v>裁員或人力縮減</v>
      </c>
      <c r="U254" s="9">
        <f>IF(R254="維持",K254,IF(R254="排除",0,IFERROR(INDEX(事件規則!$C$2:$C$53,MATCH(S254,事件規則!$A$2:$A$53,0)),"")))</f>
        <v>3</v>
      </c>
      <c r="V254" s="19"/>
      <c r="W254" s="20"/>
      <c r="X254" s="10" t="str">
        <f t="shared" si="3"/>
        <v/>
      </c>
      <c r="Y254" s="19"/>
      <c r="Z254" s="20"/>
      <c r="AA254" s="12" t="s">
        <v>1206</v>
      </c>
      <c r="AB254" s="23"/>
    </row>
    <row r="255" spans="1:28" ht="38.25">
      <c r="A255" s="15">
        <v>254</v>
      </c>
      <c r="B255" s="9" t="s">
        <v>1207</v>
      </c>
      <c r="C255" s="9" t="s">
        <v>1208</v>
      </c>
      <c r="D255" s="10" t="s">
        <v>1209</v>
      </c>
      <c r="E255" s="21" t="s">
        <v>1210</v>
      </c>
      <c r="F255" s="22"/>
      <c r="G255" s="12" t="s">
        <v>299</v>
      </c>
      <c r="H255" s="13">
        <v>-0.94499999999999995</v>
      </c>
      <c r="I255" s="14" t="s">
        <v>906</v>
      </c>
      <c r="J255" s="22" t="s">
        <v>907</v>
      </c>
      <c r="K255" s="9">
        <v>3</v>
      </c>
      <c r="L255" s="15"/>
      <c r="M255" s="16" t="s">
        <v>54</v>
      </c>
      <c r="N255" s="14"/>
      <c r="O255" s="15" t="s">
        <v>65</v>
      </c>
      <c r="P255" s="10" t="s">
        <v>1211</v>
      </c>
      <c r="Q255" s="15"/>
      <c r="R255" s="17" t="s">
        <v>54</v>
      </c>
      <c r="S255" s="18"/>
      <c r="T255" s="22" t="str">
        <f>IF(R255="維持",J255,IF(R255="排除","無關新聞事件",IFERROR(INDEX(事件規則!$B$2:$B$53,MATCH(S255,事件規則!$A$2:$A$53,0)),"")))</f>
        <v>裁員或人力縮減</v>
      </c>
      <c r="U255" s="9">
        <f>IF(R255="維持",K255,IF(R255="排除",0,IFERROR(INDEX(事件規則!$C$2:$C$53,MATCH(S255,事件規則!$A$2:$A$53,0)),"")))</f>
        <v>3</v>
      </c>
      <c r="V255" s="19"/>
      <c r="W255" s="20"/>
      <c r="X255" s="10" t="str">
        <f t="shared" si="3"/>
        <v/>
      </c>
      <c r="Y255" s="19"/>
      <c r="Z255" s="20"/>
      <c r="AA255" s="12" t="s">
        <v>1212</v>
      </c>
      <c r="AB255" s="23"/>
    </row>
    <row r="256" spans="1:28" ht="25.5">
      <c r="A256" s="15">
        <v>255</v>
      </c>
      <c r="B256" s="9" t="s">
        <v>591</v>
      </c>
      <c r="C256" s="9" t="s">
        <v>1213</v>
      </c>
      <c r="D256" s="10" t="s">
        <v>1214</v>
      </c>
      <c r="E256" s="21" t="s">
        <v>1215</v>
      </c>
      <c r="F256" s="22"/>
      <c r="G256" s="12" t="s">
        <v>1216</v>
      </c>
      <c r="H256" s="13">
        <v>0.19700000000000001</v>
      </c>
      <c r="I256" s="14" t="s">
        <v>906</v>
      </c>
      <c r="J256" s="22" t="s">
        <v>907</v>
      </c>
      <c r="K256" s="9">
        <v>3</v>
      </c>
      <c r="L256" s="15"/>
      <c r="M256" s="16" t="s">
        <v>74</v>
      </c>
      <c r="N256" s="14"/>
      <c r="O256" s="15" t="s">
        <v>65</v>
      </c>
      <c r="P256" s="22" t="s">
        <v>1150</v>
      </c>
      <c r="Q256" s="15"/>
      <c r="R256" s="17" t="s">
        <v>74</v>
      </c>
      <c r="S256" s="18"/>
      <c r="T256" s="22" t="str">
        <f>IF(R256="維持",J256,IF(R256="排除","無關新聞事件",IFERROR(INDEX(事件規則!$B$2:$B$53,MATCH(S256,事件規則!$A$2:$A$53,0)),"")))</f>
        <v>無關新聞事件</v>
      </c>
      <c r="U256" s="9">
        <f>IF(R256="維持",K256,IF(R256="排除",0,IFERROR(INDEX(事件規則!$C$2:$C$53,MATCH(S256,事件規則!$A$2:$A$53,0)),"")))</f>
        <v>0</v>
      </c>
      <c r="V256" s="19"/>
      <c r="W256" s="20"/>
      <c r="X256" s="10" t="str">
        <f t="shared" si="3"/>
        <v/>
      </c>
      <c r="Y256" s="19"/>
      <c r="Z256" s="20"/>
      <c r="AA256" s="12" t="s">
        <v>1217</v>
      </c>
      <c r="AB256" s="23"/>
    </row>
    <row r="257" spans="1:28" ht="38.25">
      <c r="A257" s="15">
        <v>256</v>
      </c>
      <c r="B257" s="9" t="s">
        <v>113</v>
      </c>
      <c r="C257" s="9" t="s">
        <v>150</v>
      </c>
      <c r="D257" s="10" t="s">
        <v>151</v>
      </c>
      <c r="E257" s="21" t="s">
        <v>1218</v>
      </c>
      <c r="F257" s="22"/>
      <c r="G257" s="12" t="s">
        <v>1219</v>
      </c>
      <c r="H257" s="13">
        <v>-0.95799999999999996</v>
      </c>
      <c r="I257" s="14" t="s">
        <v>906</v>
      </c>
      <c r="J257" s="22" t="s">
        <v>907</v>
      </c>
      <c r="K257" s="9">
        <v>3</v>
      </c>
      <c r="L257" s="15"/>
      <c r="M257" s="16" t="s">
        <v>54</v>
      </c>
      <c r="N257" s="14"/>
      <c r="O257" s="15" t="s">
        <v>55</v>
      </c>
      <c r="P257" s="10" t="s">
        <v>1220</v>
      </c>
      <c r="Q257" s="15"/>
      <c r="R257" s="17" t="s">
        <v>54</v>
      </c>
      <c r="S257" s="18"/>
      <c r="T257" s="22" t="str">
        <f>IF(R257="維持",J257,IF(R257="排除","無關新聞事件",IFERROR(INDEX(事件規則!$B$2:$B$53,MATCH(S257,事件規則!$A$2:$A$53,0)),"")))</f>
        <v>裁員或人力縮減</v>
      </c>
      <c r="U257" s="9">
        <f>IF(R257="維持",K257,IF(R257="排除",0,IFERROR(INDEX(事件規則!$C$2:$C$53,MATCH(S257,事件規則!$A$2:$A$53,0)),"")))</f>
        <v>3</v>
      </c>
      <c r="V257" s="19"/>
      <c r="W257" s="20"/>
      <c r="X257" s="10" t="str">
        <f t="shared" si="3"/>
        <v/>
      </c>
      <c r="Y257" s="19"/>
      <c r="Z257" s="20"/>
      <c r="AA257" s="12" t="s">
        <v>1221</v>
      </c>
      <c r="AB257" s="23"/>
    </row>
    <row r="258" spans="1:28" ht="25.5">
      <c r="A258" s="15">
        <v>257</v>
      </c>
      <c r="B258" s="9" t="s">
        <v>113</v>
      </c>
      <c r="C258" s="9" t="s">
        <v>150</v>
      </c>
      <c r="D258" s="10" t="s">
        <v>151</v>
      </c>
      <c r="E258" s="21" t="s">
        <v>1222</v>
      </c>
      <c r="F258" s="22"/>
      <c r="G258" s="23" t="s">
        <v>110</v>
      </c>
      <c r="H258" s="13"/>
      <c r="I258" s="14" t="s">
        <v>906</v>
      </c>
      <c r="J258" s="22" t="s">
        <v>907</v>
      </c>
      <c r="K258" s="9">
        <v>3</v>
      </c>
      <c r="L258" s="15"/>
      <c r="M258" s="16" t="s">
        <v>54</v>
      </c>
      <c r="N258" s="14"/>
      <c r="O258" s="15" t="s">
        <v>55</v>
      </c>
      <c r="P258" s="10" t="s">
        <v>1220</v>
      </c>
      <c r="Q258" s="15"/>
      <c r="R258" s="17" t="s">
        <v>54</v>
      </c>
      <c r="S258" s="18"/>
      <c r="T258" s="22" t="str">
        <f>IF(R258="維持",J258,IF(R258="排除","無關新聞事件",IFERROR(INDEX(事件規則!$B$2:$B$53,MATCH(S258,事件規則!$A$2:$A$53,0)),"")))</f>
        <v>裁員或人力縮減</v>
      </c>
      <c r="U258" s="9">
        <f>IF(R258="維持",K258,IF(R258="排除",0,IFERROR(INDEX(事件規則!$C$2:$C$53,MATCH(S258,事件規則!$A$2:$A$53,0)),"")))</f>
        <v>3</v>
      </c>
      <c r="V258" s="19"/>
      <c r="W258" s="20"/>
      <c r="X258" s="10" t="str">
        <f t="shared" ref="X258:X321" si="4">IF(AND(R258="修改",S258=""),"請選新事件代碼",IF(AND(R258&lt;&gt;"修改",S258&lt;&gt;""),"只有「修改」才需填代碼",""))</f>
        <v/>
      </c>
      <c r="Y258" s="19"/>
      <c r="Z258" s="20"/>
      <c r="AA258" s="12" t="s">
        <v>1223</v>
      </c>
      <c r="AB258" s="23"/>
    </row>
    <row r="259" spans="1:28" ht="25.5">
      <c r="A259" s="15">
        <v>258</v>
      </c>
      <c r="B259" s="9" t="s">
        <v>113</v>
      </c>
      <c r="C259" s="9" t="s">
        <v>160</v>
      </c>
      <c r="D259" s="10" t="s">
        <v>161</v>
      </c>
      <c r="E259" s="21" t="s">
        <v>1224</v>
      </c>
      <c r="F259" s="22"/>
      <c r="G259" s="12" t="s">
        <v>1225</v>
      </c>
      <c r="H259" s="13">
        <v>-0.13900000000000001</v>
      </c>
      <c r="I259" s="14" t="s">
        <v>906</v>
      </c>
      <c r="J259" s="22" t="s">
        <v>907</v>
      </c>
      <c r="K259" s="9">
        <v>3</v>
      </c>
      <c r="L259" s="15"/>
      <c r="M259" s="16" t="s">
        <v>74</v>
      </c>
      <c r="N259" s="14"/>
      <c r="O259" s="15" t="s">
        <v>65</v>
      </c>
      <c r="P259" s="22" t="s">
        <v>1150</v>
      </c>
      <c r="Q259" s="15"/>
      <c r="R259" s="17" t="s">
        <v>74</v>
      </c>
      <c r="S259" s="18"/>
      <c r="T259" s="22" t="str">
        <f>IF(R259="維持",J259,IF(R259="排除","無關新聞事件",IFERROR(INDEX(事件規則!$B$2:$B$53,MATCH(S259,事件規則!$A$2:$A$53,0)),"")))</f>
        <v>無關新聞事件</v>
      </c>
      <c r="U259" s="9">
        <f>IF(R259="維持",K259,IF(R259="排除",0,IFERROR(INDEX(事件規則!$C$2:$C$53,MATCH(S259,事件規則!$A$2:$A$53,0)),"")))</f>
        <v>0</v>
      </c>
      <c r="V259" s="19"/>
      <c r="W259" s="20"/>
      <c r="X259" s="10" t="str">
        <f t="shared" si="4"/>
        <v/>
      </c>
      <c r="Y259" s="19"/>
      <c r="Z259" s="20"/>
      <c r="AA259" s="12" t="s">
        <v>1226</v>
      </c>
      <c r="AB259" s="23"/>
    </row>
    <row r="260" spans="1:28" ht="25.5">
      <c r="A260" s="15">
        <v>259</v>
      </c>
      <c r="B260" s="9" t="s">
        <v>113</v>
      </c>
      <c r="C260" s="9" t="s">
        <v>150</v>
      </c>
      <c r="D260" s="10" t="s">
        <v>151</v>
      </c>
      <c r="E260" s="21" t="s">
        <v>1227</v>
      </c>
      <c r="F260" s="22"/>
      <c r="G260" s="12" t="s">
        <v>547</v>
      </c>
      <c r="H260" s="13">
        <v>-0.96199999999999997</v>
      </c>
      <c r="I260" s="14" t="s">
        <v>906</v>
      </c>
      <c r="J260" s="22" t="s">
        <v>907</v>
      </c>
      <c r="K260" s="9">
        <v>3</v>
      </c>
      <c r="L260" s="15"/>
      <c r="M260" s="16" t="s">
        <v>54</v>
      </c>
      <c r="N260" s="14"/>
      <c r="O260" s="15" t="s">
        <v>55</v>
      </c>
      <c r="P260" s="10" t="s">
        <v>1220</v>
      </c>
      <c r="Q260" s="15"/>
      <c r="R260" s="17" t="s">
        <v>54</v>
      </c>
      <c r="S260" s="18"/>
      <c r="T260" s="22" t="str">
        <f>IF(R260="維持",J260,IF(R260="排除","無關新聞事件",IFERROR(INDEX(事件規則!$B$2:$B$53,MATCH(S260,事件規則!$A$2:$A$53,0)),"")))</f>
        <v>裁員或人力縮減</v>
      </c>
      <c r="U260" s="9">
        <f>IF(R260="維持",K260,IF(R260="排除",0,IFERROR(INDEX(事件規則!$C$2:$C$53,MATCH(S260,事件規則!$A$2:$A$53,0)),"")))</f>
        <v>3</v>
      </c>
      <c r="V260" s="19"/>
      <c r="W260" s="20"/>
      <c r="X260" s="10" t="str">
        <f t="shared" si="4"/>
        <v/>
      </c>
      <c r="Y260" s="19"/>
      <c r="Z260" s="20"/>
      <c r="AA260" s="12" t="s">
        <v>1228</v>
      </c>
      <c r="AB260" s="23"/>
    </row>
    <row r="261" spans="1:28" ht="38.25">
      <c r="A261" s="15">
        <v>260</v>
      </c>
      <c r="B261" s="9" t="s">
        <v>113</v>
      </c>
      <c r="C261" s="9" t="s">
        <v>288</v>
      </c>
      <c r="D261" s="10" t="s">
        <v>289</v>
      </c>
      <c r="E261" s="21" t="s">
        <v>1229</v>
      </c>
      <c r="F261" s="22"/>
      <c r="G261" s="12" t="s">
        <v>1201</v>
      </c>
      <c r="H261" s="13">
        <v>-0.95499999999999996</v>
      </c>
      <c r="I261" s="14" t="s">
        <v>906</v>
      </c>
      <c r="J261" s="22" t="s">
        <v>907</v>
      </c>
      <c r="K261" s="9">
        <v>3</v>
      </c>
      <c r="L261" s="15"/>
      <c r="M261" s="16" t="s">
        <v>54</v>
      </c>
      <c r="N261" s="14"/>
      <c r="O261" s="15" t="s">
        <v>211</v>
      </c>
      <c r="P261" s="22" t="s">
        <v>1202</v>
      </c>
      <c r="Q261" s="15"/>
      <c r="R261" s="17" t="s">
        <v>54</v>
      </c>
      <c r="S261" s="18"/>
      <c r="T261" s="22" t="str">
        <f>IF(R261="維持",J261,IF(R261="排除","無關新聞事件",IFERROR(INDEX(事件規則!$B$2:$B$53,MATCH(S261,事件規則!$A$2:$A$53,0)),"")))</f>
        <v>裁員或人力縮減</v>
      </c>
      <c r="U261" s="9">
        <f>IF(R261="維持",K261,IF(R261="排除",0,IFERROR(INDEX(事件規則!$C$2:$C$53,MATCH(S261,事件規則!$A$2:$A$53,0)),"")))</f>
        <v>3</v>
      </c>
      <c r="V261" s="19"/>
      <c r="W261" s="20"/>
      <c r="X261" s="10" t="str">
        <f t="shared" si="4"/>
        <v/>
      </c>
      <c r="Y261" s="19"/>
      <c r="Z261" s="20"/>
      <c r="AA261" s="12" t="s">
        <v>1230</v>
      </c>
      <c r="AB261" s="23"/>
    </row>
    <row r="262" spans="1:28" ht="38.25">
      <c r="A262" s="15">
        <v>261</v>
      </c>
      <c r="B262" s="9" t="s">
        <v>113</v>
      </c>
      <c r="C262" s="9" t="s">
        <v>78</v>
      </c>
      <c r="D262" s="10" t="s">
        <v>79</v>
      </c>
      <c r="E262" s="21" t="s">
        <v>1229</v>
      </c>
      <c r="F262" s="22"/>
      <c r="G262" s="12" t="s">
        <v>1201</v>
      </c>
      <c r="H262" s="13">
        <v>-0.95499999999999996</v>
      </c>
      <c r="I262" s="14" t="s">
        <v>906</v>
      </c>
      <c r="J262" s="22" t="s">
        <v>907</v>
      </c>
      <c r="K262" s="9">
        <v>3</v>
      </c>
      <c r="L262" s="15"/>
      <c r="M262" s="16" t="s">
        <v>54</v>
      </c>
      <c r="N262" s="14"/>
      <c r="O262" s="15" t="s">
        <v>211</v>
      </c>
      <c r="P262" s="22" t="s">
        <v>1202</v>
      </c>
      <c r="Q262" s="15"/>
      <c r="R262" s="17" t="s">
        <v>54</v>
      </c>
      <c r="S262" s="18"/>
      <c r="T262" s="22" t="str">
        <f>IF(R262="維持",J262,IF(R262="排除","無關新聞事件",IFERROR(INDEX(事件規則!$B$2:$B$53,MATCH(S262,事件規則!$A$2:$A$53,0)),"")))</f>
        <v>裁員或人力縮減</v>
      </c>
      <c r="U262" s="9">
        <f>IF(R262="維持",K262,IF(R262="排除",0,IFERROR(INDEX(事件規則!$C$2:$C$53,MATCH(S262,事件規則!$A$2:$A$53,0)),"")))</f>
        <v>3</v>
      </c>
      <c r="V262" s="19"/>
      <c r="W262" s="20"/>
      <c r="X262" s="10" t="str">
        <f t="shared" si="4"/>
        <v/>
      </c>
      <c r="Y262" s="19"/>
      <c r="Z262" s="20"/>
      <c r="AA262" s="12" t="s">
        <v>1231</v>
      </c>
      <c r="AB262" s="23"/>
    </row>
    <row r="263" spans="1:28" ht="25.5">
      <c r="A263" s="15">
        <v>262</v>
      </c>
      <c r="B263" s="9" t="s">
        <v>113</v>
      </c>
      <c r="C263" s="9" t="s">
        <v>150</v>
      </c>
      <c r="D263" s="10" t="s">
        <v>151</v>
      </c>
      <c r="E263" s="21" t="s">
        <v>1232</v>
      </c>
      <c r="F263" s="22"/>
      <c r="G263" s="12" t="s">
        <v>64</v>
      </c>
      <c r="H263" s="13"/>
      <c r="I263" s="14" t="s">
        <v>906</v>
      </c>
      <c r="J263" s="22" t="s">
        <v>907</v>
      </c>
      <c r="K263" s="9">
        <v>3</v>
      </c>
      <c r="L263" s="15"/>
      <c r="M263" s="16" t="s">
        <v>54</v>
      </c>
      <c r="N263" s="14"/>
      <c r="O263" s="15" t="s">
        <v>55</v>
      </c>
      <c r="P263" s="10" t="s">
        <v>1220</v>
      </c>
      <c r="Q263" s="15"/>
      <c r="R263" s="17" t="s">
        <v>54</v>
      </c>
      <c r="S263" s="18"/>
      <c r="T263" s="22" t="str">
        <f>IF(R263="維持",J263,IF(R263="排除","無關新聞事件",IFERROR(INDEX(事件規則!$B$2:$B$53,MATCH(S263,事件規則!$A$2:$A$53,0)),"")))</f>
        <v>裁員或人力縮減</v>
      </c>
      <c r="U263" s="9">
        <f>IF(R263="維持",K263,IF(R263="排除",0,IFERROR(INDEX(事件規則!$C$2:$C$53,MATCH(S263,事件規則!$A$2:$A$53,0)),"")))</f>
        <v>3</v>
      </c>
      <c r="V263" s="19"/>
      <c r="W263" s="20"/>
      <c r="X263" s="10" t="str">
        <f t="shared" si="4"/>
        <v/>
      </c>
      <c r="Y263" s="19"/>
      <c r="Z263" s="20"/>
      <c r="AA263" s="12" t="s">
        <v>1233</v>
      </c>
      <c r="AB263" s="23"/>
    </row>
    <row r="264" spans="1:28" ht="25.5">
      <c r="A264" s="15">
        <v>263</v>
      </c>
      <c r="B264" s="9" t="s">
        <v>113</v>
      </c>
      <c r="C264" s="9" t="s">
        <v>497</v>
      </c>
      <c r="D264" s="10" t="s">
        <v>498</v>
      </c>
      <c r="E264" s="21" t="s">
        <v>1234</v>
      </c>
      <c r="F264" s="22"/>
      <c r="G264" s="12" t="s">
        <v>1235</v>
      </c>
      <c r="H264" s="13">
        <v>-0.95299999999999996</v>
      </c>
      <c r="I264" s="14" t="s">
        <v>906</v>
      </c>
      <c r="J264" s="22" t="s">
        <v>907</v>
      </c>
      <c r="K264" s="9">
        <v>3</v>
      </c>
      <c r="L264" s="15"/>
      <c r="M264" s="16" t="s">
        <v>54</v>
      </c>
      <c r="N264" s="14"/>
      <c r="O264" s="15" t="s">
        <v>55</v>
      </c>
      <c r="P264" s="10" t="s">
        <v>1236</v>
      </c>
      <c r="Q264" s="15"/>
      <c r="R264" s="17" t="s">
        <v>54</v>
      </c>
      <c r="S264" s="18"/>
      <c r="T264" s="22" t="str">
        <f>IF(R264="維持",J264,IF(R264="排除","無關新聞事件",IFERROR(INDEX(事件規則!$B$2:$B$53,MATCH(S264,事件規則!$A$2:$A$53,0)),"")))</f>
        <v>裁員或人力縮減</v>
      </c>
      <c r="U264" s="9">
        <f>IF(R264="維持",K264,IF(R264="排除",0,IFERROR(INDEX(事件規則!$C$2:$C$53,MATCH(S264,事件規則!$A$2:$A$53,0)),"")))</f>
        <v>3</v>
      </c>
      <c r="V264" s="19"/>
      <c r="W264" s="20"/>
      <c r="X264" s="10" t="str">
        <f t="shared" si="4"/>
        <v/>
      </c>
      <c r="Y264" s="19"/>
      <c r="Z264" s="20"/>
      <c r="AA264" s="12" t="s">
        <v>1237</v>
      </c>
      <c r="AB264" s="23"/>
    </row>
    <row r="265" spans="1:28" ht="38.25">
      <c r="A265" s="15">
        <v>264</v>
      </c>
      <c r="B265" s="9" t="s">
        <v>225</v>
      </c>
      <c r="C265" s="9" t="s">
        <v>1238</v>
      </c>
      <c r="D265" s="10" t="s">
        <v>1239</v>
      </c>
      <c r="E265" s="21" t="s">
        <v>1240</v>
      </c>
      <c r="F265" s="22" t="s">
        <v>1241</v>
      </c>
      <c r="G265" s="12" t="s">
        <v>257</v>
      </c>
      <c r="H265" s="13">
        <v>-6.2E-2</v>
      </c>
      <c r="I265" s="14" t="s">
        <v>906</v>
      </c>
      <c r="J265" s="22" t="s">
        <v>907</v>
      </c>
      <c r="K265" s="9">
        <v>3</v>
      </c>
      <c r="L265" s="15"/>
      <c r="M265" s="16" t="s">
        <v>74</v>
      </c>
      <c r="N265" s="14"/>
      <c r="O265" s="15" t="s">
        <v>65</v>
      </c>
      <c r="P265" s="22" t="s">
        <v>1150</v>
      </c>
      <c r="Q265" s="15"/>
      <c r="R265" s="17" t="s">
        <v>74</v>
      </c>
      <c r="S265" s="18"/>
      <c r="T265" s="22" t="str">
        <f>IF(R265="維持",J265,IF(R265="排除","無關新聞事件",IFERROR(INDEX(事件規則!$B$2:$B$53,MATCH(S265,事件規則!$A$2:$A$53,0)),"")))</f>
        <v>無關新聞事件</v>
      </c>
      <c r="U265" s="9">
        <f>IF(R265="維持",K265,IF(R265="排除",0,IFERROR(INDEX(事件規則!$C$2:$C$53,MATCH(S265,事件規則!$A$2:$A$53,0)),"")))</f>
        <v>0</v>
      </c>
      <c r="V265" s="19"/>
      <c r="W265" s="20"/>
      <c r="X265" s="10" t="str">
        <f t="shared" si="4"/>
        <v/>
      </c>
      <c r="Y265" s="19"/>
      <c r="Z265" s="20"/>
      <c r="AA265" s="12" t="s">
        <v>1242</v>
      </c>
      <c r="AB265" s="23"/>
    </row>
    <row r="266" spans="1:28" ht="25.5">
      <c r="A266" s="15">
        <v>265</v>
      </c>
      <c r="B266" s="9" t="s">
        <v>225</v>
      </c>
      <c r="C266" s="9" t="s">
        <v>1243</v>
      </c>
      <c r="D266" s="10" t="s">
        <v>1244</v>
      </c>
      <c r="E266" s="21" t="s">
        <v>1245</v>
      </c>
      <c r="F266" s="22" t="s">
        <v>1246</v>
      </c>
      <c r="G266" s="12" t="s">
        <v>1247</v>
      </c>
      <c r="H266" s="13">
        <v>-0.42899999999999999</v>
      </c>
      <c r="I266" s="14" t="s">
        <v>906</v>
      </c>
      <c r="J266" s="22" t="s">
        <v>907</v>
      </c>
      <c r="K266" s="9">
        <v>3</v>
      </c>
      <c r="L266" s="15"/>
      <c r="M266" s="16" t="s">
        <v>54</v>
      </c>
      <c r="N266" s="14"/>
      <c r="O266" s="15" t="s">
        <v>55</v>
      </c>
      <c r="P266" s="10" t="s">
        <v>1248</v>
      </c>
      <c r="Q266" s="15"/>
      <c r="R266" s="17" t="s">
        <v>54</v>
      </c>
      <c r="S266" s="18"/>
      <c r="T266" s="22" t="str">
        <f>IF(R266="維持",J266,IF(R266="排除","無關新聞事件",IFERROR(INDEX(事件規則!$B$2:$B$53,MATCH(S266,事件規則!$A$2:$A$53,0)),"")))</f>
        <v>裁員或人力縮減</v>
      </c>
      <c r="U266" s="9">
        <f>IF(R266="維持",K266,IF(R266="排除",0,IFERROR(INDEX(事件規則!$C$2:$C$53,MATCH(S266,事件規則!$A$2:$A$53,0)),"")))</f>
        <v>3</v>
      </c>
      <c r="V266" s="19"/>
      <c r="W266" s="20"/>
      <c r="X266" s="10" t="str">
        <f t="shared" si="4"/>
        <v/>
      </c>
      <c r="Y266" s="19"/>
      <c r="Z266" s="20"/>
      <c r="AA266" s="12" t="s">
        <v>1249</v>
      </c>
      <c r="AB266" s="23"/>
    </row>
    <row r="267" spans="1:28" ht="25.5">
      <c r="A267" s="15">
        <v>266</v>
      </c>
      <c r="B267" s="9" t="s">
        <v>225</v>
      </c>
      <c r="C267" s="9" t="s">
        <v>150</v>
      </c>
      <c r="D267" s="10" t="s">
        <v>151</v>
      </c>
      <c r="E267" s="21" t="s">
        <v>1250</v>
      </c>
      <c r="F267" s="22" t="s">
        <v>1251</v>
      </c>
      <c r="G267" s="12" t="s">
        <v>1252</v>
      </c>
      <c r="H267" s="13">
        <v>-0.78100000000000003</v>
      </c>
      <c r="I267" s="14" t="s">
        <v>906</v>
      </c>
      <c r="J267" s="22" t="s">
        <v>907</v>
      </c>
      <c r="K267" s="9">
        <v>3</v>
      </c>
      <c r="L267" s="15"/>
      <c r="M267" s="16" t="s">
        <v>54</v>
      </c>
      <c r="N267" s="14"/>
      <c r="O267" s="15" t="s">
        <v>65</v>
      </c>
      <c r="P267" s="10" t="s">
        <v>1253</v>
      </c>
      <c r="Q267" s="15"/>
      <c r="R267" s="17" t="s">
        <v>54</v>
      </c>
      <c r="S267" s="18"/>
      <c r="T267" s="22" t="str">
        <f>IF(R267="維持",J267,IF(R267="排除","無關新聞事件",IFERROR(INDEX(事件規則!$B$2:$B$53,MATCH(S267,事件規則!$A$2:$A$53,0)),"")))</f>
        <v>裁員或人力縮減</v>
      </c>
      <c r="U267" s="9">
        <f>IF(R267="維持",K267,IF(R267="排除",0,IFERROR(INDEX(事件規則!$C$2:$C$53,MATCH(S267,事件規則!$A$2:$A$53,0)),"")))</f>
        <v>3</v>
      </c>
      <c r="V267" s="19"/>
      <c r="W267" s="20"/>
      <c r="X267" s="10" t="str">
        <f t="shared" si="4"/>
        <v/>
      </c>
      <c r="Y267" s="19"/>
      <c r="Z267" s="20"/>
      <c r="AA267" s="12" t="s">
        <v>1254</v>
      </c>
      <c r="AB267" s="23"/>
    </row>
    <row r="268" spans="1:28" ht="38.25">
      <c r="A268" s="15">
        <v>267</v>
      </c>
      <c r="B268" s="9" t="s">
        <v>225</v>
      </c>
      <c r="C268" s="9" t="s">
        <v>865</v>
      </c>
      <c r="D268" s="10" t="s">
        <v>866</v>
      </c>
      <c r="E268" s="21" t="s">
        <v>1255</v>
      </c>
      <c r="F268" s="22" t="s">
        <v>1256</v>
      </c>
      <c r="G268" s="12" t="s">
        <v>1257</v>
      </c>
      <c r="H268" s="13">
        <v>-0.82</v>
      </c>
      <c r="I268" s="14" t="s">
        <v>906</v>
      </c>
      <c r="J268" s="22" t="s">
        <v>907</v>
      </c>
      <c r="K268" s="9">
        <v>3</v>
      </c>
      <c r="L268" s="15"/>
      <c r="M268" s="16" t="s">
        <v>74</v>
      </c>
      <c r="N268" s="14"/>
      <c r="O268" s="15" t="s">
        <v>65</v>
      </c>
      <c r="P268" s="22" t="s">
        <v>1150</v>
      </c>
      <c r="Q268" s="15"/>
      <c r="R268" s="17" t="s">
        <v>74</v>
      </c>
      <c r="S268" s="18"/>
      <c r="T268" s="22" t="str">
        <f>IF(R268="維持",J268,IF(R268="排除","無關新聞事件",IFERROR(INDEX(事件規則!$B$2:$B$53,MATCH(S268,事件規則!$A$2:$A$53,0)),"")))</f>
        <v>無關新聞事件</v>
      </c>
      <c r="U268" s="9">
        <f>IF(R268="維持",K268,IF(R268="排除",0,IFERROR(INDEX(事件規則!$C$2:$C$53,MATCH(S268,事件規則!$A$2:$A$53,0)),"")))</f>
        <v>0</v>
      </c>
      <c r="V268" s="19"/>
      <c r="W268" s="20"/>
      <c r="X268" s="10" t="str">
        <f t="shared" si="4"/>
        <v/>
      </c>
      <c r="Y268" s="19"/>
      <c r="Z268" s="20"/>
      <c r="AA268" s="12" t="s">
        <v>1258</v>
      </c>
      <c r="AB268" s="23"/>
    </row>
    <row r="269" spans="1:28" ht="25.5">
      <c r="A269" s="15">
        <v>268</v>
      </c>
      <c r="B269" s="9" t="s">
        <v>225</v>
      </c>
      <c r="C269" s="9" t="s">
        <v>736</v>
      </c>
      <c r="D269" s="10" t="s">
        <v>737</v>
      </c>
      <c r="E269" s="21" t="s">
        <v>1259</v>
      </c>
      <c r="F269" s="22"/>
      <c r="G269" s="12" t="s">
        <v>1260</v>
      </c>
      <c r="H269" s="13">
        <v>0.91800000000000004</v>
      </c>
      <c r="I269" s="14" t="s">
        <v>906</v>
      </c>
      <c r="J269" s="22" t="s">
        <v>907</v>
      </c>
      <c r="K269" s="9">
        <v>3</v>
      </c>
      <c r="L269" s="15"/>
      <c r="M269" s="16" t="s">
        <v>74</v>
      </c>
      <c r="N269" s="14"/>
      <c r="O269" s="15" t="s">
        <v>65</v>
      </c>
      <c r="P269" s="22" t="s">
        <v>1150</v>
      </c>
      <c r="Q269" s="15"/>
      <c r="R269" s="17" t="s">
        <v>74</v>
      </c>
      <c r="S269" s="18"/>
      <c r="T269" s="22" t="str">
        <f>IF(R269="維持",J269,IF(R269="排除","無關新聞事件",IFERROR(INDEX(事件規則!$B$2:$B$53,MATCH(S269,事件規則!$A$2:$A$53,0)),"")))</f>
        <v>無關新聞事件</v>
      </c>
      <c r="U269" s="9">
        <f>IF(R269="維持",K269,IF(R269="排除",0,IFERROR(INDEX(事件規則!$C$2:$C$53,MATCH(S269,事件規則!$A$2:$A$53,0)),"")))</f>
        <v>0</v>
      </c>
      <c r="V269" s="19"/>
      <c r="W269" s="20"/>
      <c r="X269" s="10" t="str">
        <f t="shared" si="4"/>
        <v/>
      </c>
      <c r="Y269" s="19"/>
      <c r="Z269" s="20"/>
      <c r="AA269" s="12" t="s">
        <v>1261</v>
      </c>
      <c r="AB269" s="23"/>
    </row>
    <row r="270" spans="1:28" ht="25.5">
      <c r="A270" s="15">
        <v>269</v>
      </c>
      <c r="B270" s="9" t="s">
        <v>399</v>
      </c>
      <c r="C270" s="9" t="s">
        <v>1238</v>
      </c>
      <c r="D270" s="10" t="s">
        <v>1239</v>
      </c>
      <c r="E270" s="21" t="s">
        <v>1262</v>
      </c>
      <c r="F270" s="10" t="s">
        <v>1263</v>
      </c>
      <c r="G270" s="12" t="s">
        <v>1264</v>
      </c>
      <c r="H270" s="13">
        <v>-0.95599999999999996</v>
      </c>
      <c r="I270" s="14" t="s">
        <v>906</v>
      </c>
      <c r="J270" s="22" t="s">
        <v>907</v>
      </c>
      <c r="K270" s="9">
        <v>3</v>
      </c>
      <c r="L270" s="15"/>
      <c r="M270" s="16" t="s">
        <v>54</v>
      </c>
      <c r="N270" s="14"/>
      <c r="O270" s="15" t="s">
        <v>55</v>
      </c>
      <c r="P270" s="10" t="s">
        <v>1265</v>
      </c>
      <c r="Q270" s="15"/>
      <c r="R270" s="17" t="s">
        <v>54</v>
      </c>
      <c r="S270" s="18"/>
      <c r="T270" s="22" t="str">
        <f>IF(R270="維持",J270,IF(R270="排除","無關新聞事件",IFERROR(INDEX(事件規則!$B$2:$B$53,MATCH(S270,事件規則!$A$2:$A$53,0)),"")))</f>
        <v>裁員或人力縮減</v>
      </c>
      <c r="U270" s="9">
        <f>IF(R270="維持",K270,IF(R270="排除",0,IFERROR(INDEX(事件規則!$C$2:$C$53,MATCH(S270,事件規則!$A$2:$A$53,0)),"")))</f>
        <v>3</v>
      </c>
      <c r="V270" s="19"/>
      <c r="W270" s="20"/>
      <c r="X270" s="10" t="str">
        <f t="shared" si="4"/>
        <v/>
      </c>
      <c r="Y270" s="19"/>
      <c r="Z270" s="20"/>
      <c r="AA270" s="12" t="s">
        <v>1266</v>
      </c>
      <c r="AB270" s="23"/>
    </row>
    <row r="271" spans="1:28" ht="25.5">
      <c r="A271" s="15">
        <v>270</v>
      </c>
      <c r="B271" s="9" t="s">
        <v>399</v>
      </c>
      <c r="C271" s="9" t="s">
        <v>497</v>
      </c>
      <c r="D271" s="10" t="s">
        <v>498</v>
      </c>
      <c r="E271" s="21" t="s">
        <v>1267</v>
      </c>
      <c r="F271" s="10" t="s">
        <v>1268</v>
      </c>
      <c r="G271" s="12" t="s">
        <v>497</v>
      </c>
      <c r="H271" s="13">
        <v>0.16200000000000001</v>
      </c>
      <c r="I271" s="14" t="s">
        <v>906</v>
      </c>
      <c r="J271" s="22" t="s">
        <v>907</v>
      </c>
      <c r="K271" s="9">
        <v>3</v>
      </c>
      <c r="L271" s="15"/>
      <c r="M271" s="16" t="s">
        <v>74</v>
      </c>
      <c r="N271" s="14"/>
      <c r="O271" s="15" t="s">
        <v>65</v>
      </c>
      <c r="P271" s="22" t="s">
        <v>1150</v>
      </c>
      <c r="Q271" s="15"/>
      <c r="R271" s="17" t="s">
        <v>74</v>
      </c>
      <c r="S271" s="18"/>
      <c r="T271" s="22" t="str">
        <f>IF(R271="維持",J271,IF(R271="排除","無關新聞事件",IFERROR(INDEX(事件規則!$B$2:$B$53,MATCH(S271,事件規則!$A$2:$A$53,0)),"")))</f>
        <v>無關新聞事件</v>
      </c>
      <c r="U271" s="9">
        <f>IF(R271="維持",K271,IF(R271="排除",0,IFERROR(INDEX(事件規則!$C$2:$C$53,MATCH(S271,事件規則!$A$2:$A$53,0)),"")))</f>
        <v>0</v>
      </c>
      <c r="V271" s="19"/>
      <c r="W271" s="20"/>
      <c r="X271" s="10" t="str">
        <f t="shared" si="4"/>
        <v/>
      </c>
      <c r="Y271" s="19"/>
      <c r="Z271" s="20"/>
      <c r="AA271" s="12" t="s">
        <v>1269</v>
      </c>
      <c r="AB271" s="23"/>
    </row>
    <row r="272" spans="1:28" ht="25.5">
      <c r="A272" s="15">
        <v>271</v>
      </c>
      <c r="B272" s="9" t="s">
        <v>399</v>
      </c>
      <c r="C272" s="9" t="s">
        <v>150</v>
      </c>
      <c r="D272" s="10" t="s">
        <v>151</v>
      </c>
      <c r="E272" s="21" t="s">
        <v>1270</v>
      </c>
      <c r="F272" s="22" t="s">
        <v>1271</v>
      </c>
      <c r="G272" s="12" t="s">
        <v>1272</v>
      </c>
      <c r="H272" s="13">
        <v>-0.76200000000000001</v>
      </c>
      <c r="I272" s="14" t="s">
        <v>906</v>
      </c>
      <c r="J272" s="22" t="s">
        <v>907</v>
      </c>
      <c r="K272" s="9">
        <v>3</v>
      </c>
      <c r="L272" s="15"/>
      <c r="M272" s="16" t="s">
        <v>74</v>
      </c>
      <c r="N272" s="14"/>
      <c r="O272" s="15" t="s">
        <v>65</v>
      </c>
      <c r="P272" s="22" t="s">
        <v>1150</v>
      </c>
      <c r="Q272" s="15"/>
      <c r="R272" s="17" t="s">
        <v>74</v>
      </c>
      <c r="S272" s="18"/>
      <c r="T272" s="22" t="str">
        <f>IF(R272="維持",J272,IF(R272="排除","無關新聞事件",IFERROR(INDEX(事件規則!$B$2:$B$53,MATCH(S272,事件規則!$A$2:$A$53,0)),"")))</f>
        <v>無關新聞事件</v>
      </c>
      <c r="U272" s="9">
        <f>IF(R272="維持",K272,IF(R272="排除",0,IFERROR(INDEX(事件規則!$C$2:$C$53,MATCH(S272,事件規則!$A$2:$A$53,0)),"")))</f>
        <v>0</v>
      </c>
      <c r="V272" s="19"/>
      <c r="W272" s="20"/>
      <c r="X272" s="10" t="str">
        <f t="shared" si="4"/>
        <v/>
      </c>
      <c r="Y272" s="19"/>
      <c r="Z272" s="20"/>
      <c r="AA272" s="12" t="s">
        <v>1273</v>
      </c>
      <c r="AB272" s="23"/>
    </row>
    <row r="273" spans="1:28" ht="25.5">
      <c r="A273" s="15">
        <v>272</v>
      </c>
      <c r="B273" s="9" t="s">
        <v>1274</v>
      </c>
      <c r="C273" s="9" t="s">
        <v>1238</v>
      </c>
      <c r="D273" s="10" t="s">
        <v>1239</v>
      </c>
      <c r="E273" s="21" t="s">
        <v>1275</v>
      </c>
      <c r="F273" s="22"/>
      <c r="G273" s="12" t="s">
        <v>983</v>
      </c>
      <c r="H273" s="13">
        <v>-0.95699999999999996</v>
      </c>
      <c r="I273" s="14" t="s">
        <v>906</v>
      </c>
      <c r="J273" s="22" t="s">
        <v>907</v>
      </c>
      <c r="K273" s="9">
        <v>3</v>
      </c>
      <c r="L273" s="15"/>
      <c r="M273" s="16" t="s">
        <v>54</v>
      </c>
      <c r="N273" s="14"/>
      <c r="O273" s="15" t="s">
        <v>55</v>
      </c>
      <c r="P273" s="10" t="s">
        <v>1265</v>
      </c>
      <c r="Q273" s="15"/>
      <c r="R273" s="17" t="s">
        <v>54</v>
      </c>
      <c r="S273" s="18"/>
      <c r="T273" s="22" t="str">
        <f>IF(R273="維持",J273,IF(R273="排除","無關新聞事件",IFERROR(INDEX(事件規則!$B$2:$B$53,MATCH(S273,事件規則!$A$2:$A$53,0)),"")))</f>
        <v>裁員或人力縮減</v>
      </c>
      <c r="U273" s="9">
        <f>IF(R273="維持",K273,IF(R273="排除",0,IFERROR(INDEX(事件規則!$C$2:$C$53,MATCH(S273,事件規則!$A$2:$A$53,0)),"")))</f>
        <v>3</v>
      </c>
      <c r="V273" s="19"/>
      <c r="W273" s="20"/>
      <c r="X273" s="10" t="str">
        <f t="shared" si="4"/>
        <v/>
      </c>
      <c r="Y273" s="19"/>
      <c r="Z273" s="20"/>
      <c r="AA273" s="12" t="s">
        <v>1276</v>
      </c>
      <c r="AB273" s="23"/>
    </row>
    <row r="274" spans="1:28" ht="25.5">
      <c r="A274" s="15">
        <v>273</v>
      </c>
      <c r="B274" s="9" t="s">
        <v>1274</v>
      </c>
      <c r="C274" s="9" t="s">
        <v>1238</v>
      </c>
      <c r="D274" s="10" t="s">
        <v>1239</v>
      </c>
      <c r="E274" s="21" t="s">
        <v>1277</v>
      </c>
      <c r="F274" s="22"/>
      <c r="G274" s="12" t="s">
        <v>1278</v>
      </c>
      <c r="H274" s="13">
        <v>-0.95399999999999996</v>
      </c>
      <c r="I274" s="14" t="s">
        <v>906</v>
      </c>
      <c r="J274" s="22" t="s">
        <v>907</v>
      </c>
      <c r="K274" s="9">
        <v>3</v>
      </c>
      <c r="L274" s="15"/>
      <c r="M274" s="16" t="s">
        <v>54</v>
      </c>
      <c r="N274" s="14"/>
      <c r="O274" s="15" t="s">
        <v>55</v>
      </c>
      <c r="P274" s="10" t="s">
        <v>1265</v>
      </c>
      <c r="Q274" s="15"/>
      <c r="R274" s="17" t="s">
        <v>54</v>
      </c>
      <c r="S274" s="18"/>
      <c r="T274" s="22" t="str">
        <f>IF(R274="維持",J274,IF(R274="排除","無關新聞事件",IFERROR(INDEX(事件規則!$B$2:$B$53,MATCH(S274,事件規則!$A$2:$A$53,0)),"")))</f>
        <v>裁員或人力縮減</v>
      </c>
      <c r="U274" s="9">
        <f>IF(R274="維持",K274,IF(R274="排除",0,IFERROR(INDEX(事件規則!$C$2:$C$53,MATCH(S274,事件規則!$A$2:$A$53,0)),"")))</f>
        <v>3</v>
      </c>
      <c r="V274" s="19"/>
      <c r="W274" s="20"/>
      <c r="X274" s="10" t="str">
        <f t="shared" si="4"/>
        <v/>
      </c>
      <c r="Y274" s="19"/>
      <c r="Z274" s="20"/>
      <c r="AA274" s="12" t="s">
        <v>1279</v>
      </c>
      <c r="AB274" s="23"/>
    </row>
    <row r="275" spans="1:28" ht="25.5">
      <c r="A275" s="15">
        <v>274</v>
      </c>
      <c r="B275" s="9" t="s">
        <v>1280</v>
      </c>
      <c r="C275" s="9" t="s">
        <v>150</v>
      </c>
      <c r="D275" s="10" t="s">
        <v>151</v>
      </c>
      <c r="E275" s="21" t="s">
        <v>1281</v>
      </c>
      <c r="F275" s="22"/>
      <c r="G275" s="12" t="s">
        <v>1282</v>
      </c>
      <c r="H275" s="13">
        <v>-0.88700000000000001</v>
      </c>
      <c r="I275" s="14" t="s">
        <v>906</v>
      </c>
      <c r="J275" s="22" t="s">
        <v>907</v>
      </c>
      <c r="K275" s="9">
        <v>3</v>
      </c>
      <c r="L275" s="15"/>
      <c r="M275" s="16" t="s">
        <v>74</v>
      </c>
      <c r="N275" s="14"/>
      <c r="O275" s="15" t="s">
        <v>65</v>
      </c>
      <c r="P275" s="22" t="s">
        <v>1150</v>
      </c>
      <c r="Q275" s="15"/>
      <c r="R275" s="17" t="s">
        <v>74</v>
      </c>
      <c r="S275" s="18"/>
      <c r="T275" s="22" t="str">
        <f>IF(R275="維持",J275,IF(R275="排除","無關新聞事件",IFERROR(INDEX(事件規則!$B$2:$B$53,MATCH(S275,事件規則!$A$2:$A$53,0)),"")))</f>
        <v>無關新聞事件</v>
      </c>
      <c r="U275" s="9">
        <f>IF(R275="維持",K275,IF(R275="排除",0,IFERROR(INDEX(事件規則!$C$2:$C$53,MATCH(S275,事件規則!$A$2:$A$53,0)),"")))</f>
        <v>0</v>
      </c>
      <c r="V275" s="19"/>
      <c r="W275" s="20"/>
      <c r="X275" s="10" t="str">
        <f t="shared" si="4"/>
        <v/>
      </c>
      <c r="Y275" s="19"/>
      <c r="Z275" s="20"/>
      <c r="AA275" s="12" t="s">
        <v>1283</v>
      </c>
      <c r="AB275" s="23"/>
    </row>
    <row r="276" spans="1:28" ht="25.5">
      <c r="A276" s="15">
        <v>275</v>
      </c>
      <c r="B276" s="9" t="s">
        <v>1280</v>
      </c>
      <c r="C276" s="9" t="s">
        <v>1243</v>
      </c>
      <c r="D276" s="10" t="s">
        <v>1244</v>
      </c>
      <c r="E276" s="21" t="s">
        <v>1284</v>
      </c>
      <c r="F276" s="22"/>
      <c r="G276" s="12" t="s">
        <v>1285</v>
      </c>
      <c r="H276" s="13">
        <v>-0.26600000000000001</v>
      </c>
      <c r="I276" s="14" t="s">
        <v>906</v>
      </c>
      <c r="J276" s="22" t="s">
        <v>907</v>
      </c>
      <c r="K276" s="9">
        <v>3</v>
      </c>
      <c r="L276" s="15"/>
      <c r="M276" s="16" t="s">
        <v>54</v>
      </c>
      <c r="N276" s="14"/>
      <c r="O276" s="15" t="s">
        <v>55</v>
      </c>
      <c r="P276" s="10" t="s">
        <v>1248</v>
      </c>
      <c r="Q276" s="15"/>
      <c r="R276" s="17" t="s">
        <v>54</v>
      </c>
      <c r="S276" s="18"/>
      <c r="T276" s="22" t="str">
        <f>IF(R276="維持",J276,IF(R276="排除","無關新聞事件",IFERROR(INDEX(事件規則!$B$2:$B$53,MATCH(S276,事件規則!$A$2:$A$53,0)),"")))</f>
        <v>裁員或人力縮減</v>
      </c>
      <c r="U276" s="9">
        <f>IF(R276="維持",K276,IF(R276="排除",0,IFERROR(INDEX(事件規則!$C$2:$C$53,MATCH(S276,事件規則!$A$2:$A$53,0)),"")))</f>
        <v>3</v>
      </c>
      <c r="V276" s="19"/>
      <c r="W276" s="20"/>
      <c r="X276" s="10" t="str">
        <f t="shared" si="4"/>
        <v/>
      </c>
      <c r="Y276" s="19"/>
      <c r="Z276" s="20"/>
      <c r="AA276" s="12" t="s">
        <v>1286</v>
      </c>
      <c r="AB276" s="23"/>
    </row>
    <row r="277" spans="1:28" ht="25.5">
      <c r="A277" s="15">
        <v>276</v>
      </c>
      <c r="B277" s="9" t="s">
        <v>232</v>
      </c>
      <c r="C277" s="9" t="s">
        <v>150</v>
      </c>
      <c r="D277" s="10" t="s">
        <v>151</v>
      </c>
      <c r="E277" s="21" t="s">
        <v>1287</v>
      </c>
      <c r="F277" s="22"/>
      <c r="G277" s="12" t="s">
        <v>331</v>
      </c>
      <c r="H277" s="13">
        <v>-0.95699999999999996</v>
      </c>
      <c r="I277" s="14" t="s">
        <v>906</v>
      </c>
      <c r="J277" s="22" t="s">
        <v>907</v>
      </c>
      <c r="K277" s="9">
        <v>3</v>
      </c>
      <c r="L277" s="15"/>
      <c r="M277" s="16" t="s">
        <v>54</v>
      </c>
      <c r="N277" s="14"/>
      <c r="O277" s="15" t="s">
        <v>65</v>
      </c>
      <c r="P277" s="10" t="s">
        <v>1288</v>
      </c>
      <c r="Q277" s="15"/>
      <c r="R277" s="17" t="s">
        <v>54</v>
      </c>
      <c r="S277" s="18"/>
      <c r="T277" s="22" t="str">
        <f>IF(R277="維持",J277,IF(R277="排除","無關新聞事件",IFERROR(INDEX(事件規則!$B$2:$B$53,MATCH(S277,事件規則!$A$2:$A$53,0)),"")))</f>
        <v>裁員或人力縮減</v>
      </c>
      <c r="U277" s="9">
        <f>IF(R277="維持",K277,IF(R277="排除",0,IFERROR(INDEX(事件規則!$C$2:$C$53,MATCH(S277,事件規則!$A$2:$A$53,0)),"")))</f>
        <v>3</v>
      </c>
      <c r="V277" s="19"/>
      <c r="W277" s="20"/>
      <c r="X277" s="10" t="str">
        <f t="shared" si="4"/>
        <v/>
      </c>
      <c r="Y277" s="19"/>
      <c r="Z277" s="20"/>
      <c r="AA277" s="12" t="s">
        <v>1289</v>
      </c>
      <c r="AB277" s="23"/>
    </row>
    <row r="278" spans="1:28" ht="25.5">
      <c r="A278" s="15">
        <v>277</v>
      </c>
      <c r="B278" s="9" t="s">
        <v>232</v>
      </c>
      <c r="C278" s="9" t="s">
        <v>150</v>
      </c>
      <c r="D278" s="10" t="s">
        <v>151</v>
      </c>
      <c r="E278" s="21" t="s">
        <v>1290</v>
      </c>
      <c r="F278" s="22"/>
      <c r="G278" s="12" t="s">
        <v>1291</v>
      </c>
      <c r="H278" s="13">
        <v>-0.13600000000000001</v>
      </c>
      <c r="I278" s="14" t="s">
        <v>906</v>
      </c>
      <c r="J278" s="22" t="s">
        <v>907</v>
      </c>
      <c r="K278" s="9">
        <v>3</v>
      </c>
      <c r="L278" s="15"/>
      <c r="M278" s="16" t="s">
        <v>74</v>
      </c>
      <c r="N278" s="14"/>
      <c r="O278" s="15" t="s">
        <v>65</v>
      </c>
      <c r="P278" s="22" t="s">
        <v>1150</v>
      </c>
      <c r="Q278" s="15"/>
      <c r="R278" s="17" t="s">
        <v>74</v>
      </c>
      <c r="S278" s="18"/>
      <c r="T278" s="22" t="str">
        <f>IF(R278="維持",J278,IF(R278="排除","無關新聞事件",IFERROR(INDEX(事件規則!$B$2:$B$53,MATCH(S278,事件規則!$A$2:$A$53,0)),"")))</f>
        <v>無關新聞事件</v>
      </c>
      <c r="U278" s="9">
        <f>IF(R278="維持",K278,IF(R278="排除",0,IFERROR(INDEX(事件規則!$C$2:$C$53,MATCH(S278,事件規則!$A$2:$A$53,0)),"")))</f>
        <v>0</v>
      </c>
      <c r="V278" s="19"/>
      <c r="W278" s="20"/>
      <c r="X278" s="10" t="str">
        <f t="shared" si="4"/>
        <v/>
      </c>
      <c r="Y278" s="19"/>
      <c r="Z278" s="20"/>
      <c r="AA278" s="12" t="s">
        <v>1292</v>
      </c>
      <c r="AB278" s="23"/>
    </row>
    <row r="279" spans="1:28" ht="25.5">
      <c r="A279" s="15">
        <v>278</v>
      </c>
      <c r="B279" s="9" t="s">
        <v>232</v>
      </c>
      <c r="C279" s="9" t="s">
        <v>1238</v>
      </c>
      <c r="D279" s="10" t="s">
        <v>1239</v>
      </c>
      <c r="E279" s="21" t="s">
        <v>1293</v>
      </c>
      <c r="F279" s="22"/>
      <c r="G279" s="12" t="s">
        <v>1285</v>
      </c>
      <c r="H279" s="13">
        <v>-5.6000000000000001E-2</v>
      </c>
      <c r="I279" s="14" t="s">
        <v>906</v>
      </c>
      <c r="J279" s="22" t="s">
        <v>907</v>
      </c>
      <c r="K279" s="9">
        <v>3</v>
      </c>
      <c r="L279" s="15"/>
      <c r="M279" s="16" t="s">
        <v>54</v>
      </c>
      <c r="N279" s="14"/>
      <c r="O279" s="15" t="s">
        <v>65</v>
      </c>
      <c r="P279" s="10" t="s">
        <v>1294</v>
      </c>
      <c r="Q279" s="15"/>
      <c r="R279" s="17" t="s">
        <v>54</v>
      </c>
      <c r="S279" s="18"/>
      <c r="T279" s="22" t="str">
        <f>IF(R279="維持",J279,IF(R279="排除","無關新聞事件",IFERROR(INDEX(事件規則!$B$2:$B$53,MATCH(S279,事件規則!$A$2:$A$53,0)),"")))</f>
        <v>裁員或人力縮減</v>
      </c>
      <c r="U279" s="9">
        <f>IF(R279="維持",K279,IF(R279="排除",0,IFERROR(INDEX(事件規則!$C$2:$C$53,MATCH(S279,事件規則!$A$2:$A$53,0)),"")))</f>
        <v>3</v>
      </c>
      <c r="V279" s="19"/>
      <c r="W279" s="20"/>
      <c r="X279" s="10" t="str">
        <f t="shared" si="4"/>
        <v/>
      </c>
      <c r="Y279" s="19"/>
      <c r="Z279" s="20"/>
      <c r="AA279" s="12" t="s">
        <v>1295</v>
      </c>
      <c r="AB279" s="23"/>
    </row>
    <row r="280" spans="1:28" ht="38.25">
      <c r="A280" s="15">
        <v>279</v>
      </c>
      <c r="B280" s="9" t="s">
        <v>232</v>
      </c>
      <c r="C280" s="9" t="s">
        <v>196</v>
      </c>
      <c r="D280" s="10" t="s">
        <v>197</v>
      </c>
      <c r="E280" s="21" t="s">
        <v>1296</v>
      </c>
      <c r="F280" s="22"/>
      <c r="G280" s="23" t="s">
        <v>1297</v>
      </c>
      <c r="H280" s="13">
        <v>-2.9000000000000001E-2</v>
      </c>
      <c r="I280" s="14" t="s">
        <v>906</v>
      </c>
      <c r="J280" s="22" t="s">
        <v>907</v>
      </c>
      <c r="K280" s="9">
        <v>3</v>
      </c>
      <c r="L280" s="15"/>
      <c r="M280" s="16" t="s">
        <v>74</v>
      </c>
      <c r="N280" s="14"/>
      <c r="O280" s="15" t="s">
        <v>65</v>
      </c>
      <c r="P280" s="22" t="s">
        <v>1150</v>
      </c>
      <c r="Q280" s="15"/>
      <c r="R280" s="17" t="s">
        <v>74</v>
      </c>
      <c r="S280" s="18"/>
      <c r="T280" s="22" t="str">
        <f>IF(R280="維持",J280,IF(R280="排除","無關新聞事件",IFERROR(INDEX(事件規則!$B$2:$B$53,MATCH(S280,事件規則!$A$2:$A$53,0)),"")))</f>
        <v>無關新聞事件</v>
      </c>
      <c r="U280" s="9">
        <f>IF(R280="維持",K280,IF(R280="排除",0,IFERROR(INDEX(事件規則!$C$2:$C$53,MATCH(S280,事件規則!$A$2:$A$53,0)),"")))</f>
        <v>0</v>
      </c>
      <c r="V280" s="19"/>
      <c r="W280" s="20"/>
      <c r="X280" s="10" t="str">
        <f t="shared" si="4"/>
        <v/>
      </c>
      <c r="Y280" s="19"/>
      <c r="Z280" s="20"/>
      <c r="AA280" s="12" t="s">
        <v>1298</v>
      </c>
      <c r="AB280" s="23"/>
    </row>
    <row r="281" spans="1:28" ht="25.5">
      <c r="A281" s="15">
        <v>280</v>
      </c>
      <c r="B281" s="9" t="s">
        <v>118</v>
      </c>
      <c r="C281" s="9" t="s">
        <v>834</v>
      </c>
      <c r="D281" s="10" t="s">
        <v>835</v>
      </c>
      <c r="E281" s="21" t="s">
        <v>1299</v>
      </c>
      <c r="F281" s="22"/>
      <c r="G281" s="12" t="s">
        <v>1300</v>
      </c>
      <c r="H281" s="13">
        <v>-0.95099999999999996</v>
      </c>
      <c r="I281" s="14" t="s">
        <v>906</v>
      </c>
      <c r="J281" s="22" t="s">
        <v>907</v>
      </c>
      <c r="K281" s="9">
        <v>3</v>
      </c>
      <c r="L281" s="15"/>
      <c r="M281" s="16" t="s">
        <v>54</v>
      </c>
      <c r="N281" s="14"/>
      <c r="O281" s="15" t="s">
        <v>55</v>
      </c>
      <c r="P281" s="10" t="s">
        <v>1301</v>
      </c>
      <c r="Q281" s="15"/>
      <c r="R281" s="17" t="s">
        <v>54</v>
      </c>
      <c r="S281" s="18"/>
      <c r="T281" s="22" t="str">
        <f>IF(R281="維持",J281,IF(R281="排除","無關新聞事件",IFERROR(INDEX(事件規則!$B$2:$B$53,MATCH(S281,事件規則!$A$2:$A$53,0)),"")))</f>
        <v>裁員或人力縮減</v>
      </c>
      <c r="U281" s="9">
        <f>IF(R281="維持",K281,IF(R281="排除",0,IFERROR(INDEX(事件規則!$C$2:$C$53,MATCH(S281,事件規則!$A$2:$A$53,0)),"")))</f>
        <v>3</v>
      </c>
      <c r="V281" s="19"/>
      <c r="W281" s="20"/>
      <c r="X281" s="10" t="str">
        <f t="shared" si="4"/>
        <v/>
      </c>
      <c r="Y281" s="19"/>
      <c r="Z281" s="20"/>
      <c r="AA281" s="12" t="s">
        <v>1302</v>
      </c>
      <c r="AB281" s="23"/>
    </row>
    <row r="282" spans="1:28" ht="38.25">
      <c r="A282" s="15">
        <v>281</v>
      </c>
      <c r="B282" s="9" t="s">
        <v>125</v>
      </c>
      <c r="C282" s="9" t="s">
        <v>987</v>
      </c>
      <c r="D282" s="10" t="s">
        <v>988</v>
      </c>
      <c r="E282" s="21" t="s">
        <v>1303</v>
      </c>
      <c r="F282" s="22"/>
      <c r="G282" s="12" t="s">
        <v>1272</v>
      </c>
      <c r="H282" s="13">
        <v>-0.01</v>
      </c>
      <c r="I282" s="14" t="s">
        <v>906</v>
      </c>
      <c r="J282" s="22" t="s">
        <v>907</v>
      </c>
      <c r="K282" s="9">
        <v>3</v>
      </c>
      <c r="L282" s="15"/>
      <c r="M282" s="16" t="s">
        <v>74</v>
      </c>
      <c r="N282" s="14"/>
      <c r="O282" s="15" t="s">
        <v>65</v>
      </c>
      <c r="P282" s="22" t="s">
        <v>1150</v>
      </c>
      <c r="Q282" s="15"/>
      <c r="R282" s="17" t="s">
        <v>74</v>
      </c>
      <c r="S282" s="18"/>
      <c r="T282" s="22" t="str">
        <f>IF(R282="維持",J282,IF(R282="排除","無關新聞事件",IFERROR(INDEX(事件規則!$B$2:$B$53,MATCH(S282,事件規則!$A$2:$A$53,0)),"")))</f>
        <v>無關新聞事件</v>
      </c>
      <c r="U282" s="9">
        <f>IF(R282="維持",K282,IF(R282="排除",0,IFERROR(INDEX(事件規則!$C$2:$C$53,MATCH(S282,事件規則!$A$2:$A$53,0)),"")))</f>
        <v>0</v>
      </c>
      <c r="V282" s="19"/>
      <c r="W282" s="20"/>
      <c r="X282" s="10" t="str">
        <f t="shared" si="4"/>
        <v/>
      </c>
      <c r="Y282" s="19"/>
      <c r="Z282" s="20"/>
      <c r="AA282" s="12" t="s">
        <v>1304</v>
      </c>
      <c r="AB282" s="23"/>
    </row>
    <row r="283" spans="1:28" ht="25.5">
      <c r="A283" s="15">
        <v>282</v>
      </c>
      <c r="B283" s="9" t="s">
        <v>125</v>
      </c>
      <c r="C283" s="9" t="s">
        <v>1305</v>
      </c>
      <c r="D283" s="10" t="s">
        <v>1306</v>
      </c>
      <c r="E283" s="21" t="s">
        <v>1307</v>
      </c>
      <c r="F283" s="22"/>
      <c r="G283" s="12" t="s">
        <v>1026</v>
      </c>
      <c r="H283" s="13">
        <v>-2.9000000000000001E-2</v>
      </c>
      <c r="I283" s="14" t="s">
        <v>906</v>
      </c>
      <c r="J283" s="22" t="s">
        <v>907</v>
      </c>
      <c r="K283" s="9">
        <v>3</v>
      </c>
      <c r="L283" s="15"/>
      <c r="M283" s="16" t="s">
        <v>74</v>
      </c>
      <c r="N283" s="14"/>
      <c r="O283" s="15" t="s">
        <v>65</v>
      </c>
      <c r="P283" s="22" t="s">
        <v>1150</v>
      </c>
      <c r="Q283" s="15"/>
      <c r="R283" s="17" t="s">
        <v>74</v>
      </c>
      <c r="S283" s="18"/>
      <c r="T283" s="22" t="str">
        <f>IF(R283="維持",J283,IF(R283="排除","無關新聞事件",IFERROR(INDEX(事件規則!$B$2:$B$53,MATCH(S283,事件規則!$A$2:$A$53,0)),"")))</f>
        <v>無關新聞事件</v>
      </c>
      <c r="U283" s="9">
        <f>IF(R283="維持",K283,IF(R283="排除",0,IFERROR(INDEX(事件規則!$C$2:$C$53,MATCH(S283,事件規則!$A$2:$A$53,0)),"")))</f>
        <v>0</v>
      </c>
      <c r="V283" s="19"/>
      <c r="W283" s="20"/>
      <c r="X283" s="10" t="str">
        <f t="shared" si="4"/>
        <v/>
      </c>
      <c r="Y283" s="19"/>
      <c r="Z283" s="20"/>
      <c r="AA283" s="12" t="s">
        <v>1308</v>
      </c>
      <c r="AB283" s="23"/>
    </row>
    <row r="284" spans="1:28" ht="25.5">
      <c r="A284" s="15">
        <v>283</v>
      </c>
      <c r="B284" s="9" t="s">
        <v>125</v>
      </c>
      <c r="C284" s="9" t="s">
        <v>150</v>
      </c>
      <c r="D284" s="10" t="s">
        <v>151</v>
      </c>
      <c r="E284" s="21" t="s">
        <v>1309</v>
      </c>
      <c r="F284" s="22"/>
      <c r="G284" s="12" t="s">
        <v>1272</v>
      </c>
      <c r="H284" s="13">
        <v>-0.875</v>
      </c>
      <c r="I284" s="14" t="s">
        <v>906</v>
      </c>
      <c r="J284" s="22" t="s">
        <v>907</v>
      </c>
      <c r="K284" s="9">
        <v>3</v>
      </c>
      <c r="L284" s="15"/>
      <c r="M284" s="16" t="s">
        <v>54</v>
      </c>
      <c r="N284" s="14"/>
      <c r="O284" s="15" t="s">
        <v>65</v>
      </c>
      <c r="P284" s="10" t="s">
        <v>1288</v>
      </c>
      <c r="Q284" s="15"/>
      <c r="R284" s="17" t="s">
        <v>54</v>
      </c>
      <c r="S284" s="18"/>
      <c r="T284" s="22" t="str">
        <f>IF(R284="維持",J284,IF(R284="排除","無關新聞事件",IFERROR(INDEX(事件規則!$B$2:$B$53,MATCH(S284,事件規則!$A$2:$A$53,0)),"")))</f>
        <v>裁員或人力縮減</v>
      </c>
      <c r="U284" s="9">
        <f>IF(R284="維持",K284,IF(R284="排除",0,IFERROR(INDEX(事件規則!$C$2:$C$53,MATCH(S284,事件規則!$A$2:$A$53,0)),"")))</f>
        <v>3</v>
      </c>
      <c r="V284" s="19"/>
      <c r="W284" s="20"/>
      <c r="X284" s="10" t="str">
        <f t="shared" si="4"/>
        <v/>
      </c>
      <c r="Y284" s="19"/>
      <c r="Z284" s="20"/>
      <c r="AA284" s="12" t="s">
        <v>1310</v>
      </c>
      <c r="AB284" s="23"/>
    </row>
    <row r="285" spans="1:28" ht="25.5">
      <c r="A285" s="15">
        <v>284</v>
      </c>
      <c r="B285" s="9" t="s">
        <v>134</v>
      </c>
      <c r="C285" s="9" t="s">
        <v>150</v>
      </c>
      <c r="D285" s="10" t="s">
        <v>151</v>
      </c>
      <c r="E285" s="21" t="s">
        <v>1311</v>
      </c>
      <c r="F285" s="22"/>
      <c r="G285" s="12" t="s">
        <v>1312</v>
      </c>
      <c r="H285" s="13">
        <v>-0.91900000000000004</v>
      </c>
      <c r="I285" s="14" t="s">
        <v>906</v>
      </c>
      <c r="J285" s="22" t="s">
        <v>907</v>
      </c>
      <c r="K285" s="9">
        <v>3</v>
      </c>
      <c r="L285" s="15"/>
      <c r="M285" s="16" t="s">
        <v>54</v>
      </c>
      <c r="N285" s="14"/>
      <c r="O285" s="15" t="s">
        <v>65</v>
      </c>
      <c r="P285" s="10" t="s">
        <v>1288</v>
      </c>
      <c r="Q285" s="15"/>
      <c r="R285" s="17" t="s">
        <v>54</v>
      </c>
      <c r="S285" s="18"/>
      <c r="T285" s="22" t="str">
        <f>IF(R285="維持",J285,IF(R285="排除","無關新聞事件",IFERROR(INDEX(事件規則!$B$2:$B$53,MATCH(S285,事件規則!$A$2:$A$53,0)),"")))</f>
        <v>裁員或人力縮減</v>
      </c>
      <c r="U285" s="9">
        <f>IF(R285="維持",K285,IF(R285="排除",0,IFERROR(INDEX(事件規則!$C$2:$C$53,MATCH(S285,事件規則!$A$2:$A$53,0)),"")))</f>
        <v>3</v>
      </c>
      <c r="V285" s="19"/>
      <c r="W285" s="20"/>
      <c r="X285" s="10" t="str">
        <f t="shared" si="4"/>
        <v/>
      </c>
      <c r="Y285" s="19"/>
      <c r="Z285" s="20"/>
      <c r="AA285" s="12" t="s">
        <v>1313</v>
      </c>
      <c r="AB285" s="23"/>
    </row>
    <row r="286" spans="1:28" ht="76.5">
      <c r="A286" s="15">
        <v>285</v>
      </c>
      <c r="B286" s="9" t="s">
        <v>134</v>
      </c>
      <c r="C286" s="9" t="s">
        <v>150</v>
      </c>
      <c r="D286" s="10" t="s">
        <v>151</v>
      </c>
      <c r="E286" s="21" t="s">
        <v>1314</v>
      </c>
      <c r="F286" s="22"/>
      <c r="G286" s="12" t="s">
        <v>299</v>
      </c>
      <c r="H286" s="13">
        <v>-0.88400000000000001</v>
      </c>
      <c r="I286" s="14" t="s">
        <v>906</v>
      </c>
      <c r="J286" s="22" t="s">
        <v>907</v>
      </c>
      <c r="K286" s="9">
        <v>3</v>
      </c>
      <c r="L286" s="15"/>
      <c r="M286" s="16" t="s">
        <v>54</v>
      </c>
      <c r="N286" s="14"/>
      <c r="O286" s="15" t="s">
        <v>65</v>
      </c>
      <c r="P286" s="10" t="s">
        <v>1288</v>
      </c>
      <c r="Q286" s="15"/>
      <c r="R286" s="17" t="s">
        <v>54</v>
      </c>
      <c r="S286" s="18"/>
      <c r="T286" s="22" t="str">
        <f>IF(R286="維持",J286,IF(R286="排除","無關新聞事件",IFERROR(INDEX(事件規則!$B$2:$B$53,MATCH(S286,事件規則!$A$2:$A$53,0)),"")))</f>
        <v>裁員或人力縮減</v>
      </c>
      <c r="U286" s="9">
        <f>IF(R286="維持",K286,IF(R286="排除",0,IFERROR(INDEX(事件規則!$C$2:$C$53,MATCH(S286,事件規則!$A$2:$A$53,0)),"")))</f>
        <v>3</v>
      </c>
      <c r="V286" s="19"/>
      <c r="W286" s="20"/>
      <c r="X286" s="10" t="str">
        <f t="shared" si="4"/>
        <v/>
      </c>
      <c r="Y286" s="19"/>
      <c r="Z286" s="20"/>
      <c r="AA286" s="12" t="s">
        <v>1315</v>
      </c>
      <c r="AB286" s="23"/>
    </row>
    <row r="287" spans="1:28" ht="25.5">
      <c r="A287" s="15">
        <v>286</v>
      </c>
      <c r="B287" s="9" t="s">
        <v>134</v>
      </c>
      <c r="C287" s="9" t="s">
        <v>150</v>
      </c>
      <c r="D287" s="10" t="s">
        <v>151</v>
      </c>
      <c r="E287" s="21" t="s">
        <v>1316</v>
      </c>
      <c r="F287" s="22"/>
      <c r="G287" s="12" t="s">
        <v>338</v>
      </c>
      <c r="H287" s="13">
        <v>-0.46100000000000002</v>
      </c>
      <c r="I287" s="14" t="s">
        <v>906</v>
      </c>
      <c r="J287" s="22" t="s">
        <v>907</v>
      </c>
      <c r="K287" s="9">
        <v>3</v>
      </c>
      <c r="L287" s="15"/>
      <c r="M287" s="16" t="s">
        <v>54</v>
      </c>
      <c r="N287" s="14"/>
      <c r="O287" s="15" t="s">
        <v>65</v>
      </c>
      <c r="P287" s="10" t="s">
        <v>1288</v>
      </c>
      <c r="Q287" s="15"/>
      <c r="R287" s="17" t="s">
        <v>54</v>
      </c>
      <c r="S287" s="18"/>
      <c r="T287" s="22" t="str">
        <f>IF(R287="維持",J287,IF(R287="排除","無關新聞事件",IFERROR(INDEX(事件規則!$B$2:$B$53,MATCH(S287,事件規則!$A$2:$A$53,0)),"")))</f>
        <v>裁員或人力縮減</v>
      </c>
      <c r="U287" s="9">
        <f>IF(R287="維持",K287,IF(R287="排除",0,IFERROR(INDEX(事件規則!$C$2:$C$53,MATCH(S287,事件規則!$A$2:$A$53,0)),"")))</f>
        <v>3</v>
      </c>
      <c r="V287" s="19"/>
      <c r="W287" s="20"/>
      <c r="X287" s="10" t="str">
        <f t="shared" si="4"/>
        <v/>
      </c>
      <c r="Y287" s="19"/>
      <c r="Z287" s="20"/>
      <c r="AA287" s="12" t="s">
        <v>1317</v>
      </c>
      <c r="AB287" s="23"/>
    </row>
    <row r="288" spans="1:28" ht="25.5">
      <c r="A288" s="15">
        <v>287</v>
      </c>
      <c r="B288" s="9" t="s">
        <v>603</v>
      </c>
      <c r="C288" s="9" t="s">
        <v>263</v>
      </c>
      <c r="D288" s="10" t="s">
        <v>264</v>
      </c>
      <c r="E288" s="21" t="s">
        <v>1318</v>
      </c>
      <c r="F288" s="22"/>
      <c r="G288" s="12" t="s">
        <v>1319</v>
      </c>
      <c r="H288" s="13">
        <v>-0.81599999999999995</v>
      </c>
      <c r="I288" s="14" t="s">
        <v>906</v>
      </c>
      <c r="J288" s="22" t="s">
        <v>907</v>
      </c>
      <c r="K288" s="9">
        <v>3</v>
      </c>
      <c r="L288" s="15"/>
      <c r="M288" s="16" t="s">
        <v>54</v>
      </c>
      <c r="N288" s="14"/>
      <c r="O288" s="15" t="s">
        <v>211</v>
      </c>
      <c r="P288" s="22" t="s">
        <v>1320</v>
      </c>
      <c r="Q288" s="15"/>
      <c r="R288" s="17" t="s">
        <v>54</v>
      </c>
      <c r="S288" s="18"/>
      <c r="T288" s="22" t="str">
        <f>IF(R288="維持",J288,IF(R288="排除","無關新聞事件",IFERROR(INDEX(事件規則!$B$2:$B$53,MATCH(S288,事件規則!$A$2:$A$53,0)),"")))</f>
        <v>裁員或人力縮減</v>
      </c>
      <c r="U288" s="9">
        <f>IF(R288="維持",K288,IF(R288="排除",0,IFERROR(INDEX(事件規則!$C$2:$C$53,MATCH(S288,事件規則!$A$2:$A$53,0)),"")))</f>
        <v>3</v>
      </c>
      <c r="V288" s="19"/>
      <c r="W288" s="20"/>
      <c r="X288" s="10" t="str">
        <f t="shared" si="4"/>
        <v/>
      </c>
      <c r="Y288" s="19"/>
      <c r="Z288" s="20"/>
      <c r="AA288" s="12" t="s">
        <v>1321</v>
      </c>
      <c r="AB288" s="23"/>
    </row>
    <row r="289" spans="1:28" ht="25.5">
      <c r="A289" s="15">
        <v>288</v>
      </c>
      <c r="B289" s="9" t="s">
        <v>603</v>
      </c>
      <c r="C289" s="9" t="s">
        <v>631</v>
      </c>
      <c r="D289" s="10" t="s">
        <v>632</v>
      </c>
      <c r="E289" s="21" t="s">
        <v>1322</v>
      </c>
      <c r="F289" s="22"/>
      <c r="G289" s="12" t="s">
        <v>1323</v>
      </c>
      <c r="H289" s="13">
        <v>-0.95399999999999996</v>
      </c>
      <c r="I289" s="14" t="s">
        <v>906</v>
      </c>
      <c r="J289" s="22" t="s">
        <v>907</v>
      </c>
      <c r="K289" s="9">
        <v>3</v>
      </c>
      <c r="L289" s="15"/>
      <c r="M289" s="16" t="s">
        <v>54</v>
      </c>
      <c r="N289" s="14"/>
      <c r="O289" s="15" t="s">
        <v>65</v>
      </c>
      <c r="P289" s="10" t="s">
        <v>1190</v>
      </c>
      <c r="Q289" s="15"/>
      <c r="R289" s="17" t="s">
        <v>54</v>
      </c>
      <c r="S289" s="18"/>
      <c r="T289" s="22" t="str">
        <f>IF(R289="維持",J289,IF(R289="排除","無關新聞事件",IFERROR(INDEX(事件規則!$B$2:$B$53,MATCH(S289,事件規則!$A$2:$A$53,0)),"")))</f>
        <v>裁員或人力縮減</v>
      </c>
      <c r="U289" s="9">
        <f>IF(R289="維持",K289,IF(R289="排除",0,IFERROR(INDEX(事件規則!$C$2:$C$53,MATCH(S289,事件規則!$A$2:$A$53,0)),"")))</f>
        <v>3</v>
      </c>
      <c r="V289" s="19"/>
      <c r="W289" s="20"/>
      <c r="X289" s="10" t="str">
        <f t="shared" si="4"/>
        <v/>
      </c>
      <c r="Y289" s="19"/>
      <c r="Z289" s="20"/>
      <c r="AA289" s="12" t="s">
        <v>1324</v>
      </c>
      <c r="AB289" s="23"/>
    </row>
    <row r="290" spans="1:28" ht="25.5">
      <c r="A290" s="15">
        <v>289</v>
      </c>
      <c r="B290" s="9" t="s">
        <v>414</v>
      </c>
      <c r="C290" s="9" t="s">
        <v>139</v>
      </c>
      <c r="D290" s="10" t="s">
        <v>140</v>
      </c>
      <c r="E290" s="21" t="s">
        <v>1325</v>
      </c>
      <c r="F290" s="22"/>
      <c r="G290" s="12" t="s">
        <v>1326</v>
      </c>
      <c r="H290" s="13">
        <v>-0.94899999999999995</v>
      </c>
      <c r="I290" s="14" t="s">
        <v>906</v>
      </c>
      <c r="J290" s="22" t="s">
        <v>907</v>
      </c>
      <c r="K290" s="9">
        <v>3</v>
      </c>
      <c r="L290" s="15"/>
      <c r="M290" s="16" t="s">
        <v>74</v>
      </c>
      <c r="N290" s="14"/>
      <c r="O290" s="15" t="s">
        <v>65</v>
      </c>
      <c r="P290" s="22" t="s">
        <v>1150</v>
      </c>
      <c r="Q290" s="15"/>
      <c r="R290" s="17" t="s">
        <v>74</v>
      </c>
      <c r="S290" s="18"/>
      <c r="T290" s="22" t="str">
        <f>IF(R290="維持",J290,IF(R290="排除","無關新聞事件",IFERROR(INDEX(事件規則!$B$2:$B$53,MATCH(S290,事件規則!$A$2:$A$53,0)),"")))</f>
        <v>無關新聞事件</v>
      </c>
      <c r="U290" s="9">
        <f>IF(R290="維持",K290,IF(R290="排除",0,IFERROR(INDEX(事件規則!$C$2:$C$53,MATCH(S290,事件規則!$A$2:$A$53,0)),"")))</f>
        <v>0</v>
      </c>
      <c r="V290" s="19"/>
      <c r="W290" s="20"/>
      <c r="X290" s="10" t="str">
        <f t="shared" si="4"/>
        <v/>
      </c>
      <c r="Y290" s="19"/>
      <c r="Z290" s="20"/>
      <c r="AA290" s="12" t="s">
        <v>1327</v>
      </c>
      <c r="AB290" s="23"/>
    </row>
    <row r="291" spans="1:28" ht="25.5">
      <c r="A291" s="15">
        <v>290</v>
      </c>
      <c r="B291" s="9" t="s">
        <v>414</v>
      </c>
      <c r="C291" s="9" t="s">
        <v>139</v>
      </c>
      <c r="D291" s="10" t="s">
        <v>140</v>
      </c>
      <c r="E291" s="21" t="s">
        <v>1328</v>
      </c>
      <c r="F291" s="22"/>
      <c r="G291" s="12" t="s">
        <v>1329</v>
      </c>
      <c r="H291" s="13">
        <v>-0.95299999999999996</v>
      </c>
      <c r="I291" s="14" t="s">
        <v>906</v>
      </c>
      <c r="J291" s="22" t="s">
        <v>907</v>
      </c>
      <c r="K291" s="9">
        <v>3</v>
      </c>
      <c r="L291" s="15"/>
      <c r="M291" s="16" t="s">
        <v>74</v>
      </c>
      <c r="N291" s="14"/>
      <c r="O291" s="15" t="s">
        <v>65</v>
      </c>
      <c r="P291" s="22" t="s">
        <v>1150</v>
      </c>
      <c r="Q291" s="15"/>
      <c r="R291" s="17" t="s">
        <v>74</v>
      </c>
      <c r="S291" s="18"/>
      <c r="T291" s="22" t="str">
        <f>IF(R291="維持",J291,IF(R291="排除","無關新聞事件",IFERROR(INDEX(事件規則!$B$2:$B$53,MATCH(S291,事件規則!$A$2:$A$53,0)),"")))</f>
        <v>無關新聞事件</v>
      </c>
      <c r="U291" s="9">
        <f>IF(R291="維持",K291,IF(R291="排除",0,IFERROR(INDEX(事件規則!$C$2:$C$53,MATCH(S291,事件規則!$A$2:$A$53,0)),"")))</f>
        <v>0</v>
      </c>
      <c r="V291" s="19"/>
      <c r="W291" s="20"/>
      <c r="X291" s="10" t="str">
        <f t="shared" si="4"/>
        <v/>
      </c>
      <c r="Y291" s="19"/>
      <c r="Z291" s="20"/>
      <c r="AA291" s="12" t="s">
        <v>1330</v>
      </c>
      <c r="AB291" s="23"/>
    </row>
    <row r="292" spans="1:28" ht="25.5">
      <c r="A292" s="15">
        <v>291</v>
      </c>
      <c r="B292" s="9" t="s">
        <v>236</v>
      </c>
      <c r="C292" s="9" t="s">
        <v>150</v>
      </c>
      <c r="D292" s="10" t="s">
        <v>151</v>
      </c>
      <c r="E292" s="21" t="s">
        <v>1331</v>
      </c>
      <c r="F292" s="22"/>
      <c r="G292" s="12" t="s">
        <v>299</v>
      </c>
      <c r="H292" s="13">
        <v>-0.94799999999999995</v>
      </c>
      <c r="I292" s="14" t="s">
        <v>906</v>
      </c>
      <c r="J292" s="22" t="s">
        <v>907</v>
      </c>
      <c r="K292" s="9">
        <v>3</v>
      </c>
      <c r="L292" s="15"/>
      <c r="M292" s="16" t="s">
        <v>54</v>
      </c>
      <c r="N292" s="14"/>
      <c r="O292" s="15" t="s">
        <v>65</v>
      </c>
      <c r="P292" s="10" t="s">
        <v>1253</v>
      </c>
      <c r="Q292" s="15"/>
      <c r="R292" s="17" t="s">
        <v>54</v>
      </c>
      <c r="S292" s="18"/>
      <c r="T292" s="22" t="str">
        <f>IF(R292="維持",J292,IF(R292="排除","無關新聞事件",IFERROR(INDEX(事件規則!$B$2:$B$53,MATCH(S292,事件規則!$A$2:$A$53,0)),"")))</f>
        <v>裁員或人力縮減</v>
      </c>
      <c r="U292" s="9">
        <f>IF(R292="維持",K292,IF(R292="排除",0,IFERROR(INDEX(事件規則!$C$2:$C$53,MATCH(S292,事件規則!$A$2:$A$53,0)),"")))</f>
        <v>3</v>
      </c>
      <c r="V292" s="19"/>
      <c r="W292" s="20"/>
      <c r="X292" s="10" t="str">
        <f t="shared" si="4"/>
        <v/>
      </c>
      <c r="Y292" s="19"/>
      <c r="Z292" s="20"/>
      <c r="AA292" s="12" t="s">
        <v>1332</v>
      </c>
      <c r="AB292" s="23"/>
    </row>
    <row r="293" spans="1:28" ht="25.5">
      <c r="A293" s="15">
        <v>292</v>
      </c>
      <c r="B293" s="9" t="s">
        <v>507</v>
      </c>
      <c r="C293" s="9" t="s">
        <v>150</v>
      </c>
      <c r="D293" s="10" t="s">
        <v>151</v>
      </c>
      <c r="E293" s="21" t="s">
        <v>1333</v>
      </c>
      <c r="F293" s="22"/>
      <c r="G293" s="12" t="s">
        <v>257</v>
      </c>
      <c r="H293" s="13">
        <v>0.623</v>
      </c>
      <c r="I293" s="14" t="s">
        <v>906</v>
      </c>
      <c r="J293" s="22" t="s">
        <v>907</v>
      </c>
      <c r="K293" s="9">
        <v>3</v>
      </c>
      <c r="L293" s="15"/>
      <c r="M293" s="16" t="s">
        <v>74</v>
      </c>
      <c r="N293" s="14"/>
      <c r="O293" s="15" t="s">
        <v>65</v>
      </c>
      <c r="P293" s="22" t="s">
        <v>1150</v>
      </c>
      <c r="Q293" s="15"/>
      <c r="R293" s="17" t="s">
        <v>74</v>
      </c>
      <c r="S293" s="18"/>
      <c r="T293" s="22" t="str">
        <f>IF(R293="維持",J293,IF(R293="排除","無關新聞事件",IFERROR(INDEX(事件規則!$B$2:$B$53,MATCH(S293,事件規則!$A$2:$A$53,0)),"")))</f>
        <v>無關新聞事件</v>
      </c>
      <c r="U293" s="9">
        <f>IF(R293="維持",K293,IF(R293="排除",0,IFERROR(INDEX(事件規則!$C$2:$C$53,MATCH(S293,事件規則!$A$2:$A$53,0)),"")))</f>
        <v>0</v>
      </c>
      <c r="V293" s="19"/>
      <c r="W293" s="20"/>
      <c r="X293" s="10" t="str">
        <f t="shared" si="4"/>
        <v/>
      </c>
      <c r="Y293" s="19"/>
      <c r="Z293" s="20"/>
      <c r="AA293" s="12" t="s">
        <v>1334</v>
      </c>
      <c r="AB293" s="23"/>
    </row>
    <row r="294" spans="1:28" ht="25.5">
      <c r="A294" s="15">
        <v>293</v>
      </c>
      <c r="B294" s="9" t="s">
        <v>507</v>
      </c>
      <c r="C294" s="9" t="s">
        <v>631</v>
      </c>
      <c r="D294" s="10" t="s">
        <v>632</v>
      </c>
      <c r="E294" s="21" t="s">
        <v>1335</v>
      </c>
      <c r="F294" s="22"/>
      <c r="G294" s="12" t="s">
        <v>1336</v>
      </c>
      <c r="H294" s="13">
        <v>-0.95599999999999996</v>
      </c>
      <c r="I294" s="14" t="s">
        <v>906</v>
      </c>
      <c r="J294" s="22" t="s">
        <v>907</v>
      </c>
      <c r="K294" s="9">
        <v>3</v>
      </c>
      <c r="L294" s="15"/>
      <c r="M294" s="16" t="s">
        <v>54</v>
      </c>
      <c r="N294" s="14"/>
      <c r="O294" s="15" t="s">
        <v>65</v>
      </c>
      <c r="P294" s="10" t="s">
        <v>1190</v>
      </c>
      <c r="Q294" s="15"/>
      <c r="R294" s="17" t="s">
        <v>54</v>
      </c>
      <c r="S294" s="18"/>
      <c r="T294" s="22" t="str">
        <f>IF(R294="維持",J294,IF(R294="排除","無關新聞事件",IFERROR(INDEX(事件規則!$B$2:$B$53,MATCH(S294,事件規則!$A$2:$A$53,0)),"")))</f>
        <v>裁員或人力縮減</v>
      </c>
      <c r="U294" s="9">
        <f>IF(R294="維持",K294,IF(R294="排除",0,IFERROR(INDEX(事件規則!$C$2:$C$53,MATCH(S294,事件規則!$A$2:$A$53,0)),"")))</f>
        <v>3</v>
      </c>
      <c r="V294" s="19"/>
      <c r="W294" s="20"/>
      <c r="X294" s="10" t="str">
        <f t="shared" si="4"/>
        <v/>
      </c>
      <c r="Y294" s="19"/>
      <c r="Z294" s="20"/>
      <c r="AA294" s="12" t="s">
        <v>1337</v>
      </c>
      <c r="AB294" s="23"/>
    </row>
    <row r="295" spans="1:28" ht="25.5">
      <c r="A295" s="15">
        <v>294</v>
      </c>
      <c r="B295" s="9" t="s">
        <v>425</v>
      </c>
      <c r="C295" s="9" t="s">
        <v>859</v>
      </c>
      <c r="D295" s="10" t="s">
        <v>860</v>
      </c>
      <c r="E295" s="21" t="s">
        <v>1338</v>
      </c>
      <c r="F295" s="22"/>
      <c r="G295" s="12" t="s">
        <v>969</v>
      </c>
      <c r="H295" s="13">
        <v>-6.0000000000000001E-3</v>
      </c>
      <c r="I295" s="14" t="s">
        <v>906</v>
      </c>
      <c r="J295" s="22" t="s">
        <v>907</v>
      </c>
      <c r="K295" s="9">
        <v>3</v>
      </c>
      <c r="L295" s="15"/>
      <c r="M295" s="16" t="s">
        <v>74</v>
      </c>
      <c r="N295" s="14"/>
      <c r="O295" s="15" t="s">
        <v>65</v>
      </c>
      <c r="P295" s="22" t="s">
        <v>1150</v>
      </c>
      <c r="Q295" s="15"/>
      <c r="R295" s="17" t="s">
        <v>74</v>
      </c>
      <c r="S295" s="18"/>
      <c r="T295" s="22" t="str">
        <f>IF(R295="維持",J295,IF(R295="排除","無關新聞事件",IFERROR(INDEX(事件規則!$B$2:$B$53,MATCH(S295,事件規則!$A$2:$A$53,0)),"")))</f>
        <v>無關新聞事件</v>
      </c>
      <c r="U295" s="9">
        <f>IF(R295="維持",K295,IF(R295="排除",0,IFERROR(INDEX(事件規則!$C$2:$C$53,MATCH(S295,事件規則!$A$2:$A$53,0)),"")))</f>
        <v>0</v>
      </c>
      <c r="V295" s="19"/>
      <c r="W295" s="20"/>
      <c r="X295" s="10" t="str">
        <f t="shared" si="4"/>
        <v/>
      </c>
      <c r="Y295" s="19"/>
      <c r="Z295" s="20"/>
      <c r="AA295" s="12" t="s">
        <v>1339</v>
      </c>
      <c r="AB295" s="23"/>
    </row>
    <row r="296" spans="1:28" ht="25.5">
      <c r="A296" s="15">
        <v>295</v>
      </c>
      <c r="B296" s="9" t="s">
        <v>425</v>
      </c>
      <c r="C296" s="9" t="s">
        <v>675</v>
      </c>
      <c r="D296" s="10" t="s">
        <v>676</v>
      </c>
      <c r="E296" s="21" t="s">
        <v>1340</v>
      </c>
      <c r="F296" s="22"/>
      <c r="G296" s="12" t="s">
        <v>1341</v>
      </c>
      <c r="H296" s="13">
        <v>-1.7999999999999999E-2</v>
      </c>
      <c r="I296" s="14" t="s">
        <v>906</v>
      </c>
      <c r="J296" s="22" t="s">
        <v>907</v>
      </c>
      <c r="K296" s="9">
        <v>3</v>
      </c>
      <c r="L296" s="15"/>
      <c r="M296" s="16" t="s">
        <v>74</v>
      </c>
      <c r="N296" s="14"/>
      <c r="O296" s="15" t="s">
        <v>65</v>
      </c>
      <c r="P296" s="22" t="s">
        <v>1150</v>
      </c>
      <c r="Q296" s="15"/>
      <c r="R296" s="17" t="s">
        <v>74</v>
      </c>
      <c r="S296" s="18"/>
      <c r="T296" s="22" t="str">
        <f>IF(R296="維持",J296,IF(R296="排除","無關新聞事件",IFERROR(INDEX(事件規則!$B$2:$B$53,MATCH(S296,事件規則!$A$2:$A$53,0)),"")))</f>
        <v>無關新聞事件</v>
      </c>
      <c r="U296" s="9">
        <f>IF(R296="維持",K296,IF(R296="排除",0,IFERROR(INDEX(事件規則!$C$2:$C$53,MATCH(S296,事件規則!$A$2:$A$53,0)),"")))</f>
        <v>0</v>
      </c>
      <c r="V296" s="19"/>
      <c r="W296" s="20"/>
      <c r="X296" s="10" t="str">
        <f t="shared" si="4"/>
        <v/>
      </c>
      <c r="Y296" s="19"/>
      <c r="Z296" s="20"/>
      <c r="AA296" s="12" t="s">
        <v>1342</v>
      </c>
      <c r="AB296" s="23"/>
    </row>
    <row r="297" spans="1:28" ht="25.5">
      <c r="A297" s="15">
        <v>296</v>
      </c>
      <c r="B297" s="9" t="s">
        <v>425</v>
      </c>
      <c r="C297" s="9" t="s">
        <v>675</v>
      </c>
      <c r="D297" s="10" t="s">
        <v>676</v>
      </c>
      <c r="E297" s="21" t="s">
        <v>1343</v>
      </c>
      <c r="F297" s="22"/>
      <c r="G297" s="12" t="s">
        <v>1341</v>
      </c>
      <c r="H297" s="13">
        <v>3.0000000000000001E-3</v>
      </c>
      <c r="I297" s="14" t="s">
        <v>906</v>
      </c>
      <c r="J297" s="22" t="s">
        <v>907</v>
      </c>
      <c r="K297" s="9">
        <v>3</v>
      </c>
      <c r="L297" s="15"/>
      <c r="M297" s="16" t="s">
        <v>74</v>
      </c>
      <c r="N297" s="14"/>
      <c r="O297" s="15" t="s">
        <v>65</v>
      </c>
      <c r="P297" s="22" t="s">
        <v>1150</v>
      </c>
      <c r="Q297" s="15"/>
      <c r="R297" s="17" t="s">
        <v>74</v>
      </c>
      <c r="S297" s="18"/>
      <c r="T297" s="22" t="str">
        <f>IF(R297="維持",J297,IF(R297="排除","無關新聞事件",IFERROR(INDEX(事件規則!$B$2:$B$53,MATCH(S297,事件規則!$A$2:$A$53,0)),"")))</f>
        <v>無關新聞事件</v>
      </c>
      <c r="U297" s="9">
        <f>IF(R297="維持",K297,IF(R297="排除",0,IFERROR(INDEX(事件規則!$C$2:$C$53,MATCH(S297,事件規則!$A$2:$A$53,0)),"")))</f>
        <v>0</v>
      </c>
      <c r="V297" s="19"/>
      <c r="W297" s="20"/>
      <c r="X297" s="10" t="str">
        <f t="shared" si="4"/>
        <v/>
      </c>
      <c r="Y297" s="19"/>
      <c r="Z297" s="20"/>
      <c r="AA297" s="12" t="s">
        <v>1344</v>
      </c>
      <c r="AB297" s="23"/>
    </row>
    <row r="298" spans="1:28" ht="38.25">
      <c r="A298" s="15">
        <v>297</v>
      </c>
      <c r="B298" s="9" t="s">
        <v>535</v>
      </c>
      <c r="C298" s="9" t="s">
        <v>126</v>
      </c>
      <c r="D298" s="10" t="s">
        <v>127</v>
      </c>
      <c r="E298" s="21" t="s">
        <v>1345</v>
      </c>
      <c r="F298" s="22"/>
      <c r="G298" s="12" t="s">
        <v>1346</v>
      </c>
      <c r="H298" s="13">
        <v>0.23100000000000001</v>
      </c>
      <c r="I298" s="14" t="s">
        <v>906</v>
      </c>
      <c r="J298" s="22" t="s">
        <v>907</v>
      </c>
      <c r="K298" s="9">
        <v>3</v>
      </c>
      <c r="L298" s="15"/>
      <c r="M298" s="16" t="s">
        <v>74</v>
      </c>
      <c r="N298" s="14"/>
      <c r="O298" s="15" t="s">
        <v>65</v>
      </c>
      <c r="P298" s="22" t="s">
        <v>1150</v>
      </c>
      <c r="Q298" s="15"/>
      <c r="R298" s="17" t="s">
        <v>74</v>
      </c>
      <c r="S298" s="18"/>
      <c r="T298" s="22" t="str">
        <f>IF(R298="維持",J298,IF(R298="排除","無關新聞事件",IFERROR(INDEX(事件規則!$B$2:$B$53,MATCH(S298,事件規則!$A$2:$A$53,0)),"")))</f>
        <v>無關新聞事件</v>
      </c>
      <c r="U298" s="9">
        <f>IF(R298="維持",K298,IF(R298="排除",0,IFERROR(INDEX(事件規則!$C$2:$C$53,MATCH(S298,事件規則!$A$2:$A$53,0)),"")))</f>
        <v>0</v>
      </c>
      <c r="V298" s="19"/>
      <c r="W298" s="20"/>
      <c r="X298" s="10" t="str">
        <f t="shared" si="4"/>
        <v/>
      </c>
      <c r="Y298" s="19"/>
      <c r="Z298" s="20"/>
      <c r="AA298" s="12" t="s">
        <v>1347</v>
      </c>
      <c r="AB298" s="23"/>
    </row>
    <row r="299" spans="1:28" ht="38.25">
      <c r="A299" s="15">
        <v>298</v>
      </c>
      <c r="B299" s="9" t="s">
        <v>864</v>
      </c>
      <c r="C299" s="9" t="s">
        <v>1348</v>
      </c>
      <c r="D299" s="10" t="s">
        <v>1349</v>
      </c>
      <c r="E299" s="21" t="s">
        <v>1350</v>
      </c>
      <c r="F299" s="22"/>
      <c r="G299" s="12" t="s">
        <v>1351</v>
      </c>
      <c r="H299" s="13">
        <v>-9.7000000000000003E-2</v>
      </c>
      <c r="I299" s="14" t="s">
        <v>906</v>
      </c>
      <c r="J299" s="22" t="s">
        <v>907</v>
      </c>
      <c r="K299" s="9">
        <v>3</v>
      </c>
      <c r="L299" s="15"/>
      <c r="M299" s="16" t="s">
        <v>74</v>
      </c>
      <c r="N299" s="14"/>
      <c r="O299" s="15" t="s">
        <v>65</v>
      </c>
      <c r="P299" s="22" t="s">
        <v>1150</v>
      </c>
      <c r="Q299" s="15"/>
      <c r="R299" s="17" t="s">
        <v>74</v>
      </c>
      <c r="S299" s="18"/>
      <c r="T299" s="22" t="str">
        <f>IF(R299="維持",J299,IF(R299="排除","無關新聞事件",IFERROR(INDEX(事件規則!$B$2:$B$53,MATCH(S299,事件規則!$A$2:$A$53,0)),"")))</f>
        <v>無關新聞事件</v>
      </c>
      <c r="U299" s="9">
        <f>IF(R299="維持",K299,IF(R299="排除",0,IFERROR(INDEX(事件規則!$C$2:$C$53,MATCH(S299,事件規則!$A$2:$A$53,0)),"")))</f>
        <v>0</v>
      </c>
      <c r="V299" s="19"/>
      <c r="W299" s="20"/>
      <c r="X299" s="10" t="str">
        <f t="shared" si="4"/>
        <v/>
      </c>
      <c r="Y299" s="19"/>
      <c r="Z299" s="20"/>
      <c r="AA299" s="12" t="s">
        <v>1352</v>
      </c>
      <c r="AB299" s="23"/>
    </row>
    <row r="300" spans="1:28" ht="25.5">
      <c r="A300" s="15">
        <v>299</v>
      </c>
      <c r="B300" s="9" t="s">
        <v>255</v>
      </c>
      <c r="C300" s="9" t="s">
        <v>1348</v>
      </c>
      <c r="D300" s="10" t="s">
        <v>1349</v>
      </c>
      <c r="E300" s="21" t="s">
        <v>1353</v>
      </c>
      <c r="F300" s="22"/>
      <c r="G300" s="12" t="s">
        <v>1354</v>
      </c>
      <c r="H300" s="13">
        <v>-0.95099999999999996</v>
      </c>
      <c r="I300" s="14" t="s">
        <v>906</v>
      </c>
      <c r="J300" s="22" t="s">
        <v>907</v>
      </c>
      <c r="K300" s="9">
        <v>3</v>
      </c>
      <c r="L300" s="15"/>
      <c r="M300" s="16" t="s">
        <v>54</v>
      </c>
      <c r="N300" s="14"/>
      <c r="O300" s="15" t="s">
        <v>65</v>
      </c>
      <c r="P300" s="10" t="s">
        <v>1355</v>
      </c>
      <c r="Q300" s="15"/>
      <c r="R300" s="17" t="s">
        <v>54</v>
      </c>
      <c r="S300" s="18"/>
      <c r="T300" s="22" t="str">
        <f>IF(R300="維持",J300,IF(R300="排除","無關新聞事件",IFERROR(INDEX(事件規則!$B$2:$B$53,MATCH(S300,事件規則!$A$2:$A$53,0)),"")))</f>
        <v>裁員或人力縮減</v>
      </c>
      <c r="U300" s="9">
        <f>IF(R300="維持",K300,IF(R300="排除",0,IFERROR(INDEX(事件規則!$C$2:$C$53,MATCH(S300,事件規則!$A$2:$A$53,0)),"")))</f>
        <v>3</v>
      </c>
      <c r="V300" s="19"/>
      <c r="W300" s="20"/>
      <c r="X300" s="10" t="str">
        <f t="shared" si="4"/>
        <v/>
      </c>
      <c r="Y300" s="19"/>
      <c r="Z300" s="20"/>
      <c r="AA300" s="12" t="s">
        <v>1356</v>
      </c>
      <c r="AB300" s="23"/>
    </row>
    <row r="301" spans="1:28" ht="25.5">
      <c r="A301" s="15">
        <v>300</v>
      </c>
      <c r="B301" s="9" t="s">
        <v>138</v>
      </c>
      <c r="C301" s="9" t="s">
        <v>782</v>
      </c>
      <c r="D301" s="10" t="s">
        <v>783</v>
      </c>
      <c r="E301" s="21" t="s">
        <v>1357</v>
      </c>
      <c r="F301" s="22"/>
      <c r="G301" s="12" t="s">
        <v>1182</v>
      </c>
      <c r="H301" s="13">
        <v>-0.95599999999999996</v>
      </c>
      <c r="I301" s="14" t="s">
        <v>906</v>
      </c>
      <c r="J301" s="22" t="s">
        <v>907</v>
      </c>
      <c r="K301" s="9">
        <v>3</v>
      </c>
      <c r="L301" s="15"/>
      <c r="M301" s="16" t="s">
        <v>54</v>
      </c>
      <c r="N301" s="14"/>
      <c r="O301" s="15" t="s">
        <v>55</v>
      </c>
      <c r="P301" s="22" t="s">
        <v>1183</v>
      </c>
      <c r="Q301" s="15"/>
      <c r="R301" s="17" t="s">
        <v>54</v>
      </c>
      <c r="S301" s="18"/>
      <c r="T301" s="22" t="str">
        <f>IF(R301="維持",J301,IF(R301="排除","無關新聞事件",IFERROR(INDEX(事件規則!$B$2:$B$53,MATCH(S301,事件規則!$A$2:$A$53,0)),"")))</f>
        <v>裁員或人力縮減</v>
      </c>
      <c r="U301" s="9">
        <f>IF(R301="維持",K301,IF(R301="排除",0,IFERROR(INDEX(事件規則!$C$2:$C$53,MATCH(S301,事件規則!$A$2:$A$53,0)),"")))</f>
        <v>3</v>
      </c>
      <c r="V301" s="19"/>
      <c r="W301" s="20"/>
      <c r="X301" s="10" t="str">
        <f t="shared" si="4"/>
        <v/>
      </c>
      <c r="Y301" s="19"/>
      <c r="Z301" s="20"/>
      <c r="AA301" s="12" t="s">
        <v>1358</v>
      </c>
      <c r="AB301" s="23"/>
    </row>
    <row r="302" spans="1:28" ht="25.5">
      <c r="A302" s="15">
        <v>301</v>
      </c>
      <c r="B302" s="9" t="s">
        <v>138</v>
      </c>
      <c r="C302" s="9" t="s">
        <v>987</v>
      </c>
      <c r="D302" s="10" t="s">
        <v>988</v>
      </c>
      <c r="E302" s="21" t="s">
        <v>1359</v>
      </c>
      <c r="F302" s="22"/>
      <c r="G302" s="12" t="s">
        <v>1272</v>
      </c>
      <c r="H302" s="13">
        <v>-0.95299999999999996</v>
      </c>
      <c r="I302" s="14" t="s">
        <v>906</v>
      </c>
      <c r="J302" s="22" t="s">
        <v>907</v>
      </c>
      <c r="K302" s="9">
        <v>3</v>
      </c>
      <c r="L302" s="15"/>
      <c r="M302" s="16" t="s">
        <v>54</v>
      </c>
      <c r="N302" s="14"/>
      <c r="O302" s="15" t="s">
        <v>55</v>
      </c>
      <c r="P302" s="22" t="s">
        <v>1360</v>
      </c>
      <c r="Q302" s="15"/>
      <c r="R302" s="17" t="s">
        <v>54</v>
      </c>
      <c r="S302" s="18"/>
      <c r="T302" s="22" t="str">
        <f>IF(R302="維持",J302,IF(R302="排除","無關新聞事件",IFERROR(INDEX(事件規則!$B$2:$B$53,MATCH(S302,事件規則!$A$2:$A$53,0)),"")))</f>
        <v>裁員或人力縮減</v>
      </c>
      <c r="U302" s="9">
        <f>IF(R302="維持",K302,IF(R302="排除",0,IFERROR(INDEX(事件規則!$C$2:$C$53,MATCH(S302,事件規則!$A$2:$A$53,0)),"")))</f>
        <v>3</v>
      </c>
      <c r="V302" s="19"/>
      <c r="W302" s="20"/>
      <c r="X302" s="10" t="str">
        <f t="shared" si="4"/>
        <v/>
      </c>
      <c r="Y302" s="19"/>
      <c r="Z302" s="20"/>
      <c r="AA302" s="12" t="s">
        <v>1361</v>
      </c>
      <c r="AB302" s="23"/>
    </row>
    <row r="303" spans="1:28" ht="38.25">
      <c r="A303" s="15">
        <v>302</v>
      </c>
      <c r="B303" s="9" t="s">
        <v>138</v>
      </c>
      <c r="C303" s="9" t="s">
        <v>1362</v>
      </c>
      <c r="D303" s="10" t="s">
        <v>1363</v>
      </c>
      <c r="E303" s="21" t="s">
        <v>1364</v>
      </c>
      <c r="F303" s="22"/>
      <c r="G303" s="12" t="s">
        <v>1365</v>
      </c>
      <c r="H303" s="13">
        <v>-0.91</v>
      </c>
      <c r="I303" s="14" t="s">
        <v>906</v>
      </c>
      <c r="J303" s="22" t="s">
        <v>907</v>
      </c>
      <c r="K303" s="9">
        <v>3</v>
      </c>
      <c r="L303" s="15"/>
      <c r="M303" s="16" t="s">
        <v>54</v>
      </c>
      <c r="N303" s="14"/>
      <c r="O303" s="15" t="s">
        <v>55</v>
      </c>
      <c r="P303" s="10" t="s">
        <v>1366</v>
      </c>
      <c r="Q303" s="15"/>
      <c r="R303" s="17" t="s">
        <v>54</v>
      </c>
      <c r="S303" s="18"/>
      <c r="T303" s="22" t="str">
        <f>IF(R303="維持",J303,IF(R303="排除","無關新聞事件",IFERROR(INDEX(事件規則!$B$2:$B$53,MATCH(S303,事件規則!$A$2:$A$53,0)),"")))</f>
        <v>裁員或人力縮減</v>
      </c>
      <c r="U303" s="9">
        <f>IF(R303="維持",K303,IF(R303="排除",0,IFERROR(INDEX(事件規則!$C$2:$C$53,MATCH(S303,事件規則!$A$2:$A$53,0)),"")))</f>
        <v>3</v>
      </c>
      <c r="V303" s="19"/>
      <c r="W303" s="20"/>
      <c r="X303" s="10" t="str">
        <f t="shared" si="4"/>
        <v/>
      </c>
      <c r="Y303" s="19"/>
      <c r="Z303" s="20"/>
      <c r="AA303" s="12" t="s">
        <v>1367</v>
      </c>
      <c r="AB303" s="23"/>
    </row>
    <row r="304" spans="1:28" ht="25.5">
      <c r="A304" s="15">
        <v>303</v>
      </c>
      <c r="B304" s="9" t="s">
        <v>262</v>
      </c>
      <c r="C304" s="9" t="s">
        <v>987</v>
      </c>
      <c r="D304" s="10" t="s">
        <v>988</v>
      </c>
      <c r="E304" s="21" t="s">
        <v>1368</v>
      </c>
      <c r="F304" s="22"/>
      <c r="G304" s="12" t="s">
        <v>1225</v>
      </c>
      <c r="H304" s="13">
        <v>-0.95199999999999996</v>
      </c>
      <c r="I304" s="14" t="s">
        <v>906</v>
      </c>
      <c r="J304" s="22" t="s">
        <v>907</v>
      </c>
      <c r="K304" s="9">
        <v>3</v>
      </c>
      <c r="L304" s="15"/>
      <c r="M304" s="16" t="s">
        <v>54</v>
      </c>
      <c r="N304" s="14"/>
      <c r="O304" s="15" t="s">
        <v>55</v>
      </c>
      <c r="P304" s="22" t="s">
        <v>1360</v>
      </c>
      <c r="Q304" s="15"/>
      <c r="R304" s="17" t="s">
        <v>54</v>
      </c>
      <c r="S304" s="18"/>
      <c r="T304" s="22" t="str">
        <f>IF(R304="維持",J304,IF(R304="排除","無關新聞事件",IFERROR(INDEX(事件規則!$B$2:$B$53,MATCH(S304,事件規則!$A$2:$A$53,0)),"")))</f>
        <v>裁員或人力縮減</v>
      </c>
      <c r="U304" s="9">
        <f>IF(R304="維持",K304,IF(R304="排除",0,IFERROR(INDEX(事件規則!$C$2:$C$53,MATCH(S304,事件規則!$A$2:$A$53,0)),"")))</f>
        <v>3</v>
      </c>
      <c r="V304" s="19"/>
      <c r="W304" s="20"/>
      <c r="X304" s="10" t="str">
        <f t="shared" si="4"/>
        <v/>
      </c>
      <c r="Y304" s="19"/>
      <c r="Z304" s="20"/>
      <c r="AA304" s="12" t="s">
        <v>1369</v>
      </c>
      <c r="AB304" s="23"/>
    </row>
    <row r="305" spans="1:28" ht="25.5">
      <c r="A305" s="15">
        <v>304</v>
      </c>
      <c r="B305" s="9" t="s">
        <v>262</v>
      </c>
      <c r="C305" s="9" t="s">
        <v>987</v>
      </c>
      <c r="D305" s="10" t="s">
        <v>988</v>
      </c>
      <c r="E305" s="21" t="s">
        <v>1370</v>
      </c>
      <c r="F305" s="22"/>
      <c r="G305" s="12" t="s">
        <v>252</v>
      </c>
      <c r="H305" s="13">
        <v>-0.90900000000000003</v>
      </c>
      <c r="I305" s="14" t="s">
        <v>906</v>
      </c>
      <c r="J305" s="22" t="s">
        <v>907</v>
      </c>
      <c r="K305" s="9">
        <v>3</v>
      </c>
      <c r="L305" s="15"/>
      <c r="M305" s="16" t="s">
        <v>54</v>
      </c>
      <c r="N305" s="14"/>
      <c r="O305" s="15" t="s">
        <v>55</v>
      </c>
      <c r="P305" s="22" t="s">
        <v>1360</v>
      </c>
      <c r="Q305" s="15"/>
      <c r="R305" s="17" t="s">
        <v>54</v>
      </c>
      <c r="S305" s="18"/>
      <c r="T305" s="22" t="str">
        <f>IF(R305="維持",J305,IF(R305="排除","無關新聞事件",IFERROR(INDEX(事件規則!$B$2:$B$53,MATCH(S305,事件規則!$A$2:$A$53,0)),"")))</f>
        <v>裁員或人力縮減</v>
      </c>
      <c r="U305" s="9">
        <f>IF(R305="維持",K305,IF(R305="排除",0,IFERROR(INDEX(事件規則!$C$2:$C$53,MATCH(S305,事件規則!$A$2:$A$53,0)),"")))</f>
        <v>3</v>
      </c>
      <c r="V305" s="19"/>
      <c r="W305" s="20"/>
      <c r="X305" s="10" t="str">
        <f t="shared" si="4"/>
        <v/>
      </c>
      <c r="Y305" s="19"/>
      <c r="Z305" s="20"/>
      <c r="AA305" s="12" t="s">
        <v>1371</v>
      </c>
      <c r="AB305" s="23"/>
    </row>
    <row r="306" spans="1:28" ht="38.25">
      <c r="A306" s="15">
        <v>305</v>
      </c>
      <c r="B306" s="9" t="s">
        <v>262</v>
      </c>
      <c r="C306" s="9" t="s">
        <v>865</v>
      </c>
      <c r="D306" s="10" t="s">
        <v>866</v>
      </c>
      <c r="E306" s="21" t="s">
        <v>1372</v>
      </c>
      <c r="F306" s="22"/>
      <c r="G306" s="12" t="s">
        <v>938</v>
      </c>
      <c r="H306" s="13">
        <v>1.7000000000000001E-2</v>
      </c>
      <c r="I306" s="14" t="s">
        <v>906</v>
      </c>
      <c r="J306" s="22" t="s">
        <v>907</v>
      </c>
      <c r="K306" s="9">
        <v>3</v>
      </c>
      <c r="L306" s="15"/>
      <c r="M306" s="16" t="s">
        <v>74</v>
      </c>
      <c r="N306" s="14"/>
      <c r="O306" s="15" t="s">
        <v>65</v>
      </c>
      <c r="P306" s="22" t="s">
        <v>1150</v>
      </c>
      <c r="Q306" s="15"/>
      <c r="R306" s="17" t="s">
        <v>74</v>
      </c>
      <c r="S306" s="18"/>
      <c r="T306" s="22" t="str">
        <f>IF(R306="維持",J306,IF(R306="排除","無關新聞事件",IFERROR(INDEX(事件規則!$B$2:$B$53,MATCH(S306,事件規則!$A$2:$A$53,0)),"")))</f>
        <v>無關新聞事件</v>
      </c>
      <c r="U306" s="9">
        <f>IF(R306="維持",K306,IF(R306="排除",0,IFERROR(INDEX(事件規則!$C$2:$C$53,MATCH(S306,事件規則!$A$2:$A$53,0)),"")))</f>
        <v>0</v>
      </c>
      <c r="V306" s="19"/>
      <c r="W306" s="20"/>
      <c r="X306" s="10" t="str">
        <f t="shared" si="4"/>
        <v/>
      </c>
      <c r="Y306" s="19"/>
      <c r="Z306" s="20"/>
      <c r="AA306" s="12" t="s">
        <v>1373</v>
      </c>
      <c r="AB306" s="23"/>
    </row>
    <row r="307" spans="1:28" ht="25.5">
      <c r="A307" s="15">
        <v>306</v>
      </c>
      <c r="B307" s="9" t="s">
        <v>145</v>
      </c>
      <c r="C307" s="9" t="s">
        <v>1374</v>
      </c>
      <c r="D307" s="10" t="s">
        <v>1375</v>
      </c>
      <c r="E307" s="21" t="s">
        <v>1376</v>
      </c>
      <c r="F307" s="22"/>
      <c r="G307" s="12" t="s">
        <v>1377</v>
      </c>
      <c r="H307" s="13">
        <v>-0.91800000000000004</v>
      </c>
      <c r="I307" s="14" t="s">
        <v>906</v>
      </c>
      <c r="J307" s="22" t="s">
        <v>907</v>
      </c>
      <c r="K307" s="9">
        <v>3</v>
      </c>
      <c r="L307" s="15"/>
      <c r="M307" s="16" t="s">
        <v>54</v>
      </c>
      <c r="N307" s="14"/>
      <c r="O307" s="15" t="s">
        <v>55</v>
      </c>
      <c r="P307" s="10" t="s">
        <v>1378</v>
      </c>
      <c r="Q307" s="15"/>
      <c r="R307" s="17" t="s">
        <v>54</v>
      </c>
      <c r="S307" s="18"/>
      <c r="T307" s="22" t="str">
        <f>IF(R307="維持",J307,IF(R307="排除","無關新聞事件",IFERROR(INDEX(事件規則!$B$2:$B$53,MATCH(S307,事件規則!$A$2:$A$53,0)),"")))</f>
        <v>裁員或人力縮減</v>
      </c>
      <c r="U307" s="9">
        <f>IF(R307="維持",K307,IF(R307="排除",0,IFERROR(INDEX(事件規則!$C$2:$C$53,MATCH(S307,事件規則!$A$2:$A$53,0)),"")))</f>
        <v>3</v>
      </c>
      <c r="V307" s="19"/>
      <c r="W307" s="20"/>
      <c r="X307" s="10" t="str">
        <f t="shared" si="4"/>
        <v/>
      </c>
      <c r="Y307" s="19"/>
      <c r="Z307" s="20"/>
      <c r="AA307" s="12" t="s">
        <v>1379</v>
      </c>
      <c r="AB307" s="23"/>
    </row>
    <row r="308" spans="1:28" ht="25.5">
      <c r="A308" s="15">
        <v>307</v>
      </c>
      <c r="B308" s="9" t="s">
        <v>1380</v>
      </c>
      <c r="C308" s="9" t="s">
        <v>1374</v>
      </c>
      <c r="D308" s="10" t="s">
        <v>1375</v>
      </c>
      <c r="E308" s="21" t="s">
        <v>1381</v>
      </c>
      <c r="F308" s="22"/>
      <c r="G308" s="12" t="s">
        <v>299</v>
      </c>
      <c r="H308" s="13">
        <v>-0.96399999999999997</v>
      </c>
      <c r="I308" s="14" t="s">
        <v>906</v>
      </c>
      <c r="J308" s="22" t="s">
        <v>907</v>
      </c>
      <c r="K308" s="9">
        <v>3</v>
      </c>
      <c r="L308" s="15"/>
      <c r="M308" s="16" t="s">
        <v>54</v>
      </c>
      <c r="N308" s="14"/>
      <c r="O308" s="15" t="s">
        <v>55</v>
      </c>
      <c r="P308" s="10" t="s">
        <v>1378</v>
      </c>
      <c r="Q308" s="15"/>
      <c r="R308" s="17" t="s">
        <v>54</v>
      </c>
      <c r="S308" s="18"/>
      <c r="T308" s="22" t="str">
        <f>IF(R308="維持",J308,IF(R308="排除","無關新聞事件",IFERROR(INDEX(事件規則!$B$2:$B$53,MATCH(S308,事件規則!$A$2:$A$53,0)),"")))</f>
        <v>裁員或人力縮減</v>
      </c>
      <c r="U308" s="9">
        <f>IF(R308="維持",K308,IF(R308="排除",0,IFERROR(INDEX(事件規則!$C$2:$C$53,MATCH(S308,事件規則!$A$2:$A$53,0)),"")))</f>
        <v>3</v>
      </c>
      <c r="V308" s="19"/>
      <c r="W308" s="20"/>
      <c r="X308" s="10" t="str">
        <f t="shared" si="4"/>
        <v/>
      </c>
      <c r="Y308" s="19"/>
      <c r="Z308" s="20"/>
      <c r="AA308" s="12" t="s">
        <v>1382</v>
      </c>
      <c r="AB308" s="23"/>
    </row>
    <row r="309" spans="1:28" ht="25.5">
      <c r="A309" s="15">
        <v>308</v>
      </c>
      <c r="B309" s="9" t="s">
        <v>1383</v>
      </c>
      <c r="C309" s="9" t="s">
        <v>502</v>
      </c>
      <c r="D309" s="10" t="s">
        <v>503</v>
      </c>
      <c r="E309" s="21" t="s">
        <v>1384</v>
      </c>
      <c r="F309" s="22" t="s">
        <v>1385</v>
      </c>
      <c r="G309" s="12" t="s">
        <v>1386</v>
      </c>
      <c r="H309" s="13">
        <v>-0.95699999999999996</v>
      </c>
      <c r="I309" s="14" t="s">
        <v>906</v>
      </c>
      <c r="J309" s="22" t="s">
        <v>907</v>
      </c>
      <c r="K309" s="9">
        <v>3</v>
      </c>
      <c r="L309" s="15"/>
      <c r="M309" s="16" t="s">
        <v>54</v>
      </c>
      <c r="N309" s="14"/>
      <c r="O309" s="15" t="s">
        <v>55</v>
      </c>
      <c r="P309" s="10" t="s">
        <v>1387</v>
      </c>
      <c r="Q309" s="15"/>
      <c r="R309" s="17" t="s">
        <v>54</v>
      </c>
      <c r="S309" s="18"/>
      <c r="T309" s="22" t="str">
        <f>IF(R309="維持",J309,IF(R309="排除","無關新聞事件",IFERROR(INDEX(事件規則!$B$2:$B$53,MATCH(S309,事件規則!$A$2:$A$53,0)),"")))</f>
        <v>裁員或人力縮減</v>
      </c>
      <c r="U309" s="9">
        <f>IF(R309="維持",K309,IF(R309="排除",0,IFERROR(INDEX(事件規則!$C$2:$C$53,MATCH(S309,事件規則!$A$2:$A$53,0)),"")))</f>
        <v>3</v>
      </c>
      <c r="V309" s="19"/>
      <c r="W309" s="20"/>
      <c r="X309" s="10" t="str">
        <f t="shared" si="4"/>
        <v/>
      </c>
      <c r="Y309" s="19"/>
      <c r="Z309" s="20"/>
      <c r="AA309" s="12" t="s">
        <v>1388</v>
      </c>
      <c r="AB309" s="23"/>
    </row>
    <row r="310" spans="1:28" ht="25.5">
      <c r="A310" s="15">
        <v>309</v>
      </c>
      <c r="B310" s="9" t="s">
        <v>1389</v>
      </c>
      <c r="C310" s="9" t="s">
        <v>1374</v>
      </c>
      <c r="D310" s="10" t="s">
        <v>1375</v>
      </c>
      <c r="E310" s="21" t="s">
        <v>1390</v>
      </c>
      <c r="F310" s="10" t="s">
        <v>1391</v>
      </c>
      <c r="G310" s="12" t="s">
        <v>547</v>
      </c>
      <c r="H310" s="13">
        <v>-0.95599999999999996</v>
      </c>
      <c r="I310" s="14" t="s">
        <v>906</v>
      </c>
      <c r="J310" s="22" t="s">
        <v>907</v>
      </c>
      <c r="K310" s="9">
        <v>3</v>
      </c>
      <c r="L310" s="15"/>
      <c r="M310" s="16" t="s">
        <v>54</v>
      </c>
      <c r="N310" s="14"/>
      <c r="O310" s="15" t="s">
        <v>55</v>
      </c>
      <c r="P310" s="10" t="s">
        <v>1378</v>
      </c>
      <c r="Q310" s="15"/>
      <c r="R310" s="17" t="s">
        <v>54</v>
      </c>
      <c r="S310" s="18"/>
      <c r="T310" s="22" t="str">
        <f>IF(R310="維持",J310,IF(R310="排除","無關新聞事件",IFERROR(INDEX(事件規則!$B$2:$B$53,MATCH(S310,事件規則!$A$2:$A$53,0)),"")))</f>
        <v>裁員或人力縮減</v>
      </c>
      <c r="U310" s="9">
        <f>IF(R310="維持",K310,IF(R310="排除",0,IFERROR(INDEX(事件規則!$C$2:$C$53,MATCH(S310,事件規則!$A$2:$A$53,0)),"")))</f>
        <v>3</v>
      </c>
      <c r="V310" s="19"/>
      <c r="W310" s="20"/>
      <c r="X310" s="10" t="str">
        <f t="shared" si="4"/>
        <v/>
      </c>
      <c r="Y310" s="19"/>
      <c r="Z310" s="20"/>
      <c r="AA310" s="12" t="s">
        <v>1392</v>
      </c>
      <c r="AB310" s="23"/>
    </row>
    <row r="311" spans="1:28" ht="38.25">
      <c r="A311" s="15">
        <v>310</v>
      </c>
      <c r="B311" s="9" t="s">
        <v>1389</v>
      </c>
      <c r="C311" s="9" t="s">
        <v>1374</v>
      </c>
      <c r="D311" s="10" t="s">
        <v>1375</v>
      </c>
      <c r="E311" s="21" t="s">
        <v>1393</v>
      </c>
      <c r="F311" s="22" t="s">
        <v>1394</v>
      </c>
      <c r="G311" s="23" t="s">
        <v>110</v>
      </c>
      <c r="H311" s="13">
        <v>-0.96299999999999997</v>
      </c>
      <c r="I311" s="14" t="s">
        <v>906</v>
      </c>
      <c r="J311" s="22" t="s">
        <v>907</v>
      </c>
      <c r="K311" s="9">
        <v>3</v>
      </c>
      <c r="L311" s="15"/>
      <c r="M311" s="16" t="s">
        <v>54</v>
      </c>
      <c r="N311" s="14"/>
      <c r="O311" s="15" t="s">
        <v>55</v>
      </c>
      <c r="P311" s="10" t="s">
        <v>1378</v>
      </c>
      <c r="Q311" s="15"/>
      <c r="R311" s="17" t="s">
        <v>54</v>
      </c>
      <c r="S311" s="18"/>
      <c r="T311" s="22" t="str">
        <f>IF(R311="維持",J311,IF(R311="排除","無關新聞事件",IFERROR(INDEX(事件規則!$B$2:$B$53,MATCH(S311,事件規則!$A$2:$A$53,0)),"")))</f>
        <v>裁員或人力縮減</v>
      </c>
      <c r="U311" s="9">
        <f>IF(R311="維持",K311,IF(R311="排除",0,IFERROR(INDEX(事件規則!$C$2:$C$53,MATCH(S311,事件規則!$A$2:$A$53,0)),"")))</f>
        <v>3</v>
      </c>
      <c r="V311" s="19"/>
      <c r="W311" s="20"/>
      <c r="X311" s="10" t="str">
        <f t="shared" si="4"/>
        <v/>
      </c>
      <c r="Y311" s="19"/>
      <c r="Z311" s="20"/>
      <c r="AA311" s="12" t="s">
        <v>1395</v>
      </c>
      <c r="AB311" s="23"/>
    </row>
    <row r="312" spans="1:28" ht="25.5">
      <c r="A312" s="15">
        <v>311</v>
      </c>
      <c r="B312" s="9" t="s">
        <v>1389</v>
      </c>
      <c r="C312" s="9" t="s">
        <v>1374</v>
      </c>
      <c r="D312" s="10" t="s">
        <v>1375</v>
      </c>
      <c r="E312" s="21" t="s">
        <v>1396</v>
      </c>
      <c r="F312" s="10" t="s">
        <v>1397</v>
      </c>
      <c r="G312" s="12" t="s">
        <v>64</v>
      </c>
      <c r="H312" s="13">
        <v>-0.96599999999999997</v>
      </c>
      <c r="I312" s="14" t="s">
        <v>906</v>
      </c>
      <c r="J312" s="22" t="s">
        <v>907</v>
      </c>
      <c r="K312" s="9">
        <v>3</v>
      </c>
      <c r="L312" s="15"/>
      <c r="M312" s="16" t="s">
        <v>54</v>
      </c>
      <c r="N312" s="14"/>
      <c r="O312" s="15" t="s">
        <v>55</v>
      </c>
      <c r="P312" s="10" t="s">
        <v>1378</v>
      </c>
      <c r="Q312" s="15"/>
      <c r="R312" s="17" t="s">
        <v>54</v>
      </c>
      <c r="S312" s="18"/>
      <c r="T312" s="22" t="str">
        <f>IF(R312="維持",J312,IF(R312="排除","無關新聞事件",IFERROR(INDEX(事件規則!$B$2:$B$53,MATCH(S312,事件規則!$A$2:$A$53,0)),"")))</f>
        <v>裁員或人力縮減</v>
      </c>
      <c r="U312" s="9">
        <f>IF(R312="維持",K312,IF(R312="排除",0,IFERROR(INDEX(事件規則!$C$2:$C$53,MATCH(S312,事件規則!$A$2:$A$53,0)),"")))</f>
        <v>3</v>
      </c>
      <c r="V312" s="19"/>
      <c r="W312" s="20"/>
      <c r="X312" s="10" t="str">
        <f t="shared" si="4"/>
        <v/>
      </c>
      <c r="Y312" s="19"/>
      <c r="Z312" s="20"/>
      <c r="AA312" s="12" t="s">
        <v>1398</v>
      </c>
      <c r="AB312" s="23"/>
    </row>
    <row r="313" spans="1:28" ht="25.5">
      <c r="A313" s="15">
        <v>312</v>
      </c>
      <c r="B313" s="9" t="s">
        <v>269</v>
      </c>
      <c r="C313" s="9" t="s">
        <v>502</v>
      </c>
      <c r="D313" s="10" t="s">
        <v>503</v>
      </c>
      <c r="E313" s="21" t="s">
        <v>1399</v>
      </c>
      <c r="F313" s="22" t="s">
        <v>1400</v>
      </c>
      <c r="G313" s="12" t="s">
        <v>1401</v>
      </c>
      <c r="H313" s="13">
        <v>-0.36799999999999999</v>
      </c>
      <c r="I313" s="14" t="s">
        <v>906</v>
      </c>
      <c r="J313" s="22" t="s">
        <v>907</v>
      </c>
      <c r="K313" s="9">
        <v>3</v>
      </c>
      <c r="L313" s="15"/>
      <c r="M313" s="16" t="s">
        <v>54</v>
      </c>
      <c r="N313" s="14"/>
      <c r="O313" s="15" t="s">
        <v>65</v>
      </c>
      <c r="P313" s="10" t="s">
        <v>1402</v>
      </c>
      <c r="Q313" s="15"/>
      <c r="R313" s="17" t="s">
        <v>54</v>
      </c>
      <c r="S313" s="18"/>
      <c r="T313" s="22" t="str">
        <f>IF(R313="維持",J313,IF(R313="排除","無關新聞事件",IFERROR(INDEX(事件規則!$B$2:$B$53,MATCH(S313,事件規則!$A$2:$A$53,0)),"")))</f>
        <v>裁員或人力縮減</v>
      </c>
      <c r="U313" s="9">
        <f>IF(R313="維持",K313,IF(R313="排除",0,IFERROR(INDEX(事件規則!$C$2:$C$53,MATCH(S313,事件規則!$A$2:$A$53,0)),"")))</f>
        <v>3</v>
      </c>
      <c r="V313" s="19"/>
      <c r="W313" s="20"/>
      <c r="X313" s="10" t="str">
        <f t="shared" si="4"/>
        <v/>
      </c>
      <c r="Y313" s="19"/>
      <c r="Z313" s="20"/>
      <c r="AA313" s="12" t="s">
        <v>1403</v>
      </c>
      <c r="AB313" s="23"/>
    </row>
    <row r="314" spans="1:28" ht="38.25">
      <c r="A314" s="15">
        <v>313</v>
      </c>
      <c r="B314" s="9" t="s">
        <v>269</v>
      </c>
      <c r="C314" s="9" t="s">
        <v>1374</v>
      </c>
      <c r="D314" s="10" t="s">
        <v>1375</v>
      </c>
      <c r="E314" s="21" t="s">
        <v>1404</v>
      </c>
      <c r="F314" s="22" t="s">
        <v>1405</v>
      </c>
      <c r="G314" s="12" t="s">
        <v>64</v>
      </c>
      <c r="H314" s="13">
        <v>-0.48</v>
      </c>
      <c r="I314" s="14" t="s">
        <v>906</v>
      </c>
      <c r="J314" s="22" t="s">
        <v>907</v>
      </c>
      <c r="K314" s="9">
        <v>3</v>
      </c>
      <c r="L314" s="15"/>
      <c r="M314" s="16" t="s">
        <v>54</v>
      </c>
      <c r="N314" s="14"/>
      <c r="O314" s="15" t="s">
        <v>55</v>
      </c>
      <c r="P314" s="10" t="s">
        <v>1378</v>
      </c>
      <c r="Q314" s="15"/>
      <c r="R314" s="17" t="s">
        <v>54</v>
      </c>
      <c r="S314" s="18"/>
      <c r="T314" s="22" t="str">
        <f>IF(R314="維持",J314,IF(R314="排除","無關新聞事件",IFERROR(INDEX(事件規則!$B$2:$B$53,MATCH(S314,事件規則!$A$2:$A$53,0)),"")))</f>
        <v>裁員或人力縮減</v>
      </c>
      <c r="U314" s="9">
        <f>IF(R314="維持",K314,IF(R314="排除",0,IFERROR(INDEX(事件規則!$C$2:$C$53,MATCH(S314,事件規則!$A$2:$A$53,0)),"")))</f>
        <v>3</v>
      </c>
      <c r="V314" s="19"/>
      <c r="W314" s="20"/>
      <c r="X314" s="10" t="str">
        <f t="shared" si="4"/>
        <v/>
      </c>
      <c r="Y314" s="19"/>
      <c r="Z314" s="20"/>
      <c r="AA314" s="12" t="s">
        <v>1406</v>
      </c>
      <c r="AB314" s="23"/>
    </row>
    <row r="315" spans="1:28" ht="25.5">
      <c r="A315" s="15">
        <v>314</v>
      </c>
      <c r="B315" s="9" t="s">
        <v>269</v>
      </c>
      <c r="C315" s="9" t="s">
        <v>1374</v>
      </c>
      <c r="D315" s="10" t="s">
        <v>1375</v>
      </c>
      <c r="E315" s="21" t="s">
        <v>1407</v>
      </c>
      <c r="F315" s="22" t="s">
        <v>1408</v>
      </c>
      <c r="G315" s="12" t="s">
        <v>1409</v>
      </c>
      <c r="H315" s="13">
        <v>-0.93500000000000005</v>
      </c>
      <c r="I315" s="14" t="s">
        <v>906</v>
      </c>
      <c r="J315" s="22" t="s">
        <v>907</v>
      </c>
      <c r="K315" s="9">
        <v>3</v>
      </c>
      <c r="L315" s="15"/>
      <c r="M315" s="16" t="s">
        <v>54</v>
      </c>
      <c r="N315" s="14"/>
      <c r="O315" s="15" t="s">
        <v>65</v>
      </c>
      <c r="P315" s="10" t="s">
        <v>1410</v>
      </c>
      <c r="Q315" s="15"/>
      <c r="R315" s="17" t="s">
        <v>54</v>
      </c>
      <c r="S315" s="18"/>
      <c r="T315" s="22" t="str">
        <f>IF(R315="維持",J315,IF(R315="排除","無關新聞事件",IFERROR(INDEX(事件規則!$B$2:$B$53,MATCH(S315,事件規則!$A$2:$A$53,0)),"")))</f>
        <v>裁員或人力縮減</v>
      </c>
      <c r="U315" s="9">
        <f>IF(R315="維持",K315,IF(R315="排除",0,IFERROR(INDEX(事件規則!$C$2:$C$53,MATCH(S315,事件規則!$A$2:$A$53,0)),"")))</f>
        <v>3</v>
      </c>
      <c r="V315" s="19"/>
      <c r="W315" s="20"/>
      <c r="X315" s="10" t="str">
        <f t="shared" si="4"/>
        <v/>
      </c>
      <c r="Y315" s="19"/>
      <c r="Z315" s="20"/>
      <c r="AA315" s="12" t="s">
        <v>1411</v>
      </c>
      <c r="AB315" s="23"/>
    </row>
    <row r="316" spans="1:28" ht="25.5">
      <c r="A316" s="15">
        <v>315</v>
      </c>
      <c r="B316" s="9" t="s">
        <v>269</v>
      </c>
      <c r="C316" s="9" t="s">
        <v>1374</v>
      </c>
      <c r="D316" s="10" t="s">
        <v>1375</v>
      </c>
      <c r="E316" s="21" t="s">
        <v>1412</v>
      </c>
      <c r="F316" s="10" t="s">
        <v>1413</v>
      </c>
      <c r="G316" s="12" t="s">
        <v>260</v>
      </c>
      <c r="H316" s="13">
        <v>-0.95199999999999996</v>
      </c>
      <c r="I316" s="14" t="s">
        <v>906</v>
      </c>
      <c r="J316" s="22" t="s">
        <v>907</v>
      </c>
      <c r="K316" s="9">
        <v>3</v>
      </c>
      <c r="L316" s="15"/>
      <c r="M316" s="16" t="s">
        <v>54</v>
      </c>
      <c r="N316" s="14"/>
      <c r="O316" s="15" t="s">
        <v>55</v>
      </c>
      <c r="P316" s="10" t="s">
        <v>1378</v>
      </c>
      <c r="Q316" s="15"/>
      <c r="R316" s="17" t="s">
        <v>54</v>
      </c>
      <c r="S316" s="18"/>
      <c r="T316" s="22" t="str">
        <f>IF(R316="維持",J316,IF(R316="排除","無關新聞事件",IFERROR(INDEX(事件規則!$B$2:$B$53,MATCH(S316,事件規則!$A$2:$A$53,0)),"")))</f>
        <v>裁員或人力縮減</v>
      </c>
      <c r="U316" s="9">
        <f>IF(R316="維持",K316,IF(R316="排除",0,IFERROR(INDEX(事件規則!$C$2:$C$53,MATCH(S316,事件規則!$A$2:$A$53,0)),"")))</f>
        <v>3</v>
      </c>
      <c r="V316" s="19"/>
      <c r="W316" s="20"/>
      <c r="X316" s="10" t="str">
        <f t="shared" si="4"/>
        <v/>
      </c>
      <c r="Y316" s="19"/>
      <c r="Z316" s="20"/>
      <c r="AA316" s="12" t="s">
        <v>1414</v>
      </c>
      <c r="AB316" s="23"/>
    </row>
    <row r="317" spans="1:28" ht="38.25">
      <c r="A317" s="15">
        <v>316</v>
      </c>
      <c r="B317" s="9" t="s">
        <v>269</v>
      </c>
      <c r="C317" s="9" t="s">
        <v>755</v>
      </c>
      <c r="D317" s="10" t="s">
        <v>756</v>
      </c>
      <c r="E317" s="21" t="s">
        <v>1415</v>
      </c>
      <c r="F317" s="10" t="s">
        <v>1416</v>
      </c>
      <c r="G317" s="12" t="s">
        <v>1417</v>
      </c>
      <c r="H317" s="13">
        <v>1E-3</v>
      </c>
      <c r="I317" s="14" t="s">
        <v>906</v>
      </c>
      <c r="J317" s="22" t="s">
        <v>907</v>
      </c>
      <c r="K317" s="9">
        <v>3</v>
      </c>
      <c r="L317" s="15"/>
      <c r="M317" s="16" t="s">
        <v>74</v>
      </c>
      <c r="N317" s="14"/>
      <c r="O317" s="15" t="s">
        <v>65</v>
      </c>
      <c r="P317" s="22" t="s">
        <v>1150</v>
      </c>
      <c r="Q317" s="15"/>
      <c r="R317" s="17" t="s">
        <v>74</v>
      </c>
      <c r="S317" s="18"/>
      <c r="T317" s="22" t="str">
        <f>IF(R317="維持",J317,IF(R317="排除","無關新聞事件",IFERROR(INDEX(事件規則!$B$2:$B$53,MATCH(S317,事件規則!$A$2:$A$53,0)),"")))</f>
        <v>無關新聞事件</v>
      </c>
      <c r="U317" s="9">
        <f>IF(R317="維持",K317,IF(R317="排除",0,IFERROR(INDEX(事件規則!$C$2:$C$53,MATCH(S317,事件規則!$A$2:$A$53,0)),"")))</f>
        <v>0</v>
      </c>
      <c r="V317" s="19"/>
      <c r="W317" s="20"/>
      <c r="X317" s="10" t="str">
        <f t="shared" si="4"/>
        <v/>
      </c>
      <c r="Y317" s="19"/>
      <c r="Z317" s="20"/>
      <c r="AA317" s="12" t="s">
        <v>1418</v>
      </c>
      <c r="AB317" s="23"/>
    </row>
    <row r="318" spans="1:28" ht="25.5">
      <c r="A318" s="15">
        <v>317</v>
      </c>
      <c r="B318" s="9" t="s">
        <v>269</v>
      </c>
      <c r="C318" s="9" t="s">
        <v>1374</v>
      </c>
      <c r="D318" s="10" t="s">
        <v>1375</v>
      </c>
      <c r="E318" s="21" t="s">
        <v>1419</v>
      </c>
      <c r="F318" s="10" t="s">
        <v>1420</v>
      </c>
      <c r="G318" s="12" t="s">
        <v>646</v>
      </c>
      <c r="H318" s="13">
        <v>-0.89300000000000002</v>
      </c>
      <c r="I318" s="14" t="s">
        <v>906</v>
      </c>
      <c r="J318" s="22" t="s">
        <v>907</v>
      </c>
      <c r="K318" s="9">
        <v>3</v>
      </c>
      <c r="L318" s="15"/>
      <c r="M318" s="16" t="s">
        <v>54</v>
      </c>
      <c r="N318" s="14"/>
      <c r="O318" s="15" t="s">
        <v>55</v>
      </c>
      <c r="P318" s="10" t="s">
        <v>1378</v>
      </c>
      <c r="Q318" s="15"/>
      <c r="R318" s="17" t="s">
        <v>54</v>
      </c>
      <c r="S318" s="18"/>
      <c r="T318" s="22" t="str">
        <f>IF(R318="維持",J318,IF(R318="排除","無關新聞事件",IFERROR(INDEX(事件規則!$B$2:$B$53,MATCH(S318,事件規則!$A$2:$A$53,0)),"")))</f>
        <v>裁員或人力縮減</v>
      </c>
      <c r="U318" s="9">
        <f>IF(R318="維持",K318,IF(R318="排除",0,IFERROR(INDEX(事件規則!$C$2:$C$53,MATCH(S318,事件規則!$A$2:$A$53,0)),"")))</f>
        <v>3</v>
      </c>
      <c r="V318" s="19"/>
      <c r="W318" s="20"/>
      <c r="X318" s="10" t="str">
        <f t="shared" si="4"/>
        <v/>
      </c>
      <c r="Y318" s="19"/>
      <c r="Z318" s="20"/>
      <c r="AA318" s="12" t="s">
        <v>1421</v>
      </c>
      <c r="AB318" s="23"/>
    </row>
    <row r="319" spans="1:28" ht="25.5">
      <c r="A319" s="15">
        <v>318</v>
      </c>
      <c r="B319" s="9" t="s">
        <v>269</v>
      </c>
      <c r="C319" s="9" t="s">
        <v>1374</v>
      </c>
      <c r="D319" s="10" t="s">
        <v>1375</v>
      </c>
      <c r="E319" s="21" t="s">
        <v>1422</v>
      </c>
      <c r="F319" s="10" t="s">
        <v>1423</v>
      </c>
      <c r="G319" s="12" t="s">
        <v>1424</v>
      </c>
      <c r="H319" s="13">
        <v>-0.95499999999999996</v>
      </c>
      <c r="I319" s="14" t="s">
        <v>906</v>
      </c>
      <c r="J319" s="22" t="s">
        <v>907</v>
      </c>
      <c r="K319" s="9">
        <v>3</v>
      </c>
      <c r="L319" s="15"/>
      <c r="M319" s="16" t="s">
        <v>54</v>
      </c>
      <c r="N319" s="14"/>
      <c r="O319" s="15" t="s">
        <v>55</v>
      </c>
      <c r="P319" s="10" t="s">
        <v>1378</v>
      </c>
      <c r="Q319" s="15"/>
      <c r="R319" s="17" t="s">
        <v>54</v>
      </c>
      <c r="S319" s="18"/>
      <c r="T319" s="22" t="str">
        <f>IF(R319="維持",J319,IF(R319="排除","無關新聞事件",IFERROR(INDEX(事件規則!$B$2:$B$53,MATCH(S319,事件規則!$A$2:$A$53,0)),"")))</f>
        <v>裁員或人力縮減</v>
      </c>
      <c r="U319" s="9">
        <f>IF(R319="維持",K319,IF(R319="排除",0,IFERROR(INDEX(事件規則!$C$2:$C$53,MATCH(S319,事件規則!$A$2:$A$53,0)),"")))</f>
        <v>3</v>
      </c>
      <c r="V319" s="19"/>
      <c r="W319" s="20"/>
      <c r="X319" s="10" t="str">
        <f t="shared" si="4"/>
        <v/>
      </c>
      <c r="Y319" s="19"/>
      <c r="Z319" s="20"/>
      <c r="AA319" s="12" t="s">
        <v>1425</v>
      </c>
      <c r="AB319" s="23"/>
    </row>
    <row r="320" spans="1:28" ht="25.5">
      <c r="A320" s="15">
        <v>319</v>
      </c>
      <c r="B320" s="9" t="s">
        <v>269</v>
      </c>
      <c r="C320" s="9" t="s">
        <v>502</v>
      </c>
      <c r="D320" s="10" t="s">
        <v>503</v>
      </c>
      <c r="E320" s="21" t="s">
        <v>1426</v>
      </c>
      <c r="F320" s="22" t="s">
        <v>1427</v>
      </c>
      <c r="G320" s="12" t="s">
        <v>1428</v>
      </c>
      <c r="H320" s="13">
        <v>-0.95</v>
      </c>
      <c r="I320" s="14" t="s">
        <v>906</v>
      </c>
      <c r="J320" s="22" t="s">
        <v>907</v>
      </c>
      <c r="K320" s="9">
        <v>3</v>
      </c>
      <c r="L320" s="15"/>
      <c r="M320" s="16" t="s">
        <v>54</v>
      </c>
      <c r="N320" s="14"/>
      <c r="O320" s="15" t="s">
        <v>55</v>
      </c>
      <c r="P320" s="10" t="s">
        <v>1387</v>
      </c>
      <c r="Q320" s="15"/>
      <c r="R320" s="17" t="s">
        <v>54</v>
      </c>
      <c r="S320" s="18"/>
      <c r="T320" s="22" t="str">
        <f>IF(R320="維持",J320,IF(R320="排除","無關新聞事件",IFERROR(INDEX(事件規則!$B$2:$B$53,MATCH(S320,事件規則!$A$2:$A$53,0)),"")))</f>
        <v>裁員或人力縮減</v>
      </c>
      <c r="U320" s="9">
        <f>IF(R320="維持",K320,IF(R320="排除",0,IFERROR(INDEX(事件規則!$C$2:$C$53,MATCH(S320,事件規則!$A$2:$A$53,0)),"")))</f>
        <v>3</v>
      </c>
      <c r="V320" s="19"/>
      <c r="W320" s="20"/>
      <c r="X320" s="10" t="str">
        <f t="shared" si="4"/>
        <v/>
      </c>
      <c r="Y320" s="19"/>
      <c r="Z320" s="20"/>
      <c r="AA320" s="12" t="s">
        <v>1429</v>
      </c>
      <c r="AB320" s="23"/>
    </row>
    <row r="321" spans="1:28" ht="25.5">
      <c r="A321" s="15">
        <v>320</v>
      </c>
      <c r="B321" s="9" t="s">
        <v>269</v>
      </c>
      <c r="C321" s="9" t="s">
        <v>1374</v>
      </c>
      <c r="D321" s="10" t="s">
        <v>1375</v>
      </c>
      <c r="E321" s="21" t="s">
        <v>1430</v>
      </c>
      <c r="F321" s="22" t="s">
        <v>1431</v>
      </c>
      <c r="G321" s="12" t="s">
        <v>1432</v>
      </c>
      <c r="H321" s="13">
        <v>-0.95899999999999996</v>
      </c>
      <c r="I321" s="14" t="s">
        <v>906</v>
      </c>
      <c r="J321" s="22" t="s">
        <v>907</v>
      </c>
      <c r="K321" s="9">
        <v>3</v>
      </c>
      <c r="L321" s="15"/>
      <c r="M321" s="16" t="s">
        <v>54</v>
      </c>
      <c r="N321" s="14"/>
      <c r="O321" s="15" t="s">
        <v>55</v>
      </c>
      <c r="P321" s="10" t="s">
        <v>1378</v>
      </c>
      <c r="Q321" s="15"/>
      <c r="R321" s="17" t="s">
        <v>54</v>
      </c>
      <c r="S321" s="18"/>
      <c r="T321" s="22" t="str">
        <f>IF(R321="維持",J321,IF(R321="排除","無關新聞事件",IFERROR(INDEX(事件規則!$B$2:$B$53,MATCH(S321,事件規則!$A$2:$A$53,0)),"")))</f>
        <v>裁員或人力縮減</v>
      </c>
      <c r="U321" s="9">
        <f>IF(R321="維持",K321,IF(R321="排除",0,IFERROR(INDEX(事件規則!$C$2:$C$53,MATCH(S321,事件規則!$A$2:$A$53,0)),"")))</f>
        <v>3</v>
      </c>
      <c r="V321" s="19"/>
      <c r="W321" s="20"/>
      <c r="X321" s="10" t="str">
        <f t="shared" si="4"/>
        <v/>
      </c>
      <c r="Y321" s="19"/>
      <c r="Z321" s="20"/>
      <c r="AA321" s="12" t="s">
        <v>1433</v>
      </c>
      <c r="AB321" s="23"/>
    </row>
    <row r="322" spans="1:28" ht="25.5">
      <c r="A322" s="15">
        <v>321</v>
      </c>
      <c r="B322" s="9" t="s">
        <v>269</v>
      </c>
      <c r="C322" s="9" t="s">
        <v>502</v>
      </c>
      <c r="D322" s="10" t="s">
        <v>503</v>
      </c>
      <c r="E322" s="21" t="s">
        <v>1434</v>
      </c>
      <c r="F322" s="22" t="s">
        <v>1435</v>
      </c>
      <c r="G322" s="12" t="s">
        <v>1436</v>
      </c>
      <c r="H322" s="13">
        <v>-0.92800000000000005</v>
      </c>
      <c r="I322" s="14" t="s">
        <v>906</v>
      </c>
      <c r="J322" s="22" t="s">
        <v>907</v>
      </c>
      <c r="K322" s="9">
        <v>3</v>
      </c>
      <c r="L322" s="15"/>
      <c r="M322" s="16" t="s">
        <v>54</v>
      </c>
      <c r="N322" s="14"/>
      <c r="O322" s="15" t="s">
        <v>55</v>
      </c>
      <c r="P322" s="10" t="s">
        <v>1387</v>
      </c>
      <c r="Q322" s="15"/>
      <c r="R322" s="17" t="s">
        <v>54</v>
      </c>
      <c r="S322" s="18"/>
      <c r="T322" s="22" t="str">
        <f>IF(R322="維持",J322,IF(R322="排除","無關新聞事件",IFERROR(INDEX(事件規則!$B$2:$B$53,MATCH(S322,事件規則!$A$2:$A$53,0)),"")))</f>
        <v>裁員或人力縮減</v>
      </c>
      <c r="U322" s="9">
        <f>IF(R322="維持",K322,IF(R322="排除",0,IFERROR(INDEX(事件規則!$C$2:$C$53,MATCH(S322,事件規則!$A$2:$A$53,0)),"")))</f>
        <v>3</v>
      </c>
      <c r="V322" s="19"/>
      <c r="W322" s="20"/>
      <c r="X322" s="10" t="str">
        <f t="shared" ref="X322:X385" si="5">IF(AND(R322="修改",S322=""),"請選新事件代碼",IF(AND(R322&lt;&gt;"修改",S322&lt;&gt;""),"只有「修改」才需填代碼",""))</f>
        <v/>
      </c>
      <c r="Y322" s="19"/>
      <c r="Z322" s="20"/>
      <c r="AA322" s="12" t="s">
        <v>1437</v>
      </c>
      <c r="AB322" s="23"/>
    </row>
    <row r="323" spans="1:28" ht="25.5">
      <c r="A323" s="15">
        <v>322</v>
      </c>
      <c r="B323" s="9" t="s">
        <v>459</v>
      </c>
      <c r="C323" s="9" t="s">
        <v>1374</v>
      </c>
      <c r="D323" s="10" t="s">
        <v>1375</v>
      </c>
      <c r="E323" s="21" t="s">
        <v>1438</v>
      </c>
      <c r="F323" s="10" t="s">
        <v>1439</v>
      </c>
      <c r="G323" s="12" t="s">
        <v>1440</v>
      </c>
      <c r="H323" s="13">
        <v>-0.94399999999999995</v>
      </c>
      <c r="I323" s="14" t="s">
        <v>906</v>
      </c>
      <c r="J323" s="22" t="s">
        <v>907</v>
      </c>
      <c r="K323" s="9">
        <v>3</v>
      </c>
      <c r="L323" s="15"/>
      <c r="M323" s="16" t="s">
        <v>54</v>
      </c>
      <c r="N323" s="14"/>
      <c r="O323" s="15" t="s">
        <v>65</v>
      </c>
      <c r="P323" s="10" t="s">
        <v>1410</v>
      </c>
      <c r="Q323" s="15"/>
      <c r="R323" s="17" t="s">
        <v>54</v>
      </c>
      <c r="S323" s="18"/>
      <c r="T323" s="22" t="str">
        <f>IF(R323="維持",J323,IF(R323="排除","無關新聞事件",IFERROR(INDEX(事件規則!$B$2:$B$53,MATCH(S323,事件規則!$A$2:$A$53,0)),"")))</f>
        <v>裁員或人力縮減</v>
      </c>
      <c r="U323" s="9">
        <f>IF(R323="維持",K323,IF(R323="排除",0,IFERROR(INDEX(事件規則!$C$2:$C$53,MATCH(S323,事件規則!$A$2:$A$53,0)),"")))</f>
        <v>3</v>
      </c>
      <c r="V323" s="19"/>
      <c r="W323" s="20"/>
      <c r="X323" s="10" t="str">
        <f t="shared" si="5"/>
        <v/>
      </c>
      <c r="Y323" s="19"/>
      <c r="Z323" s="20"/>
      <c r="AA323" s="12" t="s">
        <v>1441</v>
      </c>
      <c r="AB323" s="23"/>
    </row>
    <row r="324" spans="1:28" ht="25.5">
      <c r="A324" s="15">
        <v>323</v>
      </c>
      <c r="B324" s="9" t="s">
        <v>459</v>
      </c>
      <c r="C324" s="9" t="s">
        <v>1374</v>
      </c>
      <c r="D324" s="10" t="s">
        <v>1375</v>
      </c>
      <c r="E324" s="21" t="s">
        <v>1442</v>
      </c>
      <c r="F324" s="10" t="s">
        <v>1443</v>
      </c>
      <c r="G324" s="12" t="s">
        <v>1444</v>
      </c>
      <c r="H324" s="13">
        <v>-0.89600000000000002</v>
      </c>
      <c r="I324" s="14" t="s">
        <v>906</v>
      </c>
      <c r="J324" s="22" t="s">
        <v>907</v>
      </c>
      <c r="K324" s="9">
        <v>3</v>
      </c>
      <c r="L324" s="15"/>
      <c r="M324" s="16" t="s">
        <v>54</v>
      </c>
      <c r="N324" s="14"/>
      <c r="O324" s="15" t="s">
        <v>65</v>
      </c>
      <c r="P324" s="10" t="s">
        <v>1410</v>
      </c>
      <c r="Q324" s="15"/>
      <c r="R324" s="17" t="s">
        <v>54</v>
      </c>
      <c r="S324" s="18"/>
      <c r="T324" s="22" t="str">
        <f>IF(R324="維持",J324,IF(R324="排除","無關新聞事件",IFERROR(INDEX(事件規則!$B$2:$B$53,MATCH(S324,事件規則!$A$2:$A$53,0)),"")))</f>
        <v>裁員或人力縮減</v>
      </c>
      <c r="U324" s="9">
        <f>IF(R324="維持",K324,IF(R324="排除",0,IFERROR(INDEX(事件規則!$C$2:$C$53,MATCH(S324,事件規則!$A$2:$A$53,0)),"")))</f>
        <v>3</v>
      </c>
      <c r="V324" s="19"/>
      <c r="W324" s="20"/>
      <c r="X324" s="10" t="str">
        <f t="shared" si="5"/>
        <v/>
      </c>
      <c r="Y324" s="19"/>
      <c r="Z324" s="20"/>
      <c r="AA324" s="12" t="s">
        <v>1445</v>
      </c>
      <c r="AB324" s="23"/>
    </row>
    <row r="325" spans="1:28" ht="38.25">
      <c r="A325" s="15">
        <v>324</v>
      </c>
      <c r="B325" s="9" t="s">
        <v>459</v>
      </c>
      <c r="C325" s="9" t="s">
        <v>1374</v>
      </c>
      <c r="D325" s="10" t="s">
        <v>1375</v>
      </c>
      <c r="E325" s="21" t="s">
        <v>1446</v>
      </c>
      <c r="F325" s="10" t="s">
        <v>1447</v>
      </c>
      <c r="G325" s="12" t="s">
        <v>1448</v>
      </c>
      <c r="H325" s="13">
        <v>-0.71899999999999997</v>
      </c>
      <c r="I325" s="14" t="s">
        <v>906</v>
      </c>
      <c r="J325" s="22" t="s">
        <v>907</v>
      </c>
      <c r="K325" s="9">
        <v>3</v>
      </c>
      <c r="L325" s="15"/>
      <c r="M325" s="16" t="s">
        <v>54</v>
      </c>
      <c r="N325" s="14"/>
      <c r="O325" s="15" t="s">
        <v>65</v>
      </c>
      <c r="P325" s="10" t="s">
        <v>1410</v>
      </c>
      <c r="Q325" s="15"/>
      <c r="R325" s="17" t="s">
        <v>54</v>
      </c>
      <c r="S325" s="18"/>
      <c r="T325" s="22" t="str">
        <f>IF(R325="維持",J325,IF(R325="排除","無關新聞事件",IFERROR(INDEX(事件規則!$B$2:$B$53,MATCH(S325,事件規則!$A$2:$A$53,0)),"")))</f>
        <v>裁員或人力縮減</v>
      </c>
      <c r="U325" s="9">
        <f>IF(R325="維持",K325,IF(R325="排除",0,IFERROR(INDEX(事件規則!$C$2:$C$53,MATCH(S325,事件規則!$A$2:$A$53,0)),"")))</f>
        <v>3</v>
      </c>
      <c r="V325" s="19"/>
      <c r="W325" s="20"/>
      <c r="X325" s="10" t="str">
        <f t="shared" si="5"/>
        <v/>
      </c>
      <c r="Y325" s="19"/>
      <c r="Z325" s="20"/>
      <c r="AA325" s="12" t="s">
        <v>1449</v>
      </c>
      <c r="AB325" s="23"/>
    </row>
    <row r="326" spans="1:28" ht="25.5">
      <c r="A326" s="15">
        <v>325</v>
      </c>
      <c r="B326" s="9" t="s">
        <v>459</v>
      </c>
      <c r="C326" s="9" t="s">
        <v>1374</v>
      </c>
      <c r="D326" s="10" t="s">
        <v>1375</v>
      </c>
      <c r="E326" s="21" t="s">
        <v>1450</v>
      </c>
      <c r="F326" s="22" t="s">
        <v>1451</v>
      </c>
      <c r="G326" s="12" t="s">
        <v>1452</v>
      </c>
      <c r="H326" s="13">
        <v>-0.95599999999999996</v>
      </c>
      <c r="I326" s="14" t="s">
        <v>906</v>
      </c>
      <c r="J326" s="22" t="s">
        <v>907</v>
      </c>
      <c r="K326" s="9">
        <v>3</v>
      </c>
      <c r="L326" s="15"/>
      <c r="M326" s="16" t="s">
        <v>54</v>
      </c>
      <c r="N326" s="14"/>
      <c r="O326" s="15" t="s">
        <v>65</v>
      </c>
      <c r="P326" s="10" t="s">
        <v>1410</v>
      </c>
      <c r="Q326" s="15"/>
      <c r="R326" s="17" t="s">
        <v>54</v>
      </c>
      <c r="S326" s="18"/>
      <c r="T326" s="22" t="str">
        <f>IF(R326="維持",J326,IF(R326="排除","無關新聞事件",IFERROR(INDEX(事件規則!$B$2:$B$53,MATCH(S326,事件規則!$A$2:$A$53,0)),"")))</f>
        <v>裁員或人力縮減</v>
      </c>
      <c r="U326" s="9">
        <f>IF(R326="維持",K326,IF(R326="排除",0,IFERROR(INDEX(事件規則!$C$2:$C$53,MATCH(S326,事件規則!$A$2:$A$53,0)),"")))</f>
        <v>3</v>
      </c>
      <c r="V326" s="19"/>
      <c r="W326" s="20"/>
      <c r="X326" s="10" t="str">
        <f t="shared" si="5"/>
        <v/>
      </c>
      <c r="Y326" s="19"/>
      <c r="Z326" s="20"/>
      <c r="AA326" s="12" t="s">
        <v>1453</v>
      </c>
      <c r="AB326" s="23"/>
    </row>
    <row r="327" spans="1:28" ht="25.5">
      <c r="A327" s="15">
        <v>326</v>
      </c>
      <c r="B327" s="9" t="s">
        <v>459</v>
      </c>
      <c r="C327" s="9" t="s">
        <v>1374</v>
      </c>
      <c r="D327" s="10" t="s">
        <v>1375</v>
      </c>
      <c r="E327" s="21" t="s">
        <v>1454</v>
      </c>
      <c r="F327" s="10" t="s">
        <v>1455</v>
      </c>
      <c r="G327" s="12" t="s">
        <v>983</v>
      </c>
      <c r="H327" s="13">
        <v>-0.89</v>
      </c>
      <c r="I327" s="14" t="s">
        <v>906</v>
      </c>
      <c r="J327" s="22" t="s">
        <v>907</v>
      </c>
      <c r="K327" s="9">
        <v>3</v>
      </c>
      <c r="L327" s="15"/>
      <c r="M327" s="16" t="s">
        <v>54</v>
      </c>
      <c r="N327" s="14"/>
      <c r="O327" s="15" t="s">
        <v>55</v>
      </c>
      <c r="P327" s="10" t="s">
        <v>1378</v>
      </c>
      <c r="Q327" s="15"/>
      <c r="R327" s="17" t="s">
        <v>54</v>
      </c>
      <c r="S327" s="18"/>
      <c r="T327" s="22" t="str">
        <f>IF(R327="維持",J327,IF(R327="排除","無關新聞事件",IFERROR(INDEX(事件規則!$B$2:$B$53,MATCH(S327,事件規則!$A$2:$A$53,0)),"")))</f>
        <v>裁員或人力縮減</v>
      </c>
      <c r="U327" s="9">
        <f>IF(R327="維持",K327,IF(R327="排除",0,IFERROR(INDEX(事件規則!$C$2:$C$53,MATCH(S327,事件規則!$A$2:$A$53,0)),"")))</f>
        <v>3</v>
      </c>
      <c r="V327" s="19"/>
      <c r="W327" s="20"/>
      <c r="X327" s="10" t="str">
        <f t="shared" si="5"/>
        <v/>
      </c>
      <c r="Y327" s="19"/>
      <c r="Z327" s="20"/>
      <c r="AA327" s="12" t="s">
        <v>1456</v>
      </c>
      <c r="AB327" s="23"/>
    </row>
    <row r="328" spans="1:28" ht="25.5">
      <c r="A328" s="15">
        <v>327</v>
      </c>
      <c r="B328" s="9" t="s">
        <v>459</v>
      </c>
      <c r="C328" s="9" t="s">
        <v>1374</v>
      </c>
      <c r="D328" s="10" t="s">
        <v>1375</v>
      </c>
      <c r="E328" s="21" t="s">
        <v>1457</v>
      </c>
      <c r="F328" s="10" t="s">
        <v>1458</v>
      </c>
      <c r="G328" s="12" t="s">
        <v>1351</v>
      </c>
      <c r="H328" s="13">
        <v>-0.83</v>
      </c>
      <c r="I328" s="14" t="s">
        <v>906</v>
      </c>
      <c r="J328" s="22" t="s">
        <v>907</v>
      </c>
      <c r="K328" s="9">
        <v>3</v>
      </c>
      <c r="L328" s="15"/>
      <c r="M328" s="16" t="s">
        <v>54</v>
      </c>
      <c r="N328" s="14"/>
      <c r="O328" s="15" t="s">
        <v>55</v>
      </c>
      <c r="P328" s="10" t="s">
        <v>1378</v>
      </c>
      <c r="Q328" s="15"/>
      <c r="R328" s="17" t="s">
        <v>54</v>
      </c>
      <c r="S328" s="18"/>
      <c r="T328" s="22" t="str">
        <f>IF(R328="維持",J328,IF(R328="排除","無關新聞事件",IFERROR(INDEX(事件規則!$B$2:$B$53,MATCH(S328,事件規則!$A$2:$A$53,0)),"")))</f>
        <v>裁員或人力縮減</v>
      </c>
      <c r="U328" s="9">
        <f>IF(R328="維持",K328,IF(R328="排除",0,IFERROR(INDEX(事件規則!$C$2:$C$53,MATCH(S328,事件規則!$A$2:$A$53,0)),"")))</f>
        <v>3</v>
      </c>
      <c r="V328" s="19"/>
      <c r="W328" s="20"/>
      <c r="X328" s="10" t="str">
        <f t="shared" si="5"/>
        <v/>
      </c>
      <c r="Y328" s="19"/>
      <c r="Z328" s="20"/>
      <c r="AA328" s="12" t="s">
        <v>1459</v>
      </c>
      <c r="AB328" s="23"/>
    </row>
    <row r="329" spans="1:28" ht="25.5">
      <c r="A329" s="15">
        <v>328</v>
      </c>
      <c r="B329" s="9" t="s">
        <v>516</v>
      </c>
      <c r="C329" s="9" t="s">
        <v>1460</v>
      </c>
      <c r="D329" s="10" t="s">
        <v>1461</v>
      </c>
      <c r="E329" s="21" t="s">
        <v>1462</v>
      </c>
      <c r="F329" s="22" t="s">
        <v>1463</v>
      </c>
      <c r="G329" s="12" t="s">
        <v>983</v>
      </c>
      <c r="H329" s="13">
        <v>-0.96199999999999997</v>
      </c>
      <c r="I329" s="14" t="s">
        <v>906</v>
      </c>
      <c r="J329" s="22" t="s">
        <v>907</v>
      </c>
      <c r="K329" s="9">
        <v>3</v>
      </c>
      <c r="L329" s="15" t="s">
        <v>53</v>
      </c>
      <c r="M329" s="16" t="s">
        <v>54</v>
      </c>
      <c r="N329" s="14"/>
      <c r="O329" s="15" t="s">
        <v>55</v>
      </c>
      <c r="P329" s="10" t="s">
        <v>1387</v>
      </c>
      <c r="Q329" s="15"/>
      <c r="R329" s="17" t="s">
        <v>54</v>
      </c>
      <c r="S329" s="18"/>
      <c r="T329" s="22" t="str">
        <f>IF(R329="維持",J329,IF(R329="排除","無關新聞事件",IFERROR(INDEX(事件規則!$B$2:$B$53,MATCH(S329,事件規則!$A$2:$A$53,0)),"")))</f>
        <v>裁員或人力縮減</v>
      </c>
      <c r="U329" s="9">
        <f>IF(R329="維持",K329,IF(R329="排除",0,IFERROR(INDEX(事件規則!$C$2:$C$53,MATCH(S329,事件規則!$A$2:$A$53,0)),"")))</f>
        <v>3</v>
      </c>
      <c r="V329" s="19"/>
      <c r="W329" s="20"/>
      <c r="X329" s="10" t="str">
        <f t="shared" si="5"/>
        <v/>
      </c>
      <c r="Y329" s="19"/>
      <c r="Z329" s="20"/>
      <c r="AA329" s="12" t="s">
        <v>1464</v>
      </c>
      <c r="AB329" s="23"/>
    </row>
    <row r="330" spans="1:28" ht="25.5">
      <c r="A330" s="15">
        <v>329</v>
      </c>
      <c r="B330" s="9" t="s">
        <v>68</v>
      </c>
      <c r="C330" s="9" t="s">
        <v>1374</v>
      </c>
      <c r="D330" s="10" t="s">
        <v>1465</v>
      </c>
      <c r="E330" s="21" t="s">
        <v>1466</v>
      </c>
      <c r="F330" s="10" t="s">
        <v>1467</v>
      </c>
      <c r="G330" s="12" t="s">
        <v>1468</v>
      </c>
      <c r="H330" s="13">
        <v>-0.96399999999999997</v>
      </c>
      <c r="I330" s="14" t="s">
        <v>906</v>
      </c>
      <c r="J330" s="22" t="s">
        <v>907</v>
      </c>
      <c r="K330" s="9">
        <v>3</v>
      </c>
      <c r="L330" s="15" t="s">
        <v>53</v>
      </c>
      <c r="M330" s="16" t="s">
        <v>54</v>
      </c>
      <c r="N330" s="14"/>
      <c r="O330" s="15" t="s">
        <v>55</v>
      </c>
      <c r="P330" s="10" t="s">
        <v>1378</v>
      </c>
      <c r="Q330" s="15"/>
      <c r="R330" s="17" t="s">
        <v>54</v>
      </c>
      <c r="S330" s="18"/>
      <c r="T330" s="22" t="str">
        <f>IF(R330="維持",J330,IF(R330="排除","無關新聞事件",IFERROR(INDEX(事件規則!$B$2:$B$53,MATCH(S330,事件規則!$A$2:$A$53,0)),"")))</f>
        <v>裁員或人力縮減</v>
      </c>
      <c r="U330" s="9">
        <f>IF(R330="維持",K330,IF(R330="排除",0,IFERROR(INDEX(事件規則!$C$2:$C$53,MATCH(S330,事件規則!$A$2:$A$53,0)),"")))</f>
        <v>3</v>
      </c>
      <c r="V330" s="19"/>
      <c r="W330" s="20"/>
      <c r="X330" s="10" t="str">
        <f t="shared" si="5"/>
        <v/>
      </c>
      <c r="Y330" s="19"/>
      <c r="Z330" s="20"/>
      <c r="AA330" s="12" t="s">
        <v>1469</v>
      </c>
      <c r="AB330" s="23"/>
    </row>
    <row r="331" spans="1:28" ht="25.5">
      <c r="A331" s="15">
        <v>330</v>
      </c>
      <c r="B331" s="9" t="s">
        <v>1470</v>
      </c>
      <c r="C331" s="9" t="s">
        <v>782</v>
      </c>
      <c r="D331" s="10" t="s">
        <v>1471</v>
      </c>
      <c r="E331" s="21" t="s">
        <v>1472</v>
      </c>
      <c r="F331" s="22" t="s">
        <v>1473</v>
      </c>
      <c r="G331" s="12" t="s">
        <v>1474</v>
      </c>
      <c r="H331" s="13">
        <v>-0.96099999999999997</v>
      </c>
      <c r="I331" s="14" t="s">
        <v>906</v>
      </c>
      <c r="J331" s="22" t="s">
        <v>907</v>
      </c>
      <c r="K331" s="9">
        <v>3</v>
      </c>
      <c r="L331" s="15" t="s">
        <v>53</v>
      </c>
      <c r="M331" s="16" t="s">
        <v>54</v>
      </c>
      <c r="N331" s="14"/>
      <c r="O331" s="15" t="s">
        <v>65</v>
      </c>
      <c r="P331" s="22" t="s">
        <v>1475</v>
      </c>
      <c r="Q331" s="15"/>
      <c r="R331" s="17" t="s">
        <v>54</v>
      </c>
      <c r="S331" s="18"/>
      <c r="T331" s="22" t="str">
        <f>IF(R331="維持",J331,IF(R331="排除","無關新聞事件",IFERROR(INDEX(事件規則!$B$2:$B$53,MATCH(S331,事件規則!$A$2:$A$53,0)),"")))</f>
        <v>裁員或人力縮減</v>
      </c>
      <c r="U331" s="9">
        <f>IF(R331="維持",K331,IF(R331="排除",0,IFERROR(INDEX(事件規則!$C$2:$C$53,MATCH(S331,事件規則!$A$2:$A$53,0)),"")))</f>
        <v>3</v>
      </c>
      <c r="V331" s="19"/>
      <c r="W331" s="20"/>
      <c r="X331" s="10" t="str">
        <f t="shared" si="5"/>
        <v/>
      </c>
      <c r="Y331" s="19"/>
      <c r="Z331" s="20"/>
      <c r="AA331" s="12" t="s">
        <v>1476</v>
      </c>
      <c r="AB331" s="23"/>
    </row>
    <row r="332" spans="1:28" ht="38.25">
      <c r="A332" s="15">
        <v>331</v>
      </c>
      <c r="B332" s="9" t="s">
        <v>45</v>
      </c>
      <c r="C332" s="9" t="s">
        <v>288</v>
      </c>
      <c r="D332" s="10" t="s">
        <v>517</v>
      </c>
      <c r="E332" s="21" t="s">
        <v>1477</v>
      </c>
      <c r="F332" s="10" t="s">
        <v>1478</v>
      </c>
      <c r="G332" s="23" t="s">
        <v>110</v>
      </c>
      <c r="H332" s="13"/>
      <c r="I332" s="14" t="s">
        <v>51</v>
      </c>
      <c r="J332" s="10" t="s">
        <v>52</v>
      </c>
      <c r="K332" s="9">
        <v>3</v>
      </c>
      <c r="L332" s="15" t="s">
        <v>1479</v>
      </c>
      <c r="M332" s="16" t="s">
        <v>54</v>
      </c>
      <c r="N332" s="14"/>
      <c r="O332" s="15" t="s">
        <v>55</v>
      </c>
      <c r="P332" s="10" t="s">
        <v>1480</v>
      </c>
      <c r="Q332" s="15"/>
      <c r="R332" s="17" t="s">
        <v>54</v>
      </c>
      <c r="S332" s="18"/>
      <c r="T332" s="22" t="str">
        <f>IF(R332="維持",J332,IF(R332="排除","無關新聞事件",IFERROR(INDEX(事件規則!$B$2:$B$53,MATCH(S332,事件規則!$A$2:$A$53,0)),"")))</f>
        <v>CDS利差擴大／信用風險升高</v>
      </c>
      <c r="U332" s="9">
        <f>IF(R332="維持",K332,IF(R332="排除",0,IFERROR(INDEX(事件規則!$C$2:$C$53,MATCH(S332,事件規則!$A$2:$A$53,0)),"")))</f>
        <v>3</v>
      </c>
      <c r="V332" s="19"/>
      <c r="W332" s="20"/>
      <c r="X332" s="10" t="str">
        <f t="shared" si="5"/>
        <v/>
      </c>
      <c r="Y332" s="19"/>
      <c r="Z332" s="20"/>
      <c r="AA332" s="12" t="s">
        <v>1481</v>
      </c>
      <c r="AB332" s="23"/>
    </row>
    <row r="333" spans="1:28" ht="38.25">
      <c r="A333" s="15">
        <v>332</v>
      </c>
      <c r="B333" s="9" t="s">
        <v>45</v>
      </c>
      <c r="C333" s="9" t="s">
        <v>46</v>
      </c>
      <c r="D333" s="10" t="s">
        <v>47</v>
      </c>
      <c r="E333" s="21" t="s">
        <v>1482</v>
      </c>
      <c r="F333" s="22" t="s">
        <v>1483</v>
      </c>
      <c r="G333" s="12" t="s">
        <v>1484</v>
      </c>
      <c r="H333" s="13"/>
      <c r="I333" s="14" t="s">
        <v>51</v>
      </c>
      <c r="J333" s="10" t="s">
        <v>52</v>
      </c>
      <c r="K333" s="9">
        <v>3</v>
      </c>
      <c r="L333" s="15" t="s">
        <v>1479</v>
      </c>
      <c r="M333" s="16" t="s">
        <v>54</v>
      </c>
      <c r="N333" s="14"/>
      <c r="O333" s="15" t="s">
        <v>55</v>
      </c>
      <c r="P333" s="10" t="s">
        <v>1485</v>
      </c>
      <c r="Q333" s="15"/>
      <c r="R333" s="17" t="s">
        <v>54</v>
      </c>
      <c r="S333" s="18"/>
      <c r="T333" s="22" t="str">
        <f>IF(R333="維持",J333,IF(R333="排除","無關新聞事件",IFERROR(INDEX(事件規則!$B$2:$B$53,MATCH(S333,事件規則!$A$2:$A$53,0)),"")))</f>
        <v>CDS利差擴大／信用風險升高</v>
      </c>
      <c r="U333" s="9">
        <f>IF(R333="維持",K333,IF(R333="排除",0,IFERROR(INDEX(事件規則!$C$2:$C$53,MATCH(S333,事件規則!$A$2:$A$53,0)),"")))</f>
        <v>3</v>
      </c>
      <c r="V333" s="19"/>
      <c r="W333" s="20"/>
      <c r="X333" s="10" t="str">
        <f t="shared" si="5"/>
        <v/>
      </c>
      <c r="Y333" s="19"/>
      <c r="Z333" s="20"/>
      <c r="AA333" s="12" t="s">
        <v>1486</v>
      </c>
      <c r="AB333" s="23"/>
    </row>
    <row r="334" spans="1:28" ht="38.25">
      <c r="A334" s="15">
        <v>333</v>
      </c>
      <c r="B334" s="9" t="s">
        <v>45</v>
      </c>
      <c r="C334" s="9" t="s">
        <v>46</v>
      </c>
      <c r="D334" s="10" t="s">
        <v>47</v>
      </c>
      <c r="E334" s="21" t="s">
        <v>1487</v>
      </c>
      <c r="F334" s="22" t="s">
        <v>1488</v>
      </c>
      <c r="G334" s="23" t="s">
        <v>1489</v>
      </c>
      <c r="H334" s="13"/>
      <c r="I334" s="14" t="s">
        <v>51</v>
      </c>
      <c r="J334" s="10" t="s">
        <v>52</v>
      </c>
      <c r="K334" s="9">
        <v>3</v>
      </c>
      <c r="L334" s="15" t="s">
        <v>1479</v>
      </c>
      <c r="M334" s="16" t="s">
        <v>54</v>
      </c>
      <c r="N334" s="14"/>
      <c r="O334" s="15" t="s">
        <v>65</v>
      </c>
      <c r="P334" s="10" t="s">
        <v>1490</v>
      </c>
      <c r="Q334" s="15"/>
      <c r="R334" s="17" t="s">
        <v>54</v>
      </c>
      <c r="S334" s="18"/>
      <c r="T334" s="22" t="str">
        <f>IF(R334="維持",J334,IF(R334="排除","無關新聞事件",IFERROR(INDEX(事件規則!$B$2:$B$53,MATCH(S334,事件規則!$A$2:$A$53,0)),"")))</f>
        <v>CDS利差擴大／信用風險升高</v>
      </c>
      <c r="U334" s="9">
        <f>IF(R334="維持",K334,IF(R334="排除",0,IFERROR(INDEX(事件規則!$C$2:$C$53,MATCH(S334,事件規則!$A$2:$A$53,0)),"")))</f>
        <v>3</v>
      </c>
      <c r="V334" s="19"/>
      <c r="W334" s="20"/>
      <c r="X334" s="10" t="str">
        <f t="shared" si="5"/>
        <v/>
      </c>
      <c r="Y334" s="19"/>
      <c r="Z334" s="20"/>
      <c r="AA334" s="12" t="s">
        <v>1491</v>
      </c>
      <c r="AB334" s="23"/>
    </row>
    <row r="335" spans="1:28" ht="38.25">
      <c r="A335" s="15">
        <v>334</v>
      </c>
      <c r="B335" s="9" t="s">
        <v>45</v>
      </c>
      <c r="C335" s="9" t="s">
        <v>297</v>
      </c>
      <c r="D335" s="10" t="s">
        <v>1492</v>
      </c>
      <c r="E335" s="11" t="s">
        <v>1493</v>
      </c>
      <c r="F335" s="22" t="s">
        <v>1494</v>
      </c>
      <c r="G335" s="12" t="s">
        <v>1495</v>
      </c>
      <c r="H335" s="13"/>
      <c r="I335" s="14" t="s">
        <v>51</v>
      </c>
      <c r="J335" s="10" t="s">
        <v>52</v>
      </c>
      <c r="K335" s="9">
        <v>3</v>
      </c>
      <c r="L335" s="15" t="s">
        <v>1479</v>
      </c>
      <c r="M335" s="16" t="s">
        <v>74</v>
      </c>
      <c r="N335" s="14"/>
      <c r="O335" s="15" t="s">
        <v>65</v>
      </c>
      <c r="P335" s="22" t="s">
        <v>1150</v>
      </c>
      <c r="Q335" s="15"/>
      <c r="R335" s="17" t="s">
        <v>74</v>
      </c>
      <c r="S335" s="18"/>
      <c r="T335" s="22" t="str">
        <f>IF(R335="維持",J335,IF(R335="排除","無關新聞事件",IFERROR(INDEX(事件規則!$B$2:$B$53,MATCH(S335,事件規則!$A$2:$A$53,0)),"")))</f>
        <v>無關新聞事件</v>
      </c>
      <c r="U335" s="9">
        <f>IF(R335="維持",K335,IF(R335="排除",0,IFERROR(INDEX(事件規則!$C$2:$C$53,MATCH(S335,事件規則!$A$2:$A$53,0)),"")))</f>
        <v>0</v>
      </c>
      <c r="V335" s="19"/>
      <c r="W335" s="20"/>
      <c r="X335" s="10" t="str">
        <f t="shared" si="5"/>
        <v/>
      </c>
      <c r="Y335" s="19"/>
      <c r="Z335" s="20"/>
      <c r="AA335" s="12" t="s">
        <v>1496</v>
      </c>
      <c r="AB335" s="23"/>
    </row>
    <row r="336" spans="1:28" ht="38.25">
      <c r="A336" s="15">
        <v>335</v>
      </c>
      <c r="B336" s="9" t="s">
        <v>45</v>
      </c>
      <c r="C336" s="9" t="s">
        <v>288</v>
      </c>
      <c r="D336" s="10" t="s">
        <v>517</v>
      </c>
      <c r="E336" s="21" t="s">
        <v>1497</v>
      </c>
      <c r="F336" s="10" t="s">
        <v>1498</v>
      </c>
      <c r="G336" s="23" t="s">
        <v>110</v>
      </c>
      <c r="H336" s="13"/>
      <c r="I336" s="14" t="s">
        <v>51</v>
      </c>
      <c r="J336" s="10" t="s">
        <v>52</v>
      </c>
      <c r="K336" s="9">
        <v>3</v>
      </c>
      <c r="L336" s="15" t="s">
        <v>1479</v>
      </c>
      <c r="M336" s="16" t="s">
        <v>54</v>
      </c>
      <c r="N336" s="14"/>
      <c r="O336" s="15" t="s">
        <v>55</v>
      </c>
      <c r="P336" s="10" t="s">
        <v>1480</v>
      </c>
      <c r="Q336" s="15"/>
      <c r="R336" s="17" t="s">
        <v>54</v>
      </c>
      <c r="S336" s="18"/>
      <c r="T336" s="22" t="str">
        <f>IF(R336="維持",J336,IF(R336="排除","無關新聞事件",IFERROR(INDEX(事件規則!$B$2:$B$53,MATCH(S336,事件規則!$A$2:$A$53,0)),"")))</f>
        <v>CDS利差擴大／信用風險升高</v>
      </c>
      <c r="U336" s="9">
        <f>IF(R336="維持",K336,IF(R336="排除",0,IFERROR(INDEX(事件規則!$C$2:$C$53,MATCH(S336,事件規則!$A$2:$A$53,0)),"")))</f>
        <v>3</v>
      </c>
      <c r="V336" s="19"/>
      <c r="W336" s="20"/>
      <c r="X336" s="10" t="str">
        <f t="shared" si="5"/>
        <v/>
      </c>
      <c r="Y336" s="19"/>
      <c r="Z336" s="20"/>
      <c r="AA336" s="12" t="s">
        <v>1499</v>
      </c>
      <c r="AB336" s="23"/>
    </row>
    <row r="337" spans="1:28" ht="25.5">
      <c r="A337" s="15">
        <v>336</v>
      </c>
      <c r="B337" s="9" t="s">
        <v>100</v>
      </c>
      <c r="C337" s="15"/>
      <c r="D337" s="10" t="s">
        <v>1500</v>
      </c>
      <c r="E337" s="21" t="s">
        <v>1501</v>
      </c>
      <c r="F337" s="10" t="s">
        <v>1502</v>
      </c>
      <c r="G337" s="12" t="s">
        <v>1503</v>
      </c>
      <c r="H337" s="13">
        <v>-0.91</v>
      </c>
      <c r="I337" s="14" t="s">
        <v>83</v>
      </c>
      <c r="J337" s="22" t="s">
        <v>84</v>
      </c>
      <c r="K337" s="9">
        <v>3</v>
      </c>
      <c r="L337" s="15" t="s">
        <v>1479</v>
      </c>
      <c r="M337" s="16" t="s">
        <v>74</v>
      </c>
      <c r="N337" s="14"/>
      <c r="O337" s="15" t="s">
        <v>65</v>
      </c>
      <c r="P337" s="22" t="s">
        <v>1150</v>
      </c>
      <c r="Q337" s="15"/>
      <c r="R337" s="17" t="s">
        <v>74</v>
      </c>
      <c r="S337" s="18"/>
      <c r="T337" s="22" t="str">
        <f>IF(R337="維持",J337,IF(R337="排除","無關新聞事件",IFERROR(INDEX(事件規則!$B$2:$B$53,MATCH(S337,事件規則!$A$2:$A$53,0)),"")))</f>
        <v>無關新聞事件</v>
      </c>
      <c r="U337" s="9">
        <f>IF(R337="維持",K337,IF(R337="排除",0,IFERROR(INDEX(事件規則!$C$2:$C$53,MATCH(S337,事件規則!$A$2:$A$53,0)),"")))</f>
        <v>0</v>
      </c>
      <c r="V337" s="19"/>
      <c r="W337" s="20"/>
      <c r="X337" s="10" t="str">
        <f t="shared" si="5"/>
        <v/>
      </c>
      <c r="Y337" s="19"/>
      <c r="Z337" s="20"/>
      <c r="AA337" s="12" t="s">
        <v>1504</v>
      </c>
      <c r="AB337" s="23"/>
    </row>
    <row r="338" spans="1:28" ht="25.5">
      <c r="A338" s="15">
        <v>337</v>
      </c>
      <c r="B338" s="9" t="s">
        <v>105</v>
      </c>
      <c r="C338" s="15"/>
      <c r="D338" s="10" t="s">
        <v>737</v>
      </c>
      <c r="E338" s="11" t="s">
        <v>1505</v>
      </c>
      <c r="F338" s="22" t="s">
        <v>1506</v>
      </c>
      <c r="G338" s="12" t="s">
        <v>64</v>
      </c>
      <c r="H338" s="13"/>
      <c r="I338" s="14" t="s">
        <v>83</v>
      </c>
      <c r="J338" s="22" t="s">
        <v>84</v>
      </c>
      <c r="K338" s="9">
        <v>3</v>
      </c>
      <c r="L338" s="15" t="s">
        <v>1479</v>
      </c>
      <c r="M338" s="16" t="s">
        <v>74</v>
      </c>
      <c r="N338" s="14"/>
      <c r="O338" s="15" t="s">
        <v>65</v>
      </c>
      <c r="P338" s="22" t="s">
        <v>1150</v>
      </c>
      <c r="Q338" s="15"/>
      <c r="R338" s="17" t="s">
        <v>74</v>
      </c>
      <c r="S338" s="18"/>
      <c r="T338" s="22" t="str">
        <f>IF(R338="維持",J338,IF(R338="排除","無關新聞事件",IFERROR(INDEX(事件規則!$B$2:$B$53,MATCH(S338,事件規則!$A$2:$A$53,0)),"")))</f>
        <v>無關新聞事件</v>
      </c>
      <c r="U338" s="9">
        <f>IF(R338="維持",K338,IF(R338="排除",0,IFERROR(INDEX(事件規則!$C$2:$C$53,MATCH(S338,事件規則!$A$2:$A$53,0)),"")))</f>
        <v>0</v>
      </c>
      <c r="V338" s="19"/>
      <c r="W338" s="20"/>
      <c r="X338" s="10" t="str">
        <f t="shared" si="5"/>
        <v/>
      </c>
      <c r="Y338" s="19"/>
      <c r="Z338" s="20"/>
      <c r="AA338" s="12" t="s">
        <v>1507</v>
      </c>
      <c r="AB338" s="23"/>
    </row>
    <row r="339" spans="1:28" ht="25.5">
      <c r="A339" s="15">
        <v>338</v>
      </c>
      <c r="B339" s="9" t="s">
        <v>159</v>
      </c>
      <c r="C339" s="15"/>
      <c r="D339" s="10" t="s">
        <v>1508</v>
      </c>
      <c r="E339" s="11" t="s">
        <v>1509</v>
      </c>
      <c r="F339" s="22" t="s">
        <v>1510</v>
      </c>
      <c r="G339" s="12" t="s">
        <v>64</v>
      </c>
      <c r="H339" s="13"/>
      <c r="I339" s="14" t="s">
        <v>83</v>
      </c>
      <c r="J339" s="22" t="s">
        <v>84</v>
      </c>
      <c r="K339" s="9">
        <v>3</v>
      </c>
      <c r="L339" s="15" t="s">
        <v>1479</v>
      </c>
      <c r="M339" s="16" t="s">
        <v>54</v>
      </c>
      <c r="N339" s="14"/>
      <c r="O339" s="15" t="s">
        <v>211</v>
      </c>
      <c r="P339" s="22" t="s">
        <v>1511</v>
      </c>
      <c r="Q339" s="15" t="s">
        <v>213</v>
      </c>
      <c r="R339" s="17" t="s">
        <v>54</v>
      </c>
      <c r="S339" s="18"/>
      <c r="T339" s="22" t="str">
        <f>IF(R339="維持",J339,IF(R339="排除","無關新聞事件",IFERROR(INDEX(事件規則!$B$2:$B$53,MATCH(S339,事件規則!$A$2:$A$53,0)),"")))</f>
        <v>資安攻擊</v>
      </c>
      <c r="U339" s="9">
        <f>IF(R339="維持",K339,IF(R339="排除",0,IFERROR(INDEX(事件規則!$C$2:$C$53,MATCH(S339,事件規則!$A$2:$A$53,0)),"")))</f>
        <v>3</v>
      </c>
      <c r="V339" s="19"/>
      <c r="W339" s="20" t="s">
        <v>1512</v>
      </c>
      <c r="X339" s="10" t="str">
        <f t="shared" si="5"/>
        <v/>
      </c>
      <c r="Y339" s="19"/>
      <c r="Z339" s="20"/>
      <c r="AA339" s="12" t="s">
        <v>1513</v>
      </c>
      <c r="AB339" s="23"/>
    </row>
    <row r="340" spans="1:28" ht="38.25">
      <c r="A340" s="15">
        <v>339</v>
      </c>
      <c r="B340" s="9" t="s">
        <v>1514</v>
      </c>
      <c r="C340" s="15"/>
      <c r="D340" s="10" t="s">
        <v>1515</v>
      </c>
      <c r="E340" s="11" t="s">
        <v>1516</v>
      </c>
      <c r="F340" s="22"/>
      <c r="G340" s="12" t="s">
        <v>64</v>
      </c>
      <c r="H340" s="13">
        <v>8.6999999999999994E-2</v>
      </c>
      <c r="I340" s="14" t="s">
        <v>83</v>
      </c>
      <c r="J340" s="22" t="s">
        <v>84</v>
      </c>
      <c r="K340" s="9">
        <v>3</v>
      </c>
      <c r="L340" s="15" t="s">
        <v>1479</v>
      </c>
      <c r="M340" s="16" t="s">
        <v>74</v>
      </c>
      <c r="N340" s="14"/>
      <c r="O340" s="15" t="s">
        <v>65</v>
      </c>
      <c r="P340" s="22" t="s">
        <v>1150</v>
      </c>
      <c r="Q340" s="15"/>
      <c r="R340" s="17" t="s">
        <v>74</v>
      </c>
      <c r="S340" s="18"/>
      <c r="T340" s="22" t="str">
        <f>IF(R340="維持",J340,IF(R340="排除","無關新聞事件",IFERROR(INDEX(事件規則!$B$2:$B$53,MATCH(S340,事件規則!$A$2:$A$53,0)),"")))</f>
        <v>無關新聞事件</v>
      </c>
      <c r="U340" s="9">
        <f>IF(R340="維持",K340,IF(R340="排除",0,IFERROR(INDEX(事件規則!$C$2:$C$53,MATCH(S340,事件規則!$A$2:$A$53,0)),"")))</f>
        <v>0</v>
      </c>
      <c r="V340" s="19"/>
      <c r="W340" s="20"/>
      <c r="X340" s="10" t="str">
        <f t="shared" si="5"/>
        <v/>
      </c>
      <c r="Y340" s="19"/>
      <c r="Z340" s="20"/>
      <c r="AA340" s="12" t="s">
        <v>1517</v>
      </c>
      <c r="AB340" s="23"/>
    </row>
    <row r="341" spans="1:28" ht="25.5">
      <c r="A341" s="15">
        <v>340</v>
      </c>
      <c r="B341" s="9" t="s">
        <v>100</v>
      </c>
      <c r="C341" s="15"/>
      <c r="D341" s="10" t="s">
        <v>1518</v>
      </c>
      <c r="E341" s="21" t="s">
        <v>1519</v>
      </c>
      <c r="F341" s="10" t="s">
        <v>1520</v>
      </c>
      <c r="G341" s="12" t="s">
        <v>1521</v>
      </c>
      <c r="H341" s="13">
        <v>-0.59799999999999998</v>
      </c>
      <c r="I341" s="14" t="s">
        <v>155</v>
      </c>
      <c r="J341" s="22" t="s">
        <v>156</v>
      </c>
      <c r="K341" s="9">
        <v>3</v>
      </c>
      <c r="L341" s="15" t="s">
        <v>1479</v>
      </c>
      <c r="M341" s="16" t="s">
        <v>74</v>
      </c>
      <c r="N341" s="14"/>
      <c r="O341" s="15" t="s">
        <v>65</v>
      </c>
      <c r="P341" s="22" t="s">
        <v>1150</v>
      </c>
      <c r="Q341" s="15"/>
      <c r="R341" s="17" t="s">
        <v>74</v>
      </c>
      <c r="S341" s="18"/>
      <c r="T341" s="22" t="str">
        <f>IF(R341="維持",J341,IF(R341="排除","無關新聞事件",IFERROR(INDEX(事件規則!$B$2:$B$53,MATCH(S341,事件規則!$A$2:$A$53,0)),"")))</f>
        <v>無關新聞事件</v>
      </c>
      <c r="U341" s="9">
        <f>IF(R341="維持",K341,IF(R341="排除",0,IFERROR(INDEX(事件規則!$C$2:$C$53,MATCH(S341,事件規則!$A$2:$A$53,0)),"")))</f>
        <v>0</v>
      </c>
      <c r="V341" s="19"/>
      <c r="W341" s="20"/>
      <c r="X341" s="10" t="str">
        <f t="shared" si="5"/>
        <v/>
      </c>
      <c r="Y341" s="19"/>
      <c r="Z341" s="20"/>
      <c r="AA341" s="12" t="s">
        <v>1522</v>
      </c>
      <c r="AB341" s="23"/>
    </row>
    <row r="342" spans="1:28" ht="25.5">
      <c r="A342" s="15">
        <v>341</v>
      </c>
      <c r="B342" s="9" t="s">
        <v>45</v>
      </c>
      <c r="C342" s="15"/>
      <c r="D342" s="10" t="s">
        <v>1523</v>
      </c>
      <c r="E342" s="21" t="s">
        <v>1524</v>
      </c>
      <c r="F342" s="22" t="s">
        <v>1525</v>
      </c>
      <c r="G342" s="12" t="s">
        <v>1526</v>
      </c>
      <c r="H342" s="13"/>
      <c r="I342" s="14" t="s">
        <v>155</v>
      </c>
      <c r="J342" s="22" t="s">
        <v>156</v>
      </c>
      <c r="K342" s="9">
        <v>3</v>
      </c>
      <c r="L342" s="15" t="s">
        <v>1479</v>
      </c>
      <c r="M342" s="16" t="s">
        <v>54</v>
      </c>
      <c r="N342" s="14"/>
      <c r="O342" s="15" t="s">
        <v>211</v>
      </c>
      <c r="P342" s="10" t="s">
        <v>1527</v>
      </c>
      <c r="Q342" s="15" t="s">
        <v>213</v>
      </c>
      <c r="R342" s="17" t="s">
        <v>54</v>
      </c>
      <c r="S342" s="18"/>
      <c r="T342" s="22" t="str">
        <f>IF(R342="維持",J342,IF(R342="排除","無關新聞事件",IFERROR(INDEX(事件規則!$B$2:$B$53,MATCH(S342,事件規則!$A$2:$A$53,0)),"")))</f>
        <v>資料外洩</v>
      </c>
      <c r="U342" s="9">
        <f>IF(R342="維持",K342,IF(R342="排除",0,IFERROR(INDEX(事件規則!$C$2:$C$53,MATCH(S342,事件規則!$A$2:$A$53,0)),"")))</f>
        <v>3</v>
      </c>
      <c r="V342" s="19"/>
      <c r="W342" s="20"/>
      <c r="X342" s="10" t="str">
        <f t="shared" si="5"/>
        <v/>
      </c>
      <c r="Y342" s="19"/>
      <c r="Z342" s="20"/>
      <c r="AA342" s="12" t="s">
        <v>1528</v>
      </c>
      <c r="AB342" s="23"/>
    </row>
    <row r="343" spans="1:28" ht="38.25">
      <c r="A343" s="15">
        <v>342</v>
      </c>
      <c r="B343" s="9" t="s">
        <v>468</v>
      </c>
      <c r="C343" s="9" t="s">
        <v>196</v>
      </c>
      <c r="D343" s="10" t="s">
        <v>197</v>
      </c>
      <c r="E343" s="21" t="s">
        <v>1529</v>
      </c>
      <c r="F343" s="10" t="s">
        <v>1530</v>
      </c>
      <c r="G343" s="12" t="s">
        <v>532</v>
      </c>
      <c r="H343" s="13"/>
      <c r="I343" s="14" t="s">
        <v>293</v>
      </c>
      <c r="J343" s="22" t="s">
        <v>294</v>
      </c>
      <c r="K343" s="9">
        <v>3</v>
      </c>
      <c r="L343" s="15" t="s">
        <v>1479</v>
      </c>
      <c r="M343" s="16" t="s">
        <v>54</v>
      </c>
      <c r="N343" s="14"/>
      <c r="O343" s="15" t="s">
        <v>65</v>
      </c>
      <c r="P343" s="10" t="s">
        <v>1531</v>
      </c>
      <c r="Q343" s="15"/>
      <c r="R343" s="17" t="s">
        <v>54</v>
      </c>
      <c r="S343" s="18"/>
      <c r="T343" s="22" t="str">
        <f>IF(R343="維持",J343,IF(R343="排除","無關新聞事件",IFERROR(INDEX(事件規則!$B$2:$B$53,MATCH(S343,事件規則!$A$2:$A$53,0)),"")))</f>
        <v>財報不如預期</v>
      </c>
      <c r="U343" s="9">
        <f>IF(R343="維持",K343,IF(R343="排除",0,IFERROR(INDEX(事件規則!$C$2:$C$53,MATCH(S343,事件規則!$A$2:$A$53,0)),"")))</f>
        <v>3</v>
      </c>
      <c r="V343" s="19"/>
      <c r="W343" s="20"/>
      <c r="X343" s="10" t="str">
        <f t="shared" si="5"/>
        <v/>
      </c>
      <c r="Y343" s="19"/>
      <c r="Z343" s="20"/>
      <c r="AA343" s="12" t="s">
        <v>1532</v>
      </c>
      <c r="AB343" s="23"/>
    </row>
    <row r="344" spans="1:28" ht="25.5">
      <c r="A344" s="15">
        <v>343</v>
      </c>
      <c r="B344" s="9" t="s">
        <v>45</v>
      </c>
      <c r="C344" s="9" t="s">
        <v>1533</v>
      </c>
      <c r="D344" s="10" t="s">
        <v>1534</v>
      </c>
      <c r="E344" s="21" t="s">
        <v>1535</v>
      </c>
      <c r="F344" s="10" t="s">
        <v>1536</v>
      </c>
      <c r="G344" s="12" t="s">
        <v>479</v>
      </c>
      <c r="H344" s="13">
        <v>-0.90400000000000003</v>
      </c>
      <c r="I344" s="14" t="s">
        <v>293</v>
      </c>
      <c r="J344" s="22" t="s">
        <v>294</v>
      </c>
      <c r="K344" s="9">
        <v>3</v>
      </c>
      <c r="L344" s="15" t="s">
        <v>1479</v>
      </c>
      <c r="M344" s="16" t="s">
        <v>74</v>
      </c>
      <c r="N344" s="14"/>
      <c r="O344" s="15" t="s">
        <v>65</v>
      </c>
      <c r="P344" s="22" t="s">
        <v>1150</v>
      </c>
      <c r="Q344" s="15"/>
      <c r="R344" s="17" t="s">
        <v>74</v>
      </c>
      <c r="S344" s="18"/>
      <c r="T344" s="22" t="str">
        <f>IF(R344="維持",J344,IF(R344="排除","無關新聞事件",IFERROR(INDEX(事件規則!$B$2:$B$53,MATCH(S344,事件規則!$A$2:$A$53,0)),"")))</f>
        <v>無關新聞事件</v>
      </c>
      <c r="U344" s="9">
        <f>IF(R344="維持",K344,IF(R344="排除",0,IFERROR(INDEX(事件規則!$C$2:$C$53,MATCH(S344,事件規則!$A$2:$A$53,0)),"")))</f>
        <v>0</v>
      </c>
      <c r="V344" s="19"/>
      <c r="W344" s="20"/>
      <c r="X344" s="10" t="str">
        <f t="shared" si="5"/>
        <v/>
      </c>
      <c r="Y344" s="19"/>
      <c r="Z344" s="20"/>
      <c r="AA344" s="12" t="s">
        <v>1537</v>
      </c>
      <c r="AB344" s="23"/>
    </row>
    <row r="345" spans="1:28" ht="25.5">
      <c r="A345" s="15">
        <v>344</v>
      </c>
      <c r="B345" s="9" t="s">
        <v>45</v>
      </c>
      <c r="C345" s="9" t="s">
        <v>353</v>
      </c>
      <c r="D345" s="10" t="s">
        <v>354</v>
      </c>
      <c r="E345" s="21" t="s">
        <v>1538</v>
      </c>
      <c r="F345" s="10" t="s">
        <v>1539</v>
      </c>
      <c r="G345" s="12" t="s">
        <v>1540</v>
      </c>
      <c r="H345" s="13"/>
      <c r="I345" s="14" t="s">
        <v>293</v>
      </c>
      <c r="J345" s="22" t="s">
        <v>294</v>
      </c>
      <c r="K345" s="9">
        <v>3</v>
      </c>
      <c r="L345" s="15" t="s">
        <v>1479</v>
      </c>
      <c r="M345" s="16" t="s">
        <v>54</v>
      </c>
      <c r="N345" s="14"/>
      <c r="O345" s="15" t="s">
        <v>65</v>
      </c>
      <c r="P345" s="22" t="s">
        <v>1541</v>
      </c>
      <c r="Q345" s="15"/>
      <c r="R345" s="17" t="s">
        <v>54</v>
      </c>
      <c r="S345" s="18"/>
      <c r="T345" s="22" t="str">
        <f>IF(R345="維持",J345,IF(R345="排除","無關新聞事件",IFERROR(INDEX(事件規則!$B$2:$B$53,MATCH(S345,事件規則!$A$2:$A$53,0)),"")))</f>
        <v>財報不如預期</v>
      </c>
      <c r="U345" s="9">
        <f>IF(R345="維持",K345,IF(R345="排除",0,IFERROR(INDEX(事件規則!$C$2:$C$53,MATCH(S345,事件規則!$A$2:$A$53,0)),"")))</f>
        <v>3</v>
      </c>
      <c r="V345" s="19"/>
      <c r="W345" s="20"/>
      <c r="X345" s="10" t="str">
        <f t="shared" si="5"/>
        <v/>
      </c>
      <c r="Y345" s="19"/>
      <c r="Z345" s="20"/>
      <c r="AA345" s="12" t="s">
        <v>1542</v>
      </c>
      <c r="AB345" s="23"/>
    </row>
    <row r="346" spans="1:28" ht="25.5">
      <c r="A346" s="15">
        <v>345</v>
      </c>
      <c r="B346" s="9" t="s">
        <v>516</v>
      </c>
      <c r="C346" s="9" t="s">
        <v>469</v>
      </c>
      <c r="D346" s="10" t="s">
        <v>1543</v>
      </c>
      <c r="E346" s="21" t="s">
        <v>1544</v>
      </c>
      <c r="F346" s="22" t="s">
        <v>1545</v>
      </c>
      <c r="G346" s="12" t="s">
        <v>1546</v>
      </c>
      <c r="H346" s="13">
        <v>-0.96699999999999997</v>
      </c>
      <c r="I346" s="14" t="s">
        <v>293</v>
      </c>
      <c r="J346" s="22" t="s">
        <v>294</v>
      </c>
      <c r="K346" s="9">
        <v>3</v>
      </c>
      <c r="L346" s="15" t="s">
        <v>1479</v>
      </c>
      <c r="M346" s="16" t="s">
        <v>54</v>
      </c>
      <c r="N346" s="14"/>
      <c r="O346" s="15" t="s">
        <v>65</v>
      </c>
      <c r="P346" s="22" t="s">
        <v>1541</v>
      </c>
      <c r="Q346" s="15"/>
      <c r="R346" s="17" t="s">
        <v>54</v>
      </c>
      <c r="S346" s="18"/>
      <c r="T346" s="22" t="str">
        <f>IF(R346="維持",J346,IF(R346="排除","無關新聞事件",IFERROR(INDEX(事件規則!$B$2:$B$53,MATCH(S346,事件規則!$A$2:$A$53,0)),"")))</f>
        <v>財報不如預期</v>
      </c>
      <c r="U346" s="9">
        <f>IF(R346="維持",K346,IF(R346="排除",0,IFERROR(INDEX(事件規則!$C$2:$C$53,MATCH(S346,事件規則!$A$2:$A$53,0)),"")))</f>
        <v>3</v>
      </c>
      <c r="V346" s="19"/>
      <c r="W346" s="20"/>
      <c r="X346" s="10" t="str">
        <f t="shared" si="5"/>
        <v/>
      </c>
      <c r="Y346" s="19"/>
      <c r="Z346" s="20"/>
      <c r="AA346" s="12" t="s">
        <v>1547</v>
      </c>
      <c r="AB346" s="23"/>
    </row>
    <row r="347" spans="1:28" ht="25.5">
      <c r="A347" s="15">
        <v>346</v>
      </c>
      <c r="B347" s="9" t="s">
        <v>468</v>
      </c>
      <c r="C347" s="15"/>
      <c r="D347" s="10" t="s">
        <v>1548</v>
      </c>
      <c r="E347" s="21" t="s">
        <v>1549</v>
      </c>
      <c r="F347" s="22" t="s">
        <v>1550</v>
      </c>
      <c r="G347" s="12" t="s">
        <v>1551</v>
      </c>
      <c r="H347" s="13"/>
      <c r="I347" s="14" t="s">
        <v>480</v>
      </c>
      <c r="J347" s="22" t="s">
        <v>481</v>
      </c>
      <c r="K347" s="9">
        <v>3</v>
      </c>
      <c r="L347" s="15" t="s">
        <v>1479</v>
      </c>
      <c r="M347" s="16" t="s">
        <v>74</v>
      </c>
      <c r="N347" s="14"/>
      <c r="O347" s="15" t="s">
        <v>65</v>
      </c>
      <c r="P347" s="22" t="s">
        <v>1150</v>
      </c>
      <c r="Q347" s="15"/>
      <c r="R347" s="17" t="s">
        <v>74</v>
      </c>
      <c r="S347" s="18"/>
      <c r="T347" s="22" t="str">
        <f>IF(R347="維持",J347,IF(R347="排除","無關新聞事件",IFERROR(INDEX(事件規則!$B$2:$B$53,MATCH(S347,事件規則!$A$2:$A$53,0)),"")))</f>
        <v>無關新聞事件</v>
      </c>
      <c r="U347" s="9">
        <f>IF(R347="維持",K347,IF(R347="排除",0,IFERROR(INDEX(事件規則!$C$2:$C$53,MATCH(S347,事件規則!$A$2:$A$53,0)),"")))</f>
        <v>0</v>
      </c>
      <c r="V347" s="19"/>
      <c r="W347" s="20"/>
      <c r="X347" s="10" t="str">
        <f t="shared" si="5"/>
        <v/>
      </c>
      <c r="Y347" s="19"/>
      <c r="Z347" s="20"/>
      <c r="AA347" s="12" t="s">
        <v>1552</v>
      </c>
      <c r="AB347" s="23"/>
    </row>
    <row r="348" spans="1:28" ht="38.25">
      <c r="A348" s="15">
        <v>347</v>
      </c>
      <c r="B348" s="9" t="s">
        <v>68</v>
      </c>
      <c r="C348" s="9" t="s">
        <v>1553</v>
      </c>
      <c r="D348" s="10" t="s">
        <v>1554</v>
      </c>
      <c r="E348" s="21" t="s">
        <v>1555</v>
      </c>
      <c r="F348" s="10" t="s">
        <v>1556</v>
      </c>
      <c r="G348" s="12" t="s">
        <v>299</v>
      </c>
      <c r="H348" s="13">
        <v>-0.94699999999999995</v>
      </c>
      <c r="I348" s="14" t="s">
        <v>480</v>
      </c>
      <c r="J348" s="22" t="s">
        <v>481</v>
      </c>
      <c r="K348" s="9">
        <v>3</v>
      </c>
      <c r="L348" s="15" t="s">
        <v>1479</v>
      </c>
      <c r="M348" s="16" t="s">
        <v>54</v>
      </c>
      <c r="N348" s="14"/>
      <c r="O348" s="15" t="s">
        <v>55</v>
      </c>
      <c r="P348" s="10" t="s">
        <v>1557</v>
      </c>
      <c r="Q348" s="15"/>
      <c r="R348" s="17" t="s">
        <v>54</v>
      </c>
      <c r="S348" s="18"/>
      <c r="T348" s="22" t="str">
        <f>IF(R348="維持",J348,IF(R348="排除","無關新聞事件",IFERROR(INDEX(事件規則!$B$2:$B$53,MATCH(S348,事件規則!$A$2:$A$53,0)),"")))</f>
        <v>財測下修</v>
      </c>
      <c r="U348" s="9">
        <f>IF(R348="維持",K348,IF(R348="排除",0,IFERROR(INDEX(事件規則!$C$2:$C$53,MATCH(S348,事件規則!$A$2:$A$53,0)),"")))</f>
        <v>3</v>
      </c>
      <c r="V348" s="19"/>
      <c r="W348" s="20"/>
      <c r="X348" s="10" t="str">
        <f t="shared" si="5"/>
        <v/>
      </c>
      <c r="Y348" s="19"/>
      <c r="Z348" s="20"/>
      <c r="AA348" s="12" t="s">
        <v>1558</v>
      </c>
      <c r="AB348" s="23"/>
    </row>
    <row r="349" spans="1:28" ht="25.5">
      <c r="A349" s="15">
        <v>348</v>
      </c>
      <c r="B349" s="9" t="s">
        <v>145</v>
      </c>
      <c r="C349" s="15"/>
      <c r="D349" s="10" t="s">
        <v>717</v>
      </c>
      <c r="E349" s="11" t="s">
        <v>1559</v>
      </c>
      <c r="F349" s="22"/>
      <c r="G349" s="12" t="s">
        <v>64</v>
      </c>
      <c r="H349" s="13">
        <v>6.8000000000000005E-2</v>
      </c>
      <c r="I349" s="14" t="s">
        <v>1560</v>
      </c>
      <c r="J349" s="22" t="s">
        <v>1561</v>
      </c>
      <c r="K349" s="9">
        <v>3</v>
      </c>
      <c r="L349" s="15" t="s">
        <v>1479</v>
      </c>
      <c r="M349" s="16" t="s">
        <v>74</v>
      </c>
      <c r="N349" s="14"/>
      <c r="O349" s="15" t="s">
        <v>65</v>
      </c>
      <c r="P349" s="22" t="s">
        <v>1150</v>
      </c>
      <c r="Q349" s="15"/>
      <c r="R349" s="17" t="s">
        <v>74</v>
      </c>
      <c r="S349" s="18"/>
      <c r="T349" s="22" t="str">
        <f>IF(R349="維持",J349,IF(R349="排除","無關新聞事件",IFERROR(INDEX(事件規則!$B$2:$B$53,MATCH(S349,事件規則!$A$2:$A$53,0)),"")))</f>
        <v>無關新聞事件</v>
      </c>
      <c r="U349" s="9">
        <f>IF(R349="維持",K349,IF(R349="排除",0,IFERROR(INDEX(事件規則!$C$2:$C$53,MATCH(S349,事件規則!$A$2:$A$53,0)),"")))</f>
        <v>0</v>
      </c>
      <c r="V349" s="19"/>
      <c r="W349" s="20"/>
      <c r="X349" s="10" t="str">
        <f t="shared" si="5"/>
        <v/>
      </c>
      <c r="Y349" s="19"/>
      <c r="Z349" s="20"/>
      <c r="AA349" s="12" t="s">
        <v>1562</v>
      </c>
      <c r="AB349" s="23"/>
    </row>
    <row r="350" spans="1:28" ht="25.5">
      <c r="A350" s="15">
        <v>349</v>
      </c>
      <c r="B350" s="9" t="s">
        <v>591</v>
      </c>
      <c r="C350" s="15"/>
      <c r="D350" s="10" t="s">
        <v>220</v>
      </c>
      <c r="E350" s="11" t="s">
        <v>1563</v>
      </c>
      <c r="F350" s="22"/>
      <c r="G350" s="12" t="s">
        <v>64</v>
      </c>
      <c r="H350" s="13"/>
      <c r="I350" s="14" t="s">
        <v>548</v>
      </c>
      <c r="J350" s="22" t="s">
        <v>549</v>
      </c>
      <c r="K350" s="9">
        <v>3</v>
      </c>
      <c r="L350" s="15" t="s">
        <v>1479</v>
      </c>
      <c r="M350" s="16" t="s">
        <v>54</v>
      </c>
      <c r="N350" s="14"/>
      <c r="O350" s="15" t="s">
        <v>65</v>
      </c>
      <c r="P350" s="10" t="s">
        <v>1564</v>
      </c>
      <c r="Q350" s="15"/>
      <c r="R350" s="17" t="s">
        <v>54</v>
      </c>
      <c r="S350" s="18"/>
      <c r="T350" s="22" t="str">
        <f>IF(R350="維持",J350,IF(R350="排除","無關新聞事件",IFERROR(INDEX(事件規則!$B$2:$B$53,MATCH(S350,事件規則!$A$2:$A$53,0)),"")))</f>
        <v>營運惡化</v>
      </c>
      <c r="U350" s="9">
        <f>IF(R350="維持",K350,IF(R350="排除",0,IFERROR(INDEX(事件規則!$C$2:$C$53,MATCH(S350,事件規則!$A$2:$A$53,0)),"")))</f>
        <v>3</v>
      </c>
      <c r="V350" s="19"/>
      <c r="W350" s="20" t="s">
        <v>219</v>
      </c>
      <c r="X350" s="10" t="str">
        <f t="shared" si="5"/>
        <v/>
      </c>
      <c r="Y350" s="19"/>
      <c r="Z350" s="20"/>
      <c r="AA350" s="12" t="s">
        <v>1565</v>
      </c>
      <c r="AB350" s="23"/>
    </row>
    <row r="351" spans="1:28" ht="38.25">
      <c r="A351" s="15">
        <v>350</v>
      </c>
      <c r="B351" s="9" t="s">
        <v>262</v>
      </c>
      <c r="C351" s="15"/>
      <c r="D351" s="10" t="s">
        <v>1566</v>
      </c>
      <c r="E351" s="21" t="s">
        <v>1567</v>
      </c>
      <c r="F351" s="22"/>
      <c r="G351" s="12" t="s">
        <v>1568</v>
      </c>
      <c r="H351" s="13">
        <v>0.29399999999999998</v>
      </c>
      <c r="I351" s="14" t="s">
        <v>548</v>
      </c>
      <c r="J351" s="22" t="s">
        <v>549</v>
      </c>
      <c r="K351" s="9">
        <v>3</v>
      </c>
      <c r="L351" s="15" t="s">
        <v>1479</v>
      </c>
      <c r="M351" s="16" t="s">
        <v>54</v>
      </c>
      <c r="N351" s="14"/>
      <c r="O351" s="15" t="s">
        <v>65</v>
      </c>
      <c r="P351" s="10" t="s">
        <v>1569</v>
      </c>
      <c r="Q351" s="15"/>
      <c r="R351" s="17" t="s">
        <v>54</v>
      </c>
      <c r="S351" s="18"/>
      <c r="T351" s="22" t="str">
        <f>IF(R351="維持",J351,IF(R351="排除","無關新聞事件",IFERROR(INDEX(事件規則!$B$2:$B$53,MATCH(S351,事件規則!$A$2:$A$53,0)),"")))</f>
        <v>營運惡化</v>
      </c>
      <c r="U351" s="9">
        <f>IF(R351="維持",K351,IF(R351="排除",0,IFERROR(INDEX(事件規則!$C$2:$C$53,MATCH(S351,事件規則!$A$2:$A$53,0)),"")))</f>
        <v>3</v>
      </c>
      <c r="V351" s="19"/>
      <c r="W351" s="20" t="s">
        <v>1570</v>
      </c>
      <c r="X351" s="10" t="str">
        <f t="shared" si="5"/>
        <v/>
      </c>
      <c r="Y351" s="19"/>
      <c r="Z351" s="20"/>
      <c r="AA351" s="12" t="s">
        <v>1571</v>
      </c>
      <c r="AB351" s="23"/>
    </row>
    <row r="352" spans="1:28" ht="25.5">
      <c r="A352" s="15">
        <v>351</v>
      </c>
      <c r="B352" s="9" t="s">
        <v>516</v>
      </c>
      <c r="C352" s="15"/>
      <c r="D352" s="10" t="s">
        <v>1572</v>
      </c>
      <c r="E352" s="11" t="s">
        <v>1573</v>
      </c>
      <c r="F352" s="22" t="s">
        <v>1574</v>
      </c>
      <c r="G352" s="23" t="s">
        <v>1575</v>
      </c>
      <c r="H352" s="13">
        <v>-0.44600000000000001</v>
      </c>
      <c r="I352" s="14" t="s">
        <v>662</v>
      </c>
      <c r="J352" s="22" t="s">
        <v>663</v>
      </c>
      <c r="K352" s="9">
        <v>3</v>
      </c>
      <c r="L352" s="15" t="s">
        <v>1479</v>
      </c>
      <c r="M352" s="16" t="s">
        <v>54</v>
      </c>
      <c r="N352" s="14"/>
      <c r="O352" s="15" t="s">
        <v>65</v>
      </c>
      <c r="P352" s="10" t="s">
        <v>1576</v>
      </c>
      <c r="Q352" s="15"/>
      <c r="R352" s="17" t="s">
        <v>54</v>
      </c>
      <c r="S352" s="18"/>
      <c r="T352" s="22" t="str">
        <f>IF(R352="維持",J352,IF(R352="排除","無關新聞事件",IFERROR(INDEX(事件規則!$B$2:$B$53,MATCH(S352,事件規則!$A$2:$A$53,0)),"")))</f>
        <v>專利訴訟</v>
      </c>
      <c r="U352" s="9">
        <f>IF(R352="維持",K352,IF(R352="排除",0,IFERROR(INDEX(事件規則!$C$2:$C$53,MATCH(S352,事件規則!$A$2:$A$53,0)),"")))</f>
        <v>3</v>
      </c>
      <c r="V352" s="19"/>
      <c r="W352" s="20" t="s">
        <v>1577</v>
      </c>
      <c r="X352" s="10" t="str">
        <f t="shared" si="5"/>
        <v/>
      </c>
      <c r="Y352" s="19"/>
      <c r="Z352" s="20"/>
      <c r="AA352" s="12" t="s">
        <v>1578</v>
      </c>
      <c r="AB352" s="23"/>
    </row>
    <row r="353" spans="1:28" ht="25.5">
      <c r="A353" s="15">
        <v>352</v>
      </c>
      <c r="B353" s="9" t="s">
        <v>100</v>
      </c>
      <c r="C353" s="15"/>
      <c r="D353" s="10" t="s">
        <v>1579</v>
      </c>
      <c r="E353" s="21" t="s">
        <v>1580</v>
      </c>
      <c r="F353" s="22" t="s">
        <v>1581</v>
      </c>
      <c r="G353" s="12" t="s">
        <v>1582</v>
      </c>
      <c r="H353" s="13">
        <v>0.34799999999999998</v>
      </c>
      <c r="I353" s="14" t="s">
        <v>687</v>
      </c>
      <c r="J353" s="22" t="s">
        <v>688</v>
      </c>
      <c r="K353" s="9">
        <v>3</v>
      </c>
      <c r="L353" s="15" t="s">
        <v>1479</v>
      </c>
      <c r="M353" s="16" t="s">
        <v>74</v>
      </c>
      <c r="N353" s="14"/>
      <c r="O353" s="15" t="s">
        <v>65</v>
      </c>
      <c r="P353" s="22" t="s">
        <v>1150</v>
      </c>
      <c r="Q353" s="15"/>
      <c r="R353" s="17" t="s">
        <v>74</v>
      </c>
      <c r="S353" s="18"/>
      <c r="T353" s="22" t="str">
        <f>IF(R353="維持",J353,IF(R353="排除","無關新聞事件",IFERROR(INDEX(事件規則!$B$2:$B$53,MATCH(S353,事件規則!$A$2:$A$53,0)),"")))</f>
        <v>無關新聞事件</v>
      </c>
      <c r="U353" s="9">
        <f>IF(R353="維持",K353,IF(R353="排除",0,IFERROR(INDEX(事件規則!$C$2:$C$53,MATCH(S353,事件規則!$A$2:$A$53,0)),"")))</f>
        <v>0</v>
      </c>
      <c r="V353" s="19"/>
      <c r="W353" s="20"/>
      <c r="X353" s="10" t="str">
        <f t="shared" si="5"/>
        <v/>
      </c>
      <c r="Y353" s="19"/>
      <c r="Z353" s="20"/>
      <c r="AA353" s="12" t="s">
        <v>1583</v>
      </c>
      <c r="AB353" s="23"/>
    </row>
    <row r="354" spans="1:28" ht="25.5">
      <c r="A354" s="15">
        <v>353</v>
      </c>
      <c r="B354" s="9" t="s">
        <v>1389</v>
      </c>
      <c r="C354" s="15"/>
      <c r="D354" s="10" t="s">
        <v>1584</v>
      </c>
      <c r="E354" s="21" t="s">
        <v>1585</v>
      </c>
      <c r="F354" s="22" t="s">
        <v>1586</v>
      </c>
      <c r="G354" s="12" t="s">
        <v>64</v>
      </c>
      <c r="H354" s="13">
        <v>-0.4</v>
      </c>
      <c r="I354" s="14" t="s">
        <v>687</v>
      </c>
      <c r="J354" s="22" t="s">
        <v>688</v>
      </c>
      <c r="K354" s="9">
        <v>3</v>
      </c>
      <c r="L354" s="15" t="s">
        <v>1479</v>
      </c>
      <c r="M354" s="16" t="s">
        <v>130</v>
      </c>
      <c r="N354" s="14" t="s">
        <v>1587</v>
      </c>
      <c r="O354" s="15" t="s">
        <v>65</v>
      </c>
      <c r="P354" s="10" t="s">
        <v>1588</v>
      </c>
      <c r="Q354" s="15"/>
      <c r="R354" s="17" t="s">
        <v>130</v>
      </c>
      <c r="S354" s="18" t="s">
        <v>1587</v>
      </c>
      <c r="T354" s="22" t="str">
        <f>IF(R354="維持",J354,IF(R354="排除","無關新聞事件",IFERROR(INDEX(事件規則!$B$2:$B$53,MATCH(S354,事件規則!$A$2:$A$53,0)),"")))</f>
        <v>生產延遲</v>
      </c>
      <c r="U354" s="9">
        <f>IF(R354="維持",K354,IF(R354="排除",0,IFERROR(INDEX(事件規則!$C$2:$C$53,MATCH(S354,事件規則!$A$2:$A$53,0)),"")))</f>
        <v>2</v>
      </c>
      <c r="V354" s="19"/>
      <c r="W354" s="20" t="s">
        <v>1589</v>
      </c>
      <c r="X354" s="10" t="str">
        <f t="shared" si="5"/>
        <v/>
      </c>
      <c r="Y354" s="19"/>
      <c r="Z354" s="20"/>
      <c r="AA354" s="12" t="s">
        <v>1590</v>
      </c>
      <c r="AB354" s="23"/>
    </row>
    <row r="355" spans="1:28" ht="25.5">
      <c r="A355" s="15">
        <v>354</v>
      </c>
      <c r="B355" s="9" t="s">
        <v>1389</v>
      </c>
      <c r="C355" s="15"/>
      <c r="D355" s="10" t="s">
        <v>1591</v>
      </c>
      <c r="E355" s="21" t="s">
        <v>1585</v>
      </c>
      <c r="F355" s="22" t="s">
        <v>1586</v>
      </c>
      <c r="G355" s="12" t="s">
        <v>64</v>
      </c>
      <c r="H355" s="13">
        <v>-0.4</v>
      </c>
      <c r="I355" s="14" t="s">
        <v>687</v>
      </c>
      <c r="J355" s="22" t="s">
        <v>688</v>
      </c>
      <c r="K355" s="9">
        <v>3</v>
      </c>
      <c r="L355" s="15" t="s">
        <v>1479</v>
      </c>
      <c r="M355" s="16" t="s">
        <v>130</v>
      </c>
      <c r="N355" s="14" t="s">
        <v>1587</v>
      </c>
      <c r="O355" s="15" t="s">
        <v>65</v>
      </c>
      <c r="P355" s="10" t="s">
        <v>1588</v>
      </c>
      <c r="Q355" s="15"/>
      <c r="R355" s="17" t="s">
        <v>130</v>
      </c>
      <c r="S355" s="18" t="s">
        <v>1587</v>
      </c>
      <c r="T355" s="22" t="str">
        <f>IF(R355="維持",J355,IF(R355="排除","無關新聞事件",IFERROR(INDEX(事件規則!$B$2:$B$53,MATCH(S355,事件規則!$A$2:$A$53,0)),"")))</f>
        <v>生產延遲</v>
      </c>
      <c r="U355" s="9">
        <f>IF(R355="維持",K355,IF(R355="排除",0,IFERROR(INDEX(事件規則!$C$2:$C$53,MATCH(S355,事件規則!$A$2:$A$53,0)),"")))</f>
        <v>2</v>
      </c>
      <c r="V355" s="19"/>
      <c r="W355" s="20" t="s">
        <v>1592</v>
      </c>
      <c r="X355" s="10" t="str">
        <f t="shared" si="5"/>
        <v/>
      </c>
      <c r="Y355" s="19"/>
      <c r="Z355" s="20"/>
      <c r="AA355" s="12" t="s">
        <v>1593</v>
      </c>
      <c r="AB355" s="23"/>
    </row>
    <row r="356" spans="1:28" ht="25.5">
      <c r="A356" s="15">
        <v>355</v>
      </c>
      <c r="B356" s="9" t="s">
        <v>77</v>
      </c>
      <c r="C356" s="15"/>
      <c r="D356" s="10" t="s">
        <v>1594</v>
      </c>
      <c r="E356" s="21" t="s">
        <v>1595</v>
      </c>
      <c r="F356" s="22" t="s">
        <v>1596</v>
      </c>
      <c r="G356" s="12" t="s">
        <v>1597</v>
      </c>
      <c r="H356" s="13">
        <v>0.63800000000000001</v>
      </c>
      <c r="I356" s="14" t="s">
        <v>906</v>
      </c>
      <c r="J356" s="22" t="s">
        <v>907</v>
      </c>
      <c r="K356" s="9">
        <v>3</v>
      </c>
      <c r="L356" s="15" t="s">
        <v>1479</v>
      </c>
      <c r="M356" s="16" t="s">
        <v>74</v>
      </c>
      <c r="N356" s="14"/>
      <c r="O356" s="15" t="s">
        <v>65</v>
      </c>
      <c r="P356" s="22" t="s">
        <v>1150</v>
      </c>
      <c r="Q356" s="15"/>
      <c r="R356" s="17" t="s">
        <v>74</v>
      </c>
      <c r="S356" s="18"/>
      <c r="T356" s="22" t="str">
        <f>IF(R356="維持",J356,IF(R356="排除","無關新聞事件",IFERROR(INDEX(事件規則!$B$2:$B$53,MATCH(S356,事件規則!$A$2:$A$53,0)),"")))</f>
        <v>無關新聞事件</v>
      </c>
      <c r="U356" s="9">
        <f>IF(R356="維持",K356,IF(R356="排除",0,IFERROR(INDEX(事件規則!$C$2:$C$53,MATCH(S356,事件規則!$A$2:$A$53,0)),"")))</f>
        <v>0</v>
      </c>
      <c r="V356" s="19"/>
      <c r="W356" s="20"/>
      <c r="X356" s="10" t="str">
        <f t="shared" si="5"/>
        <v/>
      </c>
      <c r="Y356" s="19"/>
      <c r="Z356" s="20"/>
      <c r="AA356" s="12" t="s">
        <v>1598</v>
      </c>
      <c r="AB356" s="23"/>
    </row>
    <row r="357" spans="1:28" ht="38.25">
      <c r="A357" s="15">
        <v>356</v>
      </c>
      <c r="B357" s="9" t="s">
        <v>87</v>
      </c>
      <c r="C357" s="15"/>
      <c r="D357" s="10" t="s">
        <v>1599</v>
      </c>
      <c r="E357" s="21" t="s">
        <v>1600</v>
      </c>
      <c r="F357" s="22" t="s">
        <v>1601</v>
      </c>
      <c r="G357" s="12" t="s">
        <v>1602</v>
      </c>
      <c r="H357" s="13">
        <v>0.89600000000000002</v>
      </c>
      <c r="I357" s="14" t="s">
        <v>906</v>
      </c>
      <c r="J357" s="22" t="s">
        <v>907</v>
      </c>
      <c r="K357" s="9">
        <v>3</v>
      </c>
      <c r="L357" s="15" t="s">
        <v>1479</v>
      </c>
      <c r="M357" s="16" t="s">
        <v>74</v>
      </c>
      <c r="N357" s="14"/>
      <c r="O357" s="15" t="s">
        <v>65</v>
      </c>
      <c r="P357" s="22" t="s">
        <v>1150</v>
      </c>
      <c r="Q357" s="15"/>
      <c r="R357" s="17" t="s">
        <v>74</v>
      </c>
      <c r="S357" s="18"/>
      <c r="T357" s="22" t="str">
        <f>IF(R357="維持",J357,IF(R357="排除","無關新聞事件",IFERROR(INDEX(事件規則!$B$2:$B$53,MATCH(S357,事件規則!$A$2:$A$53,0)),"")))</f>
        <v>無關新聞事件</v>
      </c>
      <c r="U357" s="9">
        <f>IF(R357="維持",K357,IF(R357="排除",0,IFERROR(INDEX(事件規則!$C$2:$C$53,MATCH(S357,事件規則!$A$2:$A$53,0)),"")))</f>
        <v>0</v>
      </c>
      <c r="V357" s="19"/>
      <c r="W357" s="20"/>
      <c r="X357" s="10" t="str">
        <f t="shared" si="5"/>
        <v/>
      </c>
      <c r="Y357" s="19"/>
      <c r="Z357" s="20"/>
      <c r="AA357" s="12" t="s">
        <v>1603</v>
      </c>
      <c r="AB357" s="23"/>
    </row>
    <row r="358" spans="1:28" ht="38.25">
      <c r="A358" s="15">
        <v>357</v>
      </c>
      <c r="B358" s="9" t="s">
        <v>87</v>
      </c>
      <c r="C358" s="15"/>
      <c r="D358" s="10" t="s">
        <v>654</v>
      </c>
      <c r="E358" s="21" t="s">
        <v>1604</v>
      </c>
      <c r="F358" s="22" t="s">
        <v>1605</v>
      </c>
      <c r="G358" s="12" t="s">
        <v>646</v>
      </c>
      <c r="H358" s="13">
        <v>-8.6999999999999994E-2</v>
      </c>
      <c r="I358" s="14" t="s">
        <v>906</v>
      </c>
      <c r="J358" s="22" t="s">
        <v>907</v>
      </c>
      <c r="K358" s="9">
        <v>3</v>
      </c>
      <c r="L358" s="15" t="s">
        <v>1479</v>
      </c>
      <c r="M358" s="16" t="s">
        <v>74</v>
      </c>
      <c r="N358" s="14"/>
      <c r="O358" s="15" t="s">
        <v>65</v>
      </c>
      <c r="P358" s="22" t="s">
        <v>1150</v>
      </c>
      <c r="Q358" s="15"/>
      <c r="R358" s="17" t="s">
        <v>74</v>
      </c>
      <c r="S358" s="18"/>
      <c r="T358" s="22" t="str">
        <f>IF(R358="維持",J358,IF(R358="排除","無關新聞事件",IFERROR(INDEX(事件規則!$B$2:$B$53,MATCH(S358,事件規則!$A$2:$A$53,0)),"")))</f>
        <v>無關新聞事件</v>
      </c>
      <c r="U358" s="9">
        <f>IF(R358="維持",K358,IF(R358="排除",0,IFERROR(INDEX(事件規則!$C$2:$C$53,MATCH(S358,事件規則!$A$2:$A$53,0)),"")))</f>
        <v>0</v>
      </c>
      <c r="V358" s="19"/>
      <c r="W358" s="20"/>
      <c r="X358" s="10" t="str">
        <f t="shared" si="5"/>
        <v/>
      </c>
      <c r="Y358" s="19"/>
      <c r="Z358" s="20"/>
      <c r="AA358" s="12" t="s">
        <v>1606</v>
      </c>
      <c r="AB358" s="23"/>
    </row>
    <row r="359" spans="1:28" ht="25.5">
      <c r="A359" s="15">
        <v>358</v>
      </c>
      <c r="B359" s="9" t="s">
        <v>87</v>
      </c>
      <c r="C359" s="15"/>
      <c r="D359" s="10" t="s">
        <v>1599</v>
      </c>
      <c r="E359" s="21" t="s">
        <v>1607</v>
      </c>
      <c r="F359" s="22" t="s">
        <v>1608</v>
      </c>
      <c r="G359" s="12" t="s">
        <v>1609</v>
      </c>
      <c r="H359" s="13">
        <v>0.64300000000000002</v>
      </c>
      <c r="I359" s="14" t="s">
        <v>906</v>
      </c>
      <c r="J359" s="22" t="s">
        <v>907</v>
      </c>
      <c r="K359" s="9">
        <v>3</v>
      </c>
      <c r="L359" s="15" t="s">
        <v>1479</v>
      </c>
      <c r="M359" s="16" t="s">
        <v>74</v>
      </c>
      <c r="N359" s="14"/>
      <c r="O359" s="15" t="s">
        <v>65</v>
      </c>
      <c r="P359" s="22" t="s">
        <v>1150</v>
      </c>
      <c r="Q359" s="15"/>
      <c r="R359" s="17" t="s">
        <v>74</v>
      </c>
      <c r="S359" s="18"/>
      <c r="T359" s="22" t="str">
        <f>IF(R359="維持",J359,IF(R359="排除","無關新聞事件",IFERROR(INDEX(事件規則!$B$2:$B$53,MATCH(S359,事件規則!$A$2:$A$53,0)),"")))</f>
        <v>無關新聞事件</v>
      </c>
      <c r="U359" s="9">
        <f>IF(R359="維持",K359,IF(R359="排除",0,IFERROR(INDEX(事件規則!$C$2:$C$53,MATCH(S359,事件規則!$A$2:$A$53,0)),"")))</f>
        <v>0</v>
      </c>
      <c r="V359" s="19"/>
      <c r="W359" s="20"/>
      <c r="X359" s="10" t="str">
        <f t="shared" si="5"/>
        <v/>
      </c>
      <c r="Y359" s="19"/>
      <c r="Z359" s="20"/>
      <c r="AA359" s="12" t="s">
        <v>1610</v>
      </c>
      <c r="AB359" s="23"/>
    </row>
    <row r="360" spans="1:28" ht="38.25">
      <c r="A360" s="15">
        <v>359</v>
      </c>
      <c r="B360" s="9" t="s">
        <v>100</v>
      </c>
      <c r="C360" s="15"/>
      <c r="D360" s="10" t="s">
        <v>1611</v>
      </c>
      <c r="E360" s="21" t="s">
        <v>1612</v>
      </c>
      <c r="F360" s="22" t="s">
        <v>1613</v>
      </c>
      <c r="G360" s="12" t="s">
        <v>1008</v>
      </c>
      <c r="H360" s="13">
        <v>0.13</v>
      </c>
      <c r="I360" s="14" t="s">
        <v>906</v>
      </c>
      <c r="J360" s="22" t="s">
        <v>907</v>
      </c>
      <c r="K360" s="9">
        <v>3</v>
      </c>
      <c r="L360" s="15" t="s">
        <v>1479</v>
      </c>
      <c r="M360" s="16" t="s">
        <v>74</v>
      </c>
      <c r="N360" s="14"/>
      <c r="O360" s="15" t="s">
        <v>65</v>
      </c>
      <c r="P360" s="22" t="s">
        <v>1150</v>
      </c>
      <c r="Q360" s="15"/>
      <c r="R360" s="17" t="s">
        <v>74</v>
      </c>
      <c r="S360" s="18"/>
      <c r="T360" s="22" t="str">
        <f>IF(R360="維持",J360,IF(R360="排除","無關新聞事件",IFERROR(INDEX(事件規則!$B$2:$B$53,MATCH(S360,事件規則!$A$2:$A$53,0)),"")))</f>
        <v>無關新聞事件</v>
      </c>
      <c r="U360" s="9">
        <f>IF(R360="維持",K360,IF(R360="排除",0,IFERROR(INDEX(事件規則!$C$2:$C$53,MATCH(S360,事件規則!$A$2:$A$53,0)),"")))</f>
        <v>0</v>
      </c>
      <c r="V360" s="19"/>
      <c r="W360" s="20"/>
      <c r="X360" s="10" t="str">
        <f t="shared" si="5"/>
        <v/>
      </c>
      <c r="Y360" s="19"/>
      <c r="Z360" s="20"/>
      <c r="AA360" s="12" t="s">
        <v>1614</v>
      </c>
      <c r="AB360" s="23"/>
    </row>
    <row r="361" spans="1:28" ht="25.5">
      <c r="A361" s="15">
        <v>360</v>
      </c>
      <c r="B361" s="9" t="s">
        <v>149</v>
      </c>
      <c r="C361" s="15"/>
      <c r="D361" s="10" t="s">
        <v>1579</v>
      </c>
      <c r="E361" s="21" t="s">
        <v>1615</v>
      </c>
      <c r="F361" s="22" t="s">
        <v>1616</v>
      </c>
      <c r="G361" s="12" t="s">
        <v>1225</v>
      </c>
      <c r="H361" s="13">
        <v>-0.95699999999999996</v>
      </c>
      <c r="I361" s="14" t="s">
        <v>906</v>
      </c>
      <c r="J361" s="22" t="s">
        <v>907</v>
      </c>
      <c r="K361" s="9">
        <v>3</v>
      </c>
      <c r="L361" s="15" t="s">
        <v>1479</v>
      </c>
      <c r="M361" s="16" t="s">
        <v>74</v>
      </c>
      <c r="N361" s="14"/>
      <c r="O361" s="15" t="s">
        <v>65</v>
      </c>
      <c r="P361" s="22" t="s">
        <v>1150</v>
      </c>
      <c r="Q361" s="15"/>
      <c r="R361" s="17" t="s">
        <v>74</v>
      </c>
      <c r="S361" s="18"/>
      <c r="T361" s="22" t="str">
        <f>IF(R361="維持",J361,IF(R361="排除","無關新聞事件",IFERROR(INDEX(事件規則!$B$2:$B$53,MATCH(S361,事件規則!$A$2:$A$53,0)),"")))</f>
        <v>無關新聞事件</v>
      </c>
      <c r="U361" s="9">
        <f>IF(R361="維持",K361,IF(R361="排除",0,IFERROR(INDEX(事件規則!$C$2:$C$53,MATCH(S361,事件規則!$A$2:$A$53,0)),"")))</f>
        <v>0</v>
      </c>
      <c r="V361" s="19"/>
      <c r="W361" s="20"/>
      <c r="X361" s="10" t="str">
        <f t="shared" si="5"/>
        <v/>
      </c>
      <c r="Y361" s="19"/>
      <c r="Z361" s="20"/>
      <c r="AA361" s="12" t="s">
        <v>1617</v>
      </c>
      <c r="AB361" s="23"/>
    </row>
    <row r="362" spans="1:28" ht="25.5">
      <c r="A362" s="15">
        <v>361</v>
      </c>
      <c r="B362" s="9" t="s">
        <v>159</v>
      </c>
      <c r="C362" s="15"/>
      <c r="D362" s="10" t="s">
        <v>1591</v>
      </c>
      <c r="E362" s="11" t="s">
        <v>1618</v>
      </c>
      <c r="F362" s="22" t="s">
        <v>1618</v>
      </c>
      <c r="G362" s="12" t="s">
        <v>64</v>
      </c>
      <c r="H362" s="13"/>
      <c r="I362" s="14" t="s">
        <v>906</v>
      </c>
      <c r="J362" s="22" t="s">
        <v>907</v>
      </c>
      <c r="K362" s="9">
        <v>3</v>
      </c>
      <c r="L362" s="15" t="s">
        <v>1479</v>
      </c>
      <c r="M362" s="16" t="s">
        <v>54</v>
      </c>
      <c r="N362" s="14"/>
      <c r="O362" s="15" t="s">
        <v>211</v>
      </c>
      <c r="P362" s="22" t="s">
        <v>1619</v>
      </c>
      <c r="Q362" s="15" t="s">
        <v>213</v>
      </c>
      <c r="R362" s="17" t="s">
        <v>54</v>
      </c>
      <c r="S362" s="18"/>
      <c r="T362" s="22" t="str">
        <f>IF(R362="維持",J362,IF(R362="排除","無關新聞事件",IFERROR(INDEX(事件規則!$B$2:$B$53,MATCH(S362,事件規則!$A$2:$A$53,0)),"")))</f>
        <v>裁員或人力縮減</v>
      </c>
      <c r="U362" s="9">
        <f>IF(R362="維持",K362,IF(R362="排除",0,IFERROR(INDEX(事件規則!$C$2:$C$53,MATCH(S362,事件規則!$A$2:$A$53,0)),"")))</f>
        <v>3</v>
      </c>
      <c r="V362" s="19"/>
      <c r="W362" s="20" t="s">
        <v>1592</v>
      </c>
      <c r="X362" s="10" t="str">
        <f t="shared" si="5"/>
        <v/>
      </c>
      <c r="Y362" s="19"/>
      <c r="Z362" s="20"/>
      <c r="AA362" s="12" t="s">
        <v>1620</v>
      </c>
      <c r="AB362" s="23"/>
    </row>
    <row r="363" spans="1:28" ht="25.5">
      <c r="A363" s="15">
        <v>362</v>
      </c>
      <c r="B363" s="9" t="s">
        <v>159</v>
      </c>
      <c r="C363" s="15"/>
      <c r="D363" s="10" t="s">
        <v>1584</v>
      </c>
      <c r="E363" s="11" t="s">
        <v>1618</v>
      </c>
      <c r="F363" s="22" t="s">
        <v>1618</v>
      </c>
      <c r="G363" s="12" t="s">
        <v>64</v>
      </c>
      <c r="H363" s="13"/>
      <c r="I363" s="14" t="s">
        <v>906</v>
      </c>
      <c r="J363" s="22" t="s">
        <v>907</v>
      </c>
      <c r="K363" s="9">
        <v>3</v>
      </c>
      <c r="L363" s="15" t="s">
        <v>1479</v>
      </c>
      <c r="M363" s="16" t="s">
        <v>54</v>
      </c>
      <c r="N363" s="14"/>
      <c r="O363" s="15" t="s">
        <v>211</v>
      </c>
      <c r="P363" s="22" t="s">
        <v>1619</v>
      </c>
      <c r="Q363" s="15" t="s">
        <v>213</v>
      </c>
      <c r="R363" s="17" t="s">
        <v>54</v>
      </c>
      <c r="S363" s="18"/>
      <c r="T363" s="22" t="str">
        <f>IF(R363="維持",J363,IF(R363="排除","無關新聞事件",IFERROR(INDEX(事件規則!$B$2:$B$53,MATCH(S363,事件規則!$A$2:$A$53,0)),"")))</f>
        <v>裁員或人力縮減</v>
      </c>
      <c r="U363" s="9">
        <f>IF(R363="維持",K363,IF(R363="排除",0,IFERROR(INDEX(事件規則!$C$2:$C$53,MATCH(S363,事件規則!$A$2:$A$53,0)),"")))</f>
        <v>3</v>
      </c>
      <c r="V363" s="19"/>
      <c r="W363" s="20" t="s">
        <v>1589</v>
      </c>
      <c r="X363" s="10" t="str">
        <f t="shared" si="5"/>
        <v/>
      </c>
      <c r="Y363" s="19"/>
      <c r="Z363" s="20"/>
      <c r="AA363" s="12" t="s">
        <v>1621</v>
      </c>
      <c r="AB363" s="23"/>
    </row>
    <row r="364" spans="1:28" ht="38.25">
      <c r="A364" s="15">
        <v>363</v>
      </c>
      <c r="B364" s="9" t="s">
        <v>187</v>
      </c>
      <c r="C364" s="15"/>
      <c r="D364" s="10" t="s">
        <v>1622</v>
      </c>
      <c r="E364" s="21" t="s">
        <v>1623</v>
      </c>
      <c r="F364" s="10" t="s">
        <v>1624</v>
      </c>
      <c r="G364" s="12" t="s">
        <v>192</v>
      </c>
      <c r="H364" s="13">
        <v>0.11799999999999999</v>
      </c>
      <c r="I364" s="14" t="s">
        <v>906</v>
      </c>
      <c r="J364" s="22" t="s">
        <v>907</v>
      </c>
      <c r="K364" s="9">
        <v>3</v>
      </c>
      <c r="L364" s="15" t="s">
        <v>1479</v>
      </c>
      <c r="M364" s="16" t="s">
        <v>74</v>
      </c>
      <c r="N364" s="14"/>
      <c r="O364" s="15" t="s">
        <v>65</v>
      </c>
      <c r="P364" s="22" t="s">
        <v>1150</v>
      </c>
      <c r="Q364" s="15"/>
      <c r="R364" s="17" t="s">
        <v>74</v>
      </c>
      <c r="S364" s="18"/>
      <c r="T364" s="22" t="str">
        <f>IF(R364="維持",J364,IF(R364="排除","無關新聞事件",IFERROR(INDEX(事件規則!$B$2:$B$53,MATCH(S364,事件規則!$A$2:$A$53,0)),"")))</f>
        <v>無關新聞事件</v>
      </c>
      <c r="U364" s="9">
        <f>IF(R364="維持",K364,IF(R364="排除",0,IFERROR(INDEX(事件規則!$C$2:$C$53,MATCH(S364,事件規則!$A$2:$A$53,0)),"")))</f>
        <v>0</v>
      </c>
      <c r="V364" s="19"/>
      <c r="W364" s="20"/>
      <c r="X364" s="10" t="str">
        <f t="shared" si="5"/>
        <v/>
      </c>
      <c r="Y364" s="19"/>
      <c r="Z364" s="20"/>
      <c r="AA364" s="12" t="s">
        <v>1625</v>
      </c>
      <c r="AB364" s="23"/>
    </row>
    <row r="365" spans="1:28" ht="25.5">
      <c r="A365" s="15">
        <v>364</v>
      </c>
      <c r="B365" s="9" t="s">
        <v>195</v>
      </c>
      <c r="C365" s="15"/>
      <c r="D365" s="10" t="s">
        <v>1599</v>
      </c>
      <c r="E365" s="21" t="s">
        <v>1626</v>
      </c>
      <c r="F365" s="22" t="s">
        <v>1627</v>
      </c>
      <c r="G365" s="12" t="s">
        <v>1628</v>
      </c>
      <c r="H365" s="13">
        <v>0.77300000000000002</v>
      </c>
      <c r="I365" s="14" t="s">
        <v>906</v>
      </c>
      <c r="J365" s="22" t="s">
        <v>907</v>
      </c>
      <c r="K365" s="9">
        <v>3</v>
      </c>
      <c r="L365" s="15" t="s">
        <v>1479</v>
      </c>
      <c r="M365" s="16" t="s">
        <v>74</v>
      </c>
      <c r="N365" s="14"/>
      <c r="O365" s="15" t="s">
        <v>65</v>
      </c>
      <c r="P365" s="22" t="s">
        <v>1150</v>
      </c>
      <c r="Q365" s="15"/>
      <c r="R365" s="17" t="s">
        <v>74</v>
      </c>
      <c r="S365" s="18"/>
      <c r="T365" s="22" t="str">
        <f>IF(R365="維持",J365,IF(R365="排除","無關新聞事件",IFERROR(INDEX(事件規則!$B$2:$B$53,MATCH(S365,事件規則!$A$2:$A$53,0)),"")))</f>
        <v>無關新聞事件</v>
      </c>
      <c r="U365" s="9">
        <f>IF(R365="維持",K365,IF(R365="排除",0,IFERROR(INDEX(事件規則!$C$2:$C$53,MATCH(S365,事件規則!$A$2:$A$53,0)),"")))</f>
        <v>0</v>
      </c>
      <c r="V365" s="19"/>
      <c r="W365" s="20"/>
      <c r="X365" s="10" t="str">
        <f t="shared" si="5"/>
        <v/>
      </c>
      <c r="Y365" s="19"/>
      <c r="Z365" s="20"/>
      <c r="AA365" s="12" t="s">
        <v>1629</v>
      </c>
      <c r="AB365" s="23"/>
    </row>
    <row r="366" spans="1:28" ht="25.5">
      <c r="A366" s="15">
        <v>365</v>
      </c>
      <c r="B366" s="9" t="s">
        <v>195</v>
      </c>
      <c r="C366" s="15"/>
      <c r="D366" s="10" t="s">
        <v>1611</v>
      </c>
      <c r="E366" s="21" t="s">
        <v>1630</v>
      </c>
      <c r="F366" s="22" t="s">
        <v>1631</v>
      </c>
      <c r="G366" s="12" t="s">
        <v>973</v>
      </c>
      <c r="H366" s="13">
        <v>-0.434</v>
      </c>
      <c r="I366" s="14" t="s">
        <v>906</v>
      </c>
      <c r="J366" s="22" t="s">
        <v>907</v>
      </c>
      <c r="K366" s="9">
        <v>3</v>
      </c>
      <c r="L366" s="15" t="s">
        <v>1479</v>
      </c>
      <c r="M366" s="16" t="s">
        <v>74</v>
      </c>
      <c r="N366" s="14"/>
      <c r="O366" s="15" t="s">
        <v>65</v>
      </c>
      <c r="P366" s="22" t="s">
        <v>1150</v>
      </c>
      <c r="Q366" s="15"/>
      <c r="R366" s="17" t="s">
        <v>74</v>
      </c>
      <c r="S366" s="18"/>
      <c r="T366" s="22" t="str">
        <f>IF(R366="維持",J366,IF(R366="排除","無關新聞事件",IFERROR(INDEX(事件規則!$B$2:$B$53,MATCH(S366,事件規則!$A$2:$A$53,0)),"")))</f>
        <v>無關新聞事件</v>
      </c>
      <c r="U366" s="9">
        <f>IF(R366="維持",K366,IF(R366="排除",0,IFERROR(INDEX(事件規則!$C$2:$C$53,MATCH(S366,事件規則!$A$2:$A$53,0)),"")))</f>
        <v>0</v>
      </c>
      <c r="V366" s="19"/>
      <c r="W366" s="20"/>
      <c r="X366" s="10" t="str">
        <f t="shared" si="5"/>
        <v/>
      </c>
      <c r="Y366" s="19"/>
      <c r="Z366" s="20"/>
      <c r="AA366" s="12" t="s">
        <v>1632</v>
      </c>
      <c r="AB366" s="23"/>
    </row>
    <row r="367" spans="1:28" ht="38.25">
      <c r="A367" s="15">
        <v>366</v>
      </c>
      <c r="B367" s="9" t="s">
        <v>195</v>
      </c>
      <c r="C367" s="15"/>
      <c r="D367" s="10" t="s">
        <v>1599</v>
      </c>
      <c r="E367" s="21" t="s">
        <v>1633</v>
      </c>
      <c r="F367" s="22" t="s">
        <v>1634</v>
      </c>
      <c r="G367" s="12" t="s">
        <v>1635</v>
      </c>
      <c r="H367" s="13">
        <v>0.42299999999999999</v>
      </c>
      <c r="I367" s="14" t="s">
        <v>906</v>
      </c>
      <c r="J367" s="22" t="s">
        <v>907</v>
      </c>
      <c r="K367" s="9">
        <v>3</v>
      </c>
      <c r="L367" s="15" t="s">
        <v>1479</v>
      </c>
      <c r="M367" s="16" t="s">
        <v>74</v>
      </c>
      <c r="N367" s="14"/>
      <c r="O367" s="15" t="s">
        <v>65</v>
      </c>
      <c r="P367" s="22" t="s">
        <v>1150</v>
      </c>
      <c r="Q367" s="15"/>
      <c r="R367" s="17" t="s">
        <v>74</v>
      </c>
      <c r="S367" s="18"/>
      <c r="T367" s="22" t="str">
        <f>IF(R367="維持",J367,IF(R367="排除","無關新聞事件",IFERROR(INDEX(事件規則!$B$2:$B$53,MATCH(S367,事件規則!$A$2:$A$53,0)),"")))</f>
        <v>無關新聞事件</v>
      </c>
      <c r="U367" s="9">
        <f>IF(R367="維持",K367,IF(R367="排除",0,IFERROR(INDEX(事件規則!$C$2:$C$53,MATCH(S367,事件規則!$A$2:$A$53,0)),"")))</f>
        <v>0</v>
      </c>
      <c r="V367" s="19"/>
      <c r="W367" s="20"/>
      <c r="X367" s="10" t="str">
        <f t="shared" si="5"/>
        <v/>
      </c>
      <c r="Y367" s="19"/>
      <c r="Z367" s="20"/>
      <c r="AA367" s="12" t="s">
        <v>1636</v>
      </c>
      <c r="AB367" s="23"/>
    </row>
    <row r="368" spans="1:28" ht="38.25">
      <c r="A368" s="15">
        <v>367</v>
      </c>
      <c r="B368" s="9" t="s">
        <v>195</v>
      </c>
      <c r="C368" s="15"/>
      <c r="D368" s="10" t="s">
        <v>1637</v>
      </c>
      <c r="E368" s="21" t="s">
        <v>1173</v>
      </c>
      <c r="F368" s="22" t="s">
        <v>1174</v>
      </c>
      <c r="G368" s="12" t="s">
        <v>1008</v>
      </c>
      <c r="H368" s="13">
        <v>-0.93500000000000005</v>
      </c>
      <c r="I368" s="14" t="s">
        <v>906</v>
      </c>
      <c r="J368" s="22" t="s">
        <v>907</v>
      </c>
      <c r="K368" s="9">
        <v>3</v>
      </c>
      <c r="L368" s="15" t="s">
        <v>1479</v>
      </c>
      <c r="M368" s="16" t="s">
        <v>74</v>
      </c>
      <c r="N368" s="14"/>
      <c r="O368" s="15" t="s">
        <v>65</v>
      </c>
      <c r="P368" s="22" t="s">
        <v>1150</v>
      </c>
      <c r="Q368" s="15"/>
      <c r="R368" s="17" t="s">
        <v>74</v>
      </c>
      <c r="S368" s="18"/>
      <c r="T368" s="22" t="str">
        <f>IF(R368="維持",J368,IF(R368="排除","無關新聞事件",IFERROR(INDEX(事件規則!$B$2:$B$53,MATCH(S368,事件規則!$A$2:$A$53,0)),"")))</f>
        <v>無關新聞事件</v>
      </c>
      <c r="U368" s="9">
        <f>IF(R368="維持",K368,IF(R368="排除",0,IFERROR(INDEX(事件規則!$C$2:$C$53,MATCH(S368,事件規則!$A$2:$A$53,0)),"")))</f>
        <v>0</v>
      </c>
      <c r="V368" s="19"/>
      <c r="W368" s="20"/>
      <c r="X368" s="10" t="str">
        <f t="shared" si="5"/>
        <v/>
      </c>
      <c r="Y368" s="19"/>
      <c r="Z368" s="20"/>
      <c r="AA368" s="12" t="s">
        <v>1638</v>
      </c>
      <c r="AB368" s="23"/>
    </row>
    <row r="369" spans="1:28" ht="51">
      <c r="A369" s="15">
        <v>368</v>
      </c>
      <c r="B369" s="9" t="s">
        <v>195</v>
      </c>
      <c r="C369" s="15"/>
      <c r="D369" s="10" t="s">
        <v>737</v>
      </c>
      <c r="E369" s="21" t="s">
        <v>1639</v>
      </c>
      <c r="F369" s="22" t="s">
        <v>1640</v>
      </c>
      <c r="G369" s="12" t="s">
        <v>192</v>
      </c>
      <c r="H369" s="13">
        <v>1.4E-2</v>
      </c>
      <c r="I369" s="14" t="s">
        <v>906</v>
      </c>
      <c r="J369" s="22" t="s">
        <v>907</v>
      </c>
      <c r="K369" s="9">
        <v>3</v>
      </c>
      <c r="L369" s="15" t="s">
        <v>1479</v>
      </c>
      <c r="M369" s="16" t="s">
        <v>74</v>
      </c>
      <c r="N369" s="14"/>
      <c r="O369" s="15" t="s">
        <v>65</v>
      </c>
      <c r="P369" s="22" t="s">
        <v>1150</v>
      </c>
      <c r="Q369" s="15"/>
      <c r="R369" s="17" t="s">
        <v>74</v>
      </c>
      <c r="S369" s="18"/>
      <c r="T369" s="22" t="str">
        <f>IF(R369="維持",J369,IF(R369="排除","無關新聞事件",IFERROR(INDEX(事件規則!$B$2:$B$53,MATCH(S369,事件規則!$A$2:$A$53,0)),"")))</f>
        <v>無關新聞事件</v>
      </c>
      <c r="U369" s="9">
        <f>IF(R369="維持",K369,IF(R369="排除",0,IFERROR(INDEX(事件規則!$C$2:$C$53,MATCH(S369,事件規則!$A$2:$A$53,0)),"")))</f>
        <v>0</v>
      </c>
      <c r="V369" s="19"/>
      <c r="W369" s="20"/>
      <c r="X369" s="10" t="str">
        <f t="shared" si="5"/>
        <v/>
      </c>
      <c r="Y369" s="19"/>
      <c r="Z369" s="20"/>
      <c r="AA369" s="12" t="s">
        <v>1641</v>
      </c>
      <c r="AB369" s="23"/>
    </row>
    <row r="370" spans="1:28" ht="25.5">
      <c r="A370" s="15">
        <v>369</v>
      </c>
      <c r="B370" s="9" t="s">
        <v>207</v>
      </c>
      <c r="C370" s="15"/>
      <c r="D370" s="10" t="s">
        <v>1642</v>
      </c>
      <c r="E370" s="21" t="s">
        <v>1643</v>
      </c>
      <c r="F370" s="22"/>
      <c r="G370" s="12" t="s">
        <v>1644</v>
      </c>
      <c r="H370" s="13">
        <v>0.14599999999999999</v>
      </c>
      <c r="I370" s="14" t="s">
        <v>906</v>
      </c>
      <c r="J370" s="22" t="s">
        <v>907</v>
      </c>
      <c r="K370" s="9">
        <v>3</v>
      </c>
      <c r="L370" s="15" t="s">
        <v>1479</v>
      </c>
      <c r="M370" s="16" t="s">
        <v>74</v>
      </c>
      <c r="N370" s="14"/>
      <c r="O370" s="15" t="s">
        <v>65</v>
      </c>
      <c r="P370" s="22" t="s">
        <v>1150</v>
      </c>
      <c r="Q370" s="15"/>
      <c r="R370" s="17" t="s">
        <v>74</v>
      </c>
      <c r="S370" s="18"/>
      <c r="T370" s="22" t="str">
        <f>IF(R370="維持",J370,IF(R370="排除","無關新聞事件",IFERROR(INDEX(事件規則!$B$2:$B$53,MATCH(S370,事件規則!$A$2:$A$53,0)),"")))</f>
        <v>無關新聞事件</v>
      </c>
      <c r="U370" s="9">
        <f>IF(R370="維持",K370,IF(R370="排除",0,IFERROR(INDEX(事件規則!$C$2:$C$53,MATCH(S370,事件規則!$A$2:$A$53,0)),"")))</f>
        <v>0</v>
      </c>
      <c r="V370" s="19"/>
      <c r="W370" s="20"/>
      <c r="X370" s="10" t="str">
        <f t="shared" si="5"/>
        <v/>
      </c>
      <c r="Y370" s="19"/>
      <c r="Z370" s="20"/>
      <c r="AA370" s="12" t="s">
        <v>1645</v>
      </c>
      <c r="AB370" s="23"/>
    </row>
    <row r="371" spans="1:28" ht="25.5">
      <c r="A371" s="15">
        <v>370</v>
      </c>
      <c r="B371" s="9" t="s">
        <v>770</v>
      </c>
      <c r="C371" s="15"/>
      <c r="D371" s="10" t="s">
        <v>1646</v>
      </c>
      <c r="E371" s="21" t="s">
        <v>1647</v>
      </c>
      <c r="F371" s="22"/>
      <c r="G371" s="12" t="s">
        <v>64</v>
      </c>
      <c r="H371" s="13"/>
      <c r="I371" s="14" t="s">
        <v>906</v>
      </c>
      <c r="J371" s="22" t="s">
        <v>907</v>
      </c>
      <c r="K371" s="9">
        <v>3</v>
      </c>
      <c r="L371" s="15" t="s">
        <v>1479</v>
      </c>
      <c r="M371" s="16" t="s">
        <v>54</v>
      </c>
      <c r="N371" s="14"/>
      <c r="O371" s="15" t="s">
        <v>65</v>
      </c>
      <c r="P371" s="10" t="s">
        <v>1648</v>
      </c>
      <c r="Q371" s="15"/>
      <c r="R371" s="17" t="s">
        <v>54</v>
      </c>
      <c r="S371" s="18"/>
      <c r="T371" s="22" t="str">
        <f>IF(R371="維持",J371,IF(R371="排除","無關新聞事件",IFERROR(INDEX(事件規則!$B$2:$B$53,MATCH(S371,事件規則!$A$2:$A$53,0)),"")))</f>
        <v>裁員或人力縮減</v>
      </c>
      <c r="U371" s="9">
        <f>IF(R371="維持",K371,IF(R371="排除",0,IFERROR(INDEX(事件規則!$C$2:$C$53,MATCH(S371,事件規則!$A$2:$A$53,0)),"")))</f>
        <v>3</v>
      </c>
      <c r="V371" s="19"/>
      <c r="W371" s="20" t="s">
        <v>1649</v>
      </c>
      <c r="X371" s="10" t="str">
        <f t="shared" si="5"/>
        <v/>
      </c>
      <c r="Y371" s="19"/>
      <c r="Z371" s="20"/>
      <c r="AA371" s="12" t="s">
        <v>1650</v>
      </c>
      <c r="AB371" s="23"/>
    </row>
    <row r="372" spans="1:28" ht="38.25">
      <c r="A372" s="15">
        <v>371</v>
      </c>
      <c r="B372" s="9" t="s">
        <v>113</v>
      </c>
      <c r="C372" s="15"/>
      <c r="D372" s="10" t="s">
        <v>1579</v>
      </c>
      <c r="E372" s="21" t="s">
        <v>1229</v>
      </c>
      <c r="F372" s="22"/>
      <c r="G372" s="12" t="s">
        <v>1201</v>
      </c>
      <c r="H372" s="13">
        <v>-0.95499999999999996</v>
      </c>
      <c r="I372" s="14" t="s">
        <v>906</v>
      </c>
      <c r="J372" s="22" t="s">
        <v>907</v>
      </c>
      <c r="K372" s="9">
        <v>3</v>
      </c>
      <c r="L372" s="15" t="s">
        <v>1479</v>
      </c>
      <c r="M372" s="16" t="s">
        <v>74</v>
      </c>
      <c r="N372" s="14"/>
      <c r="O372" s="15" t="s">
        <v>65</v>
      </c>
      <c r="P372" s="22" t="s">
        <v>1150</v>
      </c>
      <c r="Q372" s="15"/>
      <c r="R372" s="17" t="s">
        <v>74</v>
      </c>
      <c r="S372" s="18"/>
      <c r="T372" s="22" t="str">
        <f>IF(R372="維持",J372,IF(R372="排除","無關新聞事件",IFERROR(INDEX(事件規則!$B$2:$B$53,MATCH(S372,事件規則!$A$2:$A$53,0)),"")))</f>
        <v>無關新聞事件</v>
      </c>
      <c r="U372" s="9">
        <f>IF(R372="維持",K372,IF(R372="排除",0,IFERROR(INDEX(事件規則!$C$2:$C$53,MATCH(S372,事件規則!$A$2:$A$53,0)),"")))</f>
        <v>0</v>
      </c>
      <c r="V372" s="19"/>
      <c r="W372" s="20"/>
      <c r="X372" s="10" t="str">
        <f t="shared" si="5"/>
        <v/>
      </c>
      <c r="Y372" s="19"/>
      <c r="Z372" s="20"/>
      <c r="AA372" s="12" t="s">
        <v>1651</v>
      </c>
      <c r="AB372" s="23"/>
    </row>
    <row r="373" spans="1:28" ht="25.5">
      <c r="A373" s="15">
        <v>372</v>
      </c>
      <c r="B373" s="9" t="s">
        <v>113</v>
      </c>
      <c r="C373" s="15"/>
      <c r="D373" s="10" t="s">
        <v>1652</v>
      </c>
      <c r="E373" s="11" t="s">
        <v>1653</v>
      </c>
      <c r="F373" s="22"/>
      <c r="G373" s="12" t="s">
        <v>64</v>
      </c>
      <c r="H373" s="13"/>
      <c r="I373" s="14" t="s">
        <v>906</v>
      </c>
      <c r="J373" s="22" t="s">
        <v>907</v>
      </c>
      <c r="K373" s="9">
        <v>3</v>
      </c>
      <c r="L373" s="15" t="s">
        <v>1479</v>
      </c>
      <c r="M373" s="16" t="s">
        <v>54</v>
      </c>
      <c r="N373" s="14"/>
      <c r="O373" s="15" t="s">
        <v>55</v>
      </c>
      <c r="P373" s="10" t="s">
        <v>1220</v>
      </c>
      <c r="Q373" s="15"/>
      <c r="R373" s="17" t="s">
        <v>54</v>
      </c>
      <c r="S373" s="18"/>
      <c r="T373" s="22" t="str">
        <f>IF(R373="維持",J373,IF(R373="排除","無關新聞事件",IFERROR(INDEX(事件規則!$B$2:$B$53,MATCH(S373,事件規則!$A$2:$A$53,0)),"")))</f>
        <v>裁員或人力縮減</v>
      </c>
      <c r="U373" s="9">
        <f>IF(R373="維持",K373,IF(R373="排除",0,IFERROR(INDEX(事件規則!$C$2:$C$53,MATCH(S373,事件規則!$A$2:$A$53,0)),"")))</f>
        <v>3</v>
      </c>
      <c r="V373" s="19"/>
      <c r="W373" s="20" t="s">
        <v>150</v>
      </c>
      <c r="X373" s="10" t="str">
        <f t="shared" si="5"/>
        <v/>
      </c>
      <c r="Y373" s="19"/>
      <c r="Z373" s="20"/>
      <c r="AA373" s="12" t="s">
        <v>1654</v>
      </c>
      <c r="AB373" s="23"/>
    </row>
    <row r="374" spans="1:28" ht="25.5">
      <c r="A374" s="15">
        <v>373</v>
      </c>
      <c r="B374" s="9" t="s">
        <v>113</v>
      </c>
      <c r="C374" s="15"/>
      <c r="D374" s="10" t="s">
        <v>1579</v>
      </c>
      <c r="E374" s="21" t="s">
        <v>1655</v>
      </c>
      <c r="F374" s="22"/>
      <c r="G374" s="12" t="s">
        <v>916</v>
      </c>
      <c r="H374" s="13">
        <v>-0.95699999999999996</v>
      </c>
      <c r="I374" s="14" t="s">
        <v>906</v>
      </c>
      <c r="J374" s="22" t="s">
        <v>907</v>
      </c>
      <c r="K374" s="9">
        <v>3</v>
      </c>
      <c r="L374" s="15" t="s">
        <v>1479</v>
      </c>
      <c r="M374" s="16" t="s">
        <v>74</v>
      </c>
      <c r="N374" s="14"/>
      <c r="O374" s="15" t="s">
        <v>65</v>
      </c>
      <c r="P374" s="22" t="s">
        <v>1150</v>
      </c>
      <c r="Q374" s="15"/>
      <c r="R374" s="17" t="s">
        <v>74</v>
      </c>
      <c r="S374" s="18"/>
      <c r="T374" s="22" t="str">
        <f>IF(R374="維持",J374,IF(R374="排除","無關新聞事件",IFERROR(INDEX(事件規則!$B$2:$B$53,MATCH(S374,事件規則!$A$2:$A$53,0)),"")))</f>
        <v>無關新聞事件</v>
      </c>
      <c r="U374" s="9">
        <f>IF(R374="維持",K374,IF(R374="排除",0,IFERROR(INDEX(事件規則!$C$2:$C$53,MATCH(S374,事件規則!$A$2:$A$53,0)),"")))</f>
        <v>0</v>
      </c>
      <c r="V374" s="19"/>
      <c r="W374" s="20"/>
      <c r="X374" s="10" t="str">
        <f t="shared" si="5"/>
        <v/>
      </c>
      <c r="Y374" s="19"/>
      <c r="Z374" s="20"/>
      <c r="AA374" s="12" t="s">
        <v>1656</v>
      </c>
      <c r="AB374" s="23"/>
    </row>
    <row r="375" spans="1:28" ht="38.25">
      <c r="A375" s="15">
        <v>374</v>
      </c>
      <c r="B375" s="9" t="s">
        <v>225</v>
      </c>
      <c r="C375" s="15"/>
      <c r="D375" s="10" t="s">
        <v>1657</v>
      </c>
      <c r="E375" s="21" t="s">
        <v>1658</v>
      </c>
      <c r="F375" s="22"/>
      <c r="G375" s="12" t="s">
        <v>1659</v>
      </c>
      <c r="H375" s="13">
        <v>0.83199999999999996</v>
      </c>
      <c r="I375" s="14" t="s">
        <v>906</v>
      </c>
      <c r="J375" s="22" t="s">
        <v>907</v>
      </c>
      <c r="K375" s="9">
        <v>3</v>
      </c>
      <c r="L375" s="15" t="s">
        <v>1479</v>
      </c>
      <c r="M375" s="16" t="s">
        <v>74</v>
      </c>
      <c r="N375" s="14"/>
      <c r="O375" s="15" t="s">
        <v>65</v>
      </c>
      <c r="P375" s="22" t="s">
        <v>1150</v>
      </c>
      <c r="Q375" s="15"/>
      <c r="R375" s="17" t="s">
        <v>74</v>
      </c>
      <c r="S375" s="18"/>
      <c r="T375" s="22" t="str">
        <f>IF(R375="維持",J375,IF(R375="排除","無關新聞事件",IFERROR(INDEX(事件規則!$B$2:$B$53,MATCH(S375,事件規則!$A$2:$A$53,0)),"")))</f>
        <v>無關新聞事件</v>
      </c>
      <c r="U375" s="9">
        <f>IF(R375="維持",K375,IF(R375="排除",0,IFERROR(INDEX(事件規則!$C$2:$C$53,MATCH(S375,事件規則!$A$2:$A$53,0)),"")))</f>
        <v>0</v>
      </c>
      <c r="V375" s="19"/>
      <c r="W375" s="20"/>
      <c r="X375" s="10" t="str">
        <f t="shared" si="5"/>
        <v/>
      </c>
      <c r="Y375" s="19"/>
      <c r="Z375" s="20"/>
      <c r="AA375" s="12" t="s">
        <v>1660</v>
      </c>
      <c r="AB375" s="23"/>
    </row>
    <row r="376" spans="1:28" ht="25.5">
      <c r="A376" s="15">
        <v>375</v>
      </c>
      <c r="B376" s="9" t="s">
        <v>145</v>
      </c>
      <c r="C376" s="15"/>
      <c r="D376" s="10" t="s">
        <v>1465</v>
      </c>
      <c r="E376" s="11" t="s">
        <v>1661</v>
      </c>
      <c r="F376" s="22"/>
      <c r="G376" s="12" t="s">
        <v>64</v>
      </c>
      <c r="H376" s="13">
        <v>0</v>
      </c>
      <c r="I376" s="14" t="s">
        <v>906</v>
      </c>
      <c r="J376" s="22" t="s">
        <v>907</v>
      </c>
      <c r="K376" s="9">
        <v>3</v>
      </c>
      <c r="L376" s="15" t="s">
        <v>1479</v>
      </c>
      <c r="M376" s="16" t="s">
        <v>54</v>
      </c>
      <c r="N376" s="14"/>
      <c r="O376" s="15" t="s">
        <v>55</v>
      </c>
      <c r="P376" s="10" t="s">
        <v>1378</v>
      </c>
      <c r="Q376" s="15"/>
      <c r="R376" s="17" t="s">
        <v>54</v>
      </c>
      <c r="S376" s="18"/>
      <c r="T376" s="22" t="str">
        <f>IF(R376="維持",J376,IF(R376="排除","無關新聞事件",IFERROR(INDEX(事件規則!$B$2:$B$53,MATCH(S376,事件規則!$A$2:$A$53,0)),"")))</f>
        <v>裁員或人力縮減</v>
      </c>
      <c r="U376" s="9">
        <f>IF(R376="維持",K376,IF(R376="排除",0,IFERROR(INDEX(事件規則!$C$2:$C$53,MATCH(S376,事件規則!$A$2:$A$53,0)),"")))</f>
        <v>3</v>
      </c>
      <c r="V376" s="19"/>
      <c r="W376" s="20" t="s">
        <v>1374</v>
      </c>
      <c r="X376" s="10" t="str">
        <f t="shared" si="5"/>
        <v/>
      </c>
      <c r="Y376" s="19"/>
      <c r="Z376" s="20"/>
      <c r="AA376" s="12" t="s">
        <v>1662</v>
      </c>
      <c r="AB376" s="23"/>
    </row>
    <row r="377" spans="1:28" ht="25.5">
      <c r="A377" s="15">
        <v>376</v>
      </c>
      <c r="B377" s="9" t="s">
        <v>145</v>
      </c>
      <c r="C377" s="15"/>
      <c r="D377" s="10" t="s">
        <v>1465</v>
      </c>
      <c r="E377" s="11" t="s">
        <v>1663</v>
      </c>
      <c r="F377" s="22"/>
      <c r="G377" s="12" t="s">
        <v>64</v>
      </c>
      <c r="H377" s="13">
        <v>5.0000000000000001E-3</v>
      </c>
      <c r="I377" s="14" t="s">
        <v>906</v>
      </c>
      <c r="J377" s="22" t="s">
        <v>907</v>
      </c>
      <c r="K377" s="9">
        <v>3</v>
      </c>
      <c r="L377" s="15" t="s">
        <v>1479</v>
      </c>
      <c r="M377" s="16" t="s">
        <v>54</v>
      </c>
      <c r="N377" s="14"/>
      <c r="O377" s="15" t="s">
        <v>55</v>
      </c>
      <c r="P377" s="10" t="s">
        <v>1378</v>
      </c>
      <c r="Q377" s="15"/>
      <c r="R377" s="17" t="s">
        <v>54</v>
      </c>
      <c r="S377" s="18"/>
      <c r="T377" s="22" t="str">
        <f>IF(R377="維持",J377,IF(R377="排除","無關新聞事件",IFERROR(INDEX(事件規則!$B$2:$B$53,MATCH(S377,事件規則!$A$2:$A$53,0)),"")))</f>
        <v>裁員或人力縮減</v>
      </c>
      <c r="U377" s="9">
        <f>IF(R377="維持",K377,IF(R377="排除",0,IFERROR(INDEX(事件規則!$C$2:$C$53,MATCH(S377,事件規則!$A$2:$A$53,0)),"")))</f>
        <v>3</v>
      </c>
      <c r="V377" s="19"/>
      <c r="W377" s="20" t="s">
        <v>1374</v>
      </c>
      <c r="X377" s="10" t="str">
        <f t="shared" si="5"/>
        <v/>
      </c>
      <c r="Y377" s="19"/>
      <c r="Z377" s="20"/>
      <c r="AA377" s="12" t="s">
        <v>1664</v>
      </c>
      <c r="AB377" s="23"/>
    </row>
    <row r="378" spans="1:28" ht="38.25">
      <c r="A378" s="15">
        <v>377</v>
      </c>
      <c r="B378" s="9" t="s">
        <v>68</v>
      </c>
      <c r="C378" s="9" t="s">
        <v>263</v>
      </c>
      <c r="D378" s="10" t="s">
        <v>264</v>
      </c>
      <c r="E378" s="21" t="s">
        <v>1665</v>
      </c>
      <c r="F378" s="22" t="s">
        <v>1666</v>
      </c>
      <c r="G378" s="12" t="s">
        <v>1667</v>
      </c>
      <c r="H378" s="13">
        <v>-0.96499999999999997</v>
      </c>
      <c r="I378" s="14" t="s">
        <v>906</v>
      </c>
      <c r="J378" s="22" t="s">
        <v>907</v>
      </c>
      <c r="K378" s="9">
        <v>3</v>
      </c>
      <c r="L378" s="15" t="s">
        <v>1479</v>
      </c>
      <c r="M378" s="16" t="s">
        <v>74</v>
      </c>
      <c r="N378" s="14"/>
      <c r="O378" s="15" t="s">
        <v>65</v>
      </c>
      <c r="P378" s="22" t="s">
        <v>1150</v>
      </c>
      <c r="Q378" s="15"/>
      <c r="R378" s="17" t="s">
        <v>74</v>
      </c>
      <c r="S378" s="18"/>
      <c r="T378" s="22" t="str">
        <f>IF(R378="維持",J378,IF(R378="排除","無關新聞事件",IFERROR(INDEX(事件規則!$B$2:$B$53,MATCH(S378,事件規則!$A$2:$A$53,0)),"")))</f>
        <v>無關新聞事件</v>
      </c>
      <c r="U378" s="9">
        <f>IF(R378="維持",K378,IF(R378="排除",0,IFERROR(INDEX(事件規則!$C$2:$C$53,MATCH(S378,事件規則!$A$2:$A$53,0)),"")))</f>
        <v>0</v>
      </c>
      <c r="V378" s="19"/>
      <c r="W378" s="20"/>
      <c r="X378" s="10" t="str">
        <f t="shared" si="5"/>
        <v/>
      </c>
      <c r="Y378" s="19"/>
      <c r="Z378" s="20"/>
      <c r="AA378" s="12" t="s">
        <v>1668</v>
      </c>
      <c r="AB378" s="23"/>
    </row>
    <row r="379" spans="1:28" ht="25.5">
      <c r="A379" s="15">
        <v>378</v>
      </c>
      <c r="B379" s="9" t="s">
        <v>87</v>
      </c>
      <c r="C379" s="15"/>
      <c r="D379" s="10" t="s">
        <v>1669</v>
      </c>
      <c r="E379" s="21" t="s">
        <v>1670</v>
      </c>
      <c r="F379" s="22" t="s">
        <v>1671</v>
      </c>
      <c r="G379" s="12" t="s">
        <v>299</v>
      </c>
      <c r="H379" s="13">
        <v>-0.73899999999999999</v>
      </c>
      <c r="I379" s="14" t="s">
        <v>1672</v>
      </c>
      <c r="J379" s="22" t="s">
        <v>1673</v>
      </c>
      <c r="K379" s="9">
        <v>2</v>
      </c>
      <c r="L379" s="15" t="s">
        <v>1479</v>
      </c>
      <c r="M379" s="16" t="s">
        <v>74</v>
      </c>
      <c r="N379" s="14"/>
      <c r="O379" s="15" t="s">
        <v>65</v>
      </c>
      <c r="P379" s="22" t="s">
        <v>1150</v>
      </c>
      <c r="Q379" s="15"/>
      <c r="R379" s="17" t="s">
        <v>74</v>
      </c>
      <c r="S379" s="18"/>
      <c r="T379" s="22" t="str">
        <f>IF(R379="維持",J379,IF(R379="排除","無關新聞事件",IFERROR(INDEX(事件規則!$B$2:$B$53,MATCH(S379,事件規則!$A$2:$A$53,0)),"")))</f>
        <v>無關新聞事件</v>
      </c>
      <c r="U379" s="9">
        <f>IF(R379="維持",K379,IF(R379="排除",0,IFERROR(INDEX(事件規則!$C$2:$C$53,MATCH(S379,事件規則!$A$2:$A$53,0)),"")))</f>
        <v>0</v>
      </c>
      <c r="V379" s="19"/>
      <c r="W379" s="20"/>
      <c r="X379" s="10" t="str">
        <f t="shared" si="5"/>
        <v/>
      </c>
      <c r="Y379" s="19"/>
      <c r="Z379" s="20"/>
      <c r="AA379" s="12" t="s">
        <v>1674</v>
      </c>
      <c r="AB379" s="23"/>
    </row>
    <row r="380" spans="1:28" ht="25.5">
      <c r="A380" s="15">
        <v>379</v>
      </c>
      <c r="B380" s="9" t="s">
        <v>87</v>
      </c>
      <c r="C380" s="15"/>
      <c r="D380" s="10" t="s">
        <v>1675</v>
      </c>
      <c r="E380" s="21" t="s">
        <v>1676</v>
      </c>
      <c r="F380" s="22" t="s">
        <v>1677</v>
      </c>
      <c r="G380" s="12" t="s">
        <v>1678</v>
      </c>
      <c r="H380" s="13">
        <v>-0.90700000000000003</v>
      </c>
      <c r="I380" s="14" t="s">
        <v>1672</v>
      </c>
      <c r="J380" s="22" t="s">
        <v>1673</v>
      </c>
      <c r="K380" s="9">
        <v>2</v>
      </c>
      <c r="L380" s="15" t="s">
        <v>1479</v>
      </c>
      <c r="M380" s="16" t="s">
        <v>74</v>
      </c>
      <c r="N380" s="14"/>
      <c r="O380" s="15" t="s">
        <v>65</v>
      </c>
      <c r="P380" s="22" t="s">
        <v>1150</v>
      </c>
      <c r="Q380" s="15"/>
      <c r="R380" s="17" t="s">
        <v>74</v>
      </c>
      <c r="S380" s="18"/>
      <c r="T380" s="22" t="str">
        <f>IF(R380="維持",J380,IF(R380="排除","無關新聞事件",IFERROR(INDEX(事件規則!$B$2:$B$53,MATCH(S380,事件規則!$A$2:$A$53,0)),"")))</f>
        <v>無關新聞事件</v>
      </c>
      <c r="U380" s="9">
        <f>IF(R380="維持",K380,IF(R380="排除",0,IFERROR(INDEX(事件規則!$C$2:$C$53,MATCH(S380,事件規則!$A$2:$A$53,0)),"")))</f>
        <v>0</v>
      </c>
      <c r="V380" s="19"/>
      <c r="W380" s="20"/>
      <c r="X380" s="10" t="str">
        <f t="shared" si="5"/>
        <v/>
      </c>
      <c r="Y380" s="19"/>
      <c r="Z380" s="20"/>
      <c r="AA380" s="12" t="s">
        <v>1679</v>
      </c>
      <c r="AB380" s="23"/>
    </row>
    <row r="381" spans="1:28" ht="25.5">
      <c r="A381" s="15">
        <v>380</v>
      </c>
      <c r="B381" s="9" t="s">
        <v>100</v>
      </c>
      <c r="C381" s="15"/>
      <c r="D381" s="10" t="s">
        <v>654</v>
      </c>
      <c r="E381" s="21" t="s">
        <v>1680</v>
      </c>
      <c r="F381" s="22" t="s">
        <v>1681</v>
      </c>
      <c r="G381" s="12" t="s">
        <v>1568</v>
      </c>
      <c r="H381" s="13">
        <v>-0.81899999999999995</v>
      </c>
      <c r="I381" s="14" t="s">
        <v>1672</v>
      </c>
      <c r="J381" s="22" t="s">
        <v>1673</v>
      </c>
      <c r="K381" s="9">
        <v>2</v>
      </c>
      <c r="L381" s="15" t="s">
        <v>1479</v>
      </c>
      <c r="M381" s="16" t="s">
        <v>74</v>
      </c>
      <c r="N381" s="14"/>
      <c r="O381" s="15" t="s">
        <v>65</v>
      </c>
      <c r="P381" s="22" t="s">
        <v>1150</v>
      </c>
      <c r="Q381" s="15"/>
      <c r="R381" s="17" t="s">
        <v>74</v>
      </c>
      <c r="S381" s="18"/>
      <c r="T381" s="22" t="str">
        <f>IF(R381="維持",J381,IF(R381="排除","無關新聞事件",IFERROR(INDEX(事件規則!$B$2:$B$53,MATCH(S381,事件規則!$A$2:$A$53,0)),"")))</f>
        <v>無關新聞事件</v>
      </c>
      <c r="U381" s="9">
        <f>IF(R381="維持",K381,IF(R381="排除",0,IFERROR(INDEX(事件規則!$C$2:$C$53,MATCH(S381,事件規則!$A$2:$A$53,0)),"")))</f>
        <v>0</v>
      </c>
      <c r="V381" s="19"/>
      <c r="W381" s="20"/>
      <c r="X381" s="10" t="str">
        <f t="shared" si="5"/>
        <v/>
      </c>
      <c r="Y381" s="19"/>
      <c r="Z381" s="20"/>
      <c r="AA381" s="12" t="s">
        <v>1682</v>
      </c>
      <c r="AB381" s="23"/>
    </row>
    <row r="382" spans="1:28" ht="25.5">
      <c r="A382" s="15">
        <v>381</v>
      </c>
      <c r="B382" s="9" t="s">
        <v>100</v>
      </c>
      <c r="C382" s="15"/>
      <c r="D382" s="10" t="s">
        <v>1683</v>
      </c>
      <c r="E382" s="21" t="s">
        <v>1684</v>
      </c>
      <c r="F382" s="22" t="s">
        <v>1685</v>
      </c>
      <c r="G382" s="12" t="s">
        <v>1568</v>
      </c>
      <c r="H382" s="13">
        <v>-0.50600000000000001</v>
      </c>
      <c r="I382" s="14" t="s">
        <v>1672</v>
      </c>
      <c r="J382" s="22" t="s">
        <v>1673</v>
      </c>
      <c r="K382" s="9">
        <v>2</v>
      </c>
      <c r="L382" s="15" t="s">
        <v>1479</v>
      </c>
      <c r="M382" s="16" t="s">
        <v>74</v>
      </c>
      <c r="N382" s="14"/>
      <c r="O382" s="15" t="s">
        <v>65</v>
      </c>
      <c r="P382" s="22" t="s">
        <v>1150</v>
      </c>
      <c r="Q382" s="15"/>
      <c r="R382" s="17" t="s">
        <v>74</v>
      </c>
      <c r="S382" s="18"/>
      <c r="T382" s="22" t="str">
        <f>IF(R382="維持",J382,IF(R382="排除","無關新聞事件",IFERROR(INDEX(事件規則!$B$2:$B$53,MATCH(S382,事件規則!$A$2:$A$53,0)),"")))</f>
        <v>無關新聞事件</v>
      </c>
      <c r="U382" s="9">
        <f>IF(R382="維持",K382,IF(R382="排除",0,IFERROR(INDEX(事件規則!$C$2:$C$53,MATCH(S382,事件規則!$A$2:$A$53,0)),"")))</f>
        <v>0</v>
      </c>
      <c r="V382" s="19"/>
      <c r="W382" s="20"/>
      <c r="X382" s="10" t="str">
        <f t="shared" si="5"/>
        <v/>
      </c>
      <c r="Y382" s="19"/>
      <c r="Z382" s="20"/>
      <c r="AA382" s="12" t="s">
        <v>1686</v>
      </c>
      <c r="AB382" s="23"/>
    </row>
    <row r="383" spans="1:28" ht="25.5">
      <c r="A383" s="15">
        <v>382</v>
      </c>
      <c r="B383" s="9" t="s">
        <v>159</v>
      </c>
      <c r="C383" s="15"/>
      <c r="D383" s="10" t="s">
        <v>1687</v>
      </c>
      <c r="E383" s="21" t="s">
        <v>1688</v>
      </c>
      <c r="F383" s="10" t="s">
        <v>1689</v>
      </c>
      <c r="G383" s="12" t="s">
        <v>64</v>
      </c>
      <c r="H383" s="13"/>
      <c r="I383" s="14" t="s">
        <v>1672</v>
      </c>
      <c r="J383" s="22" t="s">
        <v>1673</v>
      </c>
      <c r="K383" s="9">
        <v>2</v>
      </c>
      <c r="L383" s="15" t="s">
        <v>1479</v>
      </c>
      <c r="M383" s="16" t="s">
        <v>54</v>
      </c>
      <c r="N383" s="14"/>
      <c r="O383" s="15" t="s">
        <v>211</v>
      </c>
      <c r="P383" s="22" t="s">
        <v>1690</v>
      </c>
      <c r="Q383" s="15"/>
      <c r="R383" s="17" t="s">
        <v>54</v>
      </c>
      <c r="S383" s="18"/>
      <c r="T383" s="22" t="str">
        <f>IF(R383="維持",J383,IF(R383="排除","無關新聞事件",IFERROR(INDEX(事件規則!$B$2:$B$53,MATCH(S383,事件規則!$A$2:$A$53,0)),"")))</f>
        <v>分析師降評</v>
      </c>
      <c r="U383" s="9">
        <f>IF(R383="維持",K383,IF(R383="排除",0,IFERROR(INDEX(事件規則!$C$2:$C$53,MATCH(S383,事件規則!$A$2:$A$53,0)),"")))</f>
        <v>2</v>
      </c>
      <c r="V383" s="19"/>
      <c r="W383" s="20" t="s">
        <v>1691</v>
      </c>
      <c r="X383" s="10" t="str">
        <f t="shared" si="5"/>
        <v/>
      </c>
      <c r="Y383" s="19"/>
      <c r="Z383" s="20"/>
      <c r="AA383" s="12" t="s">
        <v>1692</v>
      </c>
      <c r="AB383" s="23"/>
    </row>
    <row r="384" spans="1:28" ht="25.5">
      <c r="A384" s="15">
        <v>383</v>
      </c>
      <c r="B384" s="9" t="s">
        <v>1693</v>
      </c>
      <c r="C384" s="15"/>
      <c r="D384" s="10" t="s">
        <v>1694</v>
      </c>
      <c r="E384" s="11" t="s">
        <v>1695</v>
      </c>
      <c r="F384" s="22"/>
      <c r="G384" s="12" t="s">
        <v>64</v>
      </c>
      <c r="H384" s="13"/>
      <c r="I384" s="14" t="s">
        <v>1672</v>
      </c>
      <c r="J384" s="22" t="s">
        <v>1673</v>
      </c>
      <c r="K384" s="9">
        <v>2</v>
      </c>
      <c r="L384" s="15" t="s">
        <v>1479</v>
      </c>
      <c r="M384" s="16" t="s">
        <v>54</v>
      </c>
      <c r="N384" s="14"/>
      <c r="O384" s="15" t="s">
        <v>211</v>
      </c>
      <c r="P384" s="22" t="s">
        <v>1690</v>
      </c>
      <c r="Q384" s="15"/>
      <c r="R384" s="17" t="s">
        <v>54</v>
      </c>
      <c r="S384" s="18"/>
      <c r="T384" s="22" t="str">
        <f>IF(R384="維持",J384,IF(R384="排除","無關新聞事件",IFERROR(INDEX(事件規則!$B$2:$B$53,MATCH(S384,事件規則!$A$2:$A$53,0)),"")))</f>
        <v>分析師降評</v>
      </c>
      <c r="U384" s="9">
        <f>IF(R384="維持",K384,IF(R384="排除",0,IFERROR(INDEX(事件規則!$C$2:$C$53,MATCH(S384,事件規則!$A$2:$A$53,0)),"")))</f>
        <v>2</v>
      </c>
      <c r="V384" s="19"/>
      <c r="W384" s="20" t="s">
        <v>587</v>
      </c>
      <c r="X384" s="10" t="str">
        <f t="shared" si="5"/>
        <v/>
      </c>
      <c r="Y384" s="19"/>
      <c r="Z384" s="20"/>
      <c r="AA384" s="12" t="s">
        <v>1696</v>
      </c>
      <c r="AB384" s="23"/>
    </row>
    <row r="385" spans="1:28" ht="25.5">
      <c r="A385" s="15">
        <v>384</v>
      </c>
      <c r="B385" s="9" t="s">
        <v>248</v>
      </c>
      <c r="C385" s="15"/>
      <c r="D385" s="10" t="s">
        <v>747</v>
      </c>
      <c r="E385" s="21" t="s">
        <v>1697</v>
      </c>
      <c r="F385" s="22"/>
      <c r="G385" s="12" t="s">
        <v>64</v>
      </c>
      <c r="H385" s="13">
        <v>5.3999999999999999E-2</v>
      </c>
      <c r="I385" s="14" t="s">
        <v>1672</v>
      </c>
      <c r="J385" s="22" t="s">
        <v>1673</v>
      </c>
      <c r="K385" s="9">
        <v>2</v>
      </c>
      <c r="L385" s="15" t="s">
        <v>1479</v>
      </c>
      <c r="M385" s="16" t="s">
        <v>54</v>
      </c>
      <c r="N385" s="14"/>
      <c r="O385" s="15" t="s">
        <v>211</v>
      </c>
      <c r="P385" s="22" t="s">
        <v>1690</v>
      </c>
      <c r="Q385" s="15"/>
      <c r="R385" s="17" t="s">
        <v>54</v>
      </c>
      <c r="S385" s="18"/>
      <c r="T385" s="22" t="str">
        <f>IF(R385="維持",J385,IF(R385="排除","無關新聞事件",IFERROR(INDEX(事件規則!$B$2:$B$53,MATCH(S385,事件規則!$A$2:$A$53,0)),"")))</f>
        <v>分析師降評</v>
      </c>
      <c r="U385" s="9">
        <f>IF(R385="維持",K385,IF(R385="排除",0,IFERROR(INDEX(事件規則!$C$2:$C$53,MATCH(S385,事件規則!$A$2:$A$53,0)),"")))</f>
        <v>2</v>
      </c>
      <c r="V385" s="19"/>
      <c r="W385" s="20" t="s">
        <v>746</v>
      </c>
      <c r="X385" s="10" t="str">
        <f t="shared" si="5"/>
        <v/>
      </c>
      <c r="Y385" s="19"/>
      <c r="Z385" s="20"/>
      <c r="AA385" s="12" t="s">
        <v>1698</v>
      </c>
      <c r="AB385" s="23"/>
    </row>
    <row r="386" spans="1:28" ht="25.5">
      <c r="A386" s="15">
        <v>385</v>
      </c>
      <c r="B386" s="9" t="s">
        <v>248</v>
      </c>
      <c r="C386" s="15"/>
      <c r="D386" s="10" t="s">
        <v>1699</v>
      </c>
      <c r="E386" s="11" t="s">
        <v>1700</v>
      </c>
      <c r="F386" s="22"/>
      <c r="G386" s="12" t="s">
        <v>64</v>
      </c>
      <c r="H386" s="13">
        <v>4.7E-2</v>
      </c>
      <c r="I386" s="14" t="s">
        <v>1672</v>
      </c>
      <c r="J386" s="22" t="s">
        <v>1673</v>
      </c>
      <c r="K386" s="9">
        <v>2</v>
      </c>
      <c r="L386" s="15" t="s">
        <v>1479</v>
      </c>
      <c r="M386" s="16" t="s">
        <v>54</v>
      </c>
      <c r="N386" s="14"/>
      <c r="O386" s="15" t="s">
        <v>211</v>
      </c>
      <c r="P386" s="22" t="s">
        <v>1690</v>
      </c>
      <c r="Q386" s="15"/>
      <c r="R386" s="17" t="s">
        <v>54</v>
      </c>
      <c r="S386" s="18"/>
      <c r="T386" s="22" t="str">
        <f>IF(R386="維持",J386,IF(R386="排除","無關新聞事件",IFERROR(INDEX(事件規則!$B$2:$B$53,MATCH(S386,事件規則!$A$2:$A$53,0)),"")))</f>
        <v>分析師降評</v>
      </c>
      <c r="U386" s="9">
        <f>IF(R386="維持",K386,IF(R386="排除",0,IFERROR(INDEX(事件規則!$C$2:$C$53,MATCH(S386,事件規則!$A$2:$A$53,0)),"")))</f>
        <v>2</v>
      </c>
      <c r="V386" s="19"/>
      <c r="W386" s="20" t="s">
        <v>1701</v>
      </c>
      <c r="X386" s="10" t="str">
        <f t="shared" ref="X386:X449" si="6">IF(AND(R386="修改",S386=""),"請選新事件代碼",IF(AND(R386&lt;&gt;"修改",S386&lt;&gt;""),"只有「修改」才需填代碼",""))</f>
        <v/>
      </c>
      <c r="Y386" s="19"/>
      <c r="Z386" s="20"/>
      <c r="AA386" s="12" t="s">
        <v>1702</v>
      </c>
      <c r="AB386" s="23"/>
    </row>
    <row r="387" spans="1:28" ht="25.5">
      <c r="A387" s="15">
        <v>386</v>
      </c>
      <c r="B387" s="9" t="s">
        <v>255</v>
      </c>
      <c r="C387" s="15"/>
      <c r="D387" s="10" t="s">
        <v>1703</v>
      </c>
      <c r="E387" s="11" t="s">
        <v>1704</v>
      </c>
      <c r="F387" s="22"/>
      <c r="G387" s="12" t="s">
        <v>64</v>
      </c>
      <c r="H387" s="13">
        <v>7.0000000000000007E-2</v>
      </c>
      <c r="I387" s="14" t="s">
        <v>1672</v>
      </c>
      <c r="J387" s="22" t="s">
        <v>1673</v>
      </c>
      <c r="K387" s="9">
        <v>2</v>
      </c>
      <c r="L387" s="15" t="s">
        <v>1479</v>
      </c>
      <c r="M387" s="16" t="s">
        <v>54</v>
      </c>
      <c r="N387" s="14"/>
      <c r="O387" s="15" t="s">
        <v>211</v>
      </c>
      <c r="P387" s="22" t="s">
        <v>1690</v>
      </c>
      <c r="Q387" s="15"/>
      <c r="R387" s="17" t="s">
        <v>54</v>
      </c>
      <c r="S387" s="18"/>
      <c r="T387" s="22" t="str">
        <f>IF(R387="維持",J387,IF(R387="排除","無關新聞事件",IFERROR(INDEX(事件規則!$B$2:$B$53,MATCH(S387,事件規則!$A$2:$A$53,0)),"")))</f>
        <v>分析師降評</v>
      </c>
      <c r="U387" s="9">
        <f>IF(R387="維持",K387,IF(R387="排除",0,IFERROR(INDEX(事件規則!$C$2:$C$53,MATCH(S387,事件規則!$A$2:$A$53,0)),"")))</f>
        <v>2</v>
      </c>
      <c r="V387" s="19"/>
      <c r="W387" s="20" t="s">
        <v>1705</v>
      </c>
      <c r="X387" s="10" t="str">
        <f t="shared" si="6"/>
        <v/>
      </c>
      <c r="Y387" s="19"/>
      <c r="Z387" s="20"/>
      <c r="AA387" s="12" t="s">
        <v>1706</v>
      </c>
      <c r="AB387" s="23"/>
    </row>
    <row r="388" spans="1:28" ht="25.5">
      <c r="A388" s="15">
        <v>387</v>
      </c>
      <c r="B388" s="9" t="s">
        <v>138</v>
      </c>
      <c r="C388" s="15"/>
      <c r="D388" s="10" t="s">
        <v>1461</v>
      </c>
      <c r="E388" s="11" t="s">
        <v>1707</v>
      </c>
      <c r="F388" s="22"/>
      <c r="G388" s="12" t="s">
        <v>64</v>
      </c>
      <c r="H388" s="13">
        <v>8.3000000000000004E-2</v>
      </c>
      <c r="I388" s="14" t="s">
        <v>1672</v>
      </c>
      <c r="J388" s="22" t="s">
        <v>1673</v>
      </c>
      <c r="K388" s="9">
        <v>2</v>
      </c>
      <c r="L388" s="15" t="s">
        <v>1479</v>
      </c>
      <c r="M388" s="16" t="s">
        <v>54</v>
      </c>
      <c r="N388" s="14"/>
      <c r="O388" s="15" t="s">
        <v>211</v>
      </c>
      <c r="P388" s="22" t="s">
        <v>1690</v>
      </c>
      <c r="Q388" s="15"/>
      <c r="R388" s="17" t="s">
        <v>54</v>
      </c>
      <c r="S388" s="18"/>
      <c r="T388" s="22" t="str">
        <f>IF(R388="維持",J388,IF(R388="排除","無關新聞事件",IFERROR(INDEX(事件規則!$B$2:$B$53,MATCH(S388,事件規則!$A$2:$A$53,0)),"")))</f>
        <v>分析師降評</v>
      </c>
      <c r="U388" s="9">
        <f>IF(R388="維持",K388,IF(R388="排除",0,IFERROR(INDEX(事件規則!$C$2:$C$53,MATCH(S388,事件規則!$A$2:$A$53,0)),"")))</f>
        <v>2</v>
      </c>
      <c r="V388" s="19"/>
      <c r="W388" s="20" t="s">
        <v>1460</v>
      </c>
      <c r="X388" s="10" t="str">
        <f t="shared" si="6"/>
        <v/>
      </c>
      <c r="Y388" s="19"/>
      <c r="Z388" s="20"/>
      <c r="AA388" s="12" t="s">
        <v>1708</v>
      </c>
      <c r="AB388" s="23"/>
    </row>
    <row r="389" spans="1:28" ht="25.5">
      <c r="A389" s="15">
        <v>388</v>
      </c>
      <c r="B389" s="9" t="s">
        <v>1389</v>
      </c>
      <c r="C389" s="15"/>
      <c r="D389" s="10" t="s">
        <v>1709</v>
      </c>
      <c r="E389" s="21" t="s">
        <v>1710</v>
      </c>
      <c r="F389" s="22" t="s">
        <v>1711</v>
      </c>
      <c r="G389" s="12" t="s">
        <v>64</v>
      </c>
      <c r="H389" s="13">
        <v>-0.88</v>
      </c>
      <c r="I389" s="14" t="s">
        <v>1672</v>
      </c>
      <c r="J389" s="22" t="s">
        <v>1673</v>
      </c>
      <c r="K389" s="9">
        <v>2</v>
      </c>
      <c r="L389" s="15" t="s">
        <v>1479</v>
      </c>
      <c r="M389" s="16" t="s">
        <v>54</v>
      </c>
      <c r="N389" s="14"/>
      <c r="O389" s="15" t="s">
        <v>55</v>
      </c>
      <c r="P389" s="10" t="s">
        <v>1712</v>
      </c>
      <c r="Q389" s="15"/>
      <c r="R389" s="17" t="s">
        <v>54</v>
      </c>
      <c r="S389" s="18"/>
      <c r="T389" s="22" t="str">
        <f>IF(R389="維持",J389,IF(R389="排除","無關新聞事件",IFERROR(INDEX(事件規則!$B$2:$B$53,MATCH(S389,事件規則!$A$2:$A$53,0)),"")))</f>
        <v>分析師降評</v>
      </c>
      <c r="U389" s="9">
        <f>IF(R389="維持",K389,IF(R389="排除",0,IFERROR(INDEX(事件規則!$C$2:$C$53,MATCH(S389,事件規則!$A$2:$A$53,0)),"")))</f>
        <v>2</v>
      </c>
      <c r="V389" s="19"/>
      <c r="W389" s="20" t="s">
        <v>1713</v>
      </c>
      <c r="X389" s="10" t="str">
        <f t="shared" si="6"/>
        <v/>
      </c>
      <c r="Y389" s="19"/>
      <c r="Z389" s="20"/>
      <c r="AA389" s="12" t="s">
        <v>1714</v>
      </c>
      <c r="AB389" s="23"/>
    </row>
    <row r="390" spans="1:28" ht="25.5">
      <c r="A390" s="15">
        <v>389</v>
      </c>
      <c r="B390" s="9" t="s">
        <v>459</v>
      </c>
      <c r="C390" s="15"/>
      <c r="D390" s="10" t="s">
        <v>1703</v>
      </c>
      <c r="E390" s="21" t="s">
        <v>1715</v>
      </c>
      <c r="F390" s="22" t="s">
        <v>1716</v>
      </c>
      <c r="G390" s="12" t="s">
        <v>1717</v>
      </c>
      <c r="H390" s="13">
        <v>-0.94199999999999995</v>
      </c>
      <c r="I390" s="14" t="s">
        <v>1672</v>
      </c>
      <c r="J390" s="22" t="s">
        <v>1673</v>
      </c>
      <c r="K390" s="9">
        <v>2</v>
      </c>
      <c r="L390" s="15" t="s">
        <v>1479</v>
      </c>
      <c r="M390" s="16" t="s">
        <v>74</v>
      </c>
      <c r="N390" s="14"/>
      <c r="O390" s="15" t="s">
        <v>65</v>
      </c>
      <c r="P390" s="22" t="s">
        <v>1150</v>
      </c>
      <c r="Q390" s="15"/>
      <c r="R390" s="17" t="s">
        <v>74</v>
      </c>
      <c r="S390" s="18"/>
      <c r="T390" s="22" t="str">
        <f>IF(R390="維持",J390,IF(R390="排除","無關新聞事件",IFERROR(INDEX(事件規則!$B$2:$B$53,MATCH(S390,事件規則!$A$2:$A$53,0)),"")))</f>
        <v>無關新聞事件</v>
      </c>
      <c r="U390" s="9">
        <f>IF(R390="維持",K390,IF(R390="排除",0,IFERROR(INDEX(事件規則!$C$2:$C$53,MATCH(S390,事件規則!$A$2:$A$53,0)),"")))</f>
        <v>0</v>
      </c>
      <c r="V390" s="19"/>
      <c r="W390" s="20"/>
      <c r="X390" s="10" t="str">
        <f t="shared" si="6"/>
        <v/>
      </c>
      <c r="Y390" s="19"/>
      <c r="Z390" s="20"/>
      <c r="AA390" s="12" t="s">
        <v>1718</v>
      </c>
      <c r="AB390" s="23"/>
    </row>
    <row r="391" spans="1:28" ht="25.5">
      <c r="A391" s="15">
        <v>390</v>
      </c>
      <c r="B391" s="9" t="s">
        <v>68</v>
      </c>
      <c r="C391" s="9" t="s">
        <v>139</v>
      </c>
      <c r="D391" s="10" t="s">
        <v>140</v>
      </c>
      <c r="E391" s="21" t="s">
        <v>1719</v>
      </c>
      <c r="F391" s="22" t="s">
        <v>1720</v>
      </c>
      <c r="G391" s="12" t="s">
        <v>1721</v>
      </c>
      <c r="H391" s="13">
        <v>-0.96099999999999997</v>
      </c>
      <c r="I391" s="14" t="s">
        <v>1587</v>
      </c>
      <c r="J391" s="22" t="s">
        <v>1722</v>
      </c>
      <c r="K391" s="9">
        <v>2</v>
      </c>
      <c r="L391" s="15" t="s">
        <v>1479</v>
      </c>
      <c r="M391" s="16" t="s">
        <v>54</v>
      </c>
      <c r="N391" s="14"/>
      <c r="O391" s="15" t="s">
        <v>55</v>
      </c>
      <c r="P391" s="22" t="s">
        <v>1723</v>
      </c>
      <c r="Q391" s="15"/>
      <c r="R391" s="17" t="s">
        <v>54</v>
      </c>
      <c r="S391" s="18"/>
      <c r="T391" s="22" t="str">
        <f>IF(R391="維持",J391,IF(R391="排除","無關新聞事件",IFERROR(INDEX(事件規則!$B$2:$B$53,MATCH(S391,事件規則!$A$2:$A$53,0)),"")))</f>
        <v>生產延遲</v>
      </c>
      <c r="U391" s="9">
        <f>IF(R391="維持",K391,IF(R391="排除",0,IFERROR(INDEX(事件規則!$C$2:$C$53,MATCH(S391,事件規則!$A$2:$A$53,0)),"")))</f>
        <v>2</v>
      </c>
      <c r="V391" s="19"/>
      <c r="W391" s="20"/>
      <c r="X391" s="10" t="str">
        <f t="shared" si="6"/>
        <v/>
      </c>
      <c r="Y391" s="19"/>
      <c r="Z391" s="20"/>
      <c r="AA391" s="12" t="s">
        <v>1724</v>
      </c>
      <c r="AB391" s="23"/>
    </row>
    <row r="392" spans="1:28" ht="25.5">
      <c r="A392" s="15">
        <v>391</v>
      </c>
      <c r="B392" s="9" t="s">
        <v>87</v>
      </c>
      <c r="C392" s="15"/>
      <c r="D392" s="10" t="s">
        <v>1725</v>
      </c>
      <c r="E392" s="11" t="s">
        <v>1726</v>
      </c>
      <c r="F392" s="22" t="s">
        <v>1727</v>
      </c>
      <c r="G392" s="12" t="s">
        <v>64</v>
      </c>
      <c r="H392" s="13"/>
      <c r="I392" s="14" t="s">
        <v>1728</v>
      </c>
      <c r="J392" s="22" t="s">
        <v>1729</v>
      </c>
      <c r="K392" s="9">
        <v>2</v>
      </c>
      <c r="L392" s="15" t="s">
        <v>1479</v>
      </c>
      <c r="M392" s="16" t="s">
        <v>74</v>
      </c>
      <c r="N392" s="14"/>
      <c r="O392" s="15" t="s">
        <v>65</v>
      </c>
      <c r="P392" s="22" t="s">
        <v>1150</v>
      </c>
      <c r="Q392" s="15"/>
      <c r="R392" s="17" t="s">
        <v>74</v>
      </c>
      <c r="S392" s="18"/>
      <c r="T392" s="22" t="str">
        <f>IF(R392="維持",J392,IF(R392="排除","無關新聞事件",IFERROR(INDEX(事件規則!$B$2:$B$53,MATCH(S392,事件規則!$A$2:$A$53,0)),"")))</f>
        <v>無關新聞事件</v>
      </c>
      <c r="U392" s="9">
        <f>IF(R392="維持",K392,IF(R392="排除",0,IFERROR(INDEX(事件規則!$C$2:$C$53,MATCH(S392,事件規則!$A$2:$A$53,0)),"")))</f>
        <v>0</v>
      </c>
      <c r="V392" s="19"/>
      <c r="W392" s="20"/>
      <c r="X392" s="10" t="str">
        <f t="shared" si="6"/>
        <v/>
      </c>
      <c r="Y392" s="19"/>
      <c r="Z392" s="20"/>
      <c r="AA392" s="12" t="s">
        <v>1730</v>
      </c>
      <c r="AB392" s="23"/>
    </row>
    <row r="393" spans="1:28" ht="25.5">
      <c r="A393" s="15">
        <v>392</v>
      </c>
      <c r="B393" s="9" t="s">
        <v>87</v>
      </c>
      <c r="C393" s="15"/>
      <c r="D393" s="10" t="s">
        <v>1731</v>
      </c>
      <c r="E393" s="11" t="s">
        <v>1726</v>
      </c>
      <c r="F393" s="22" t="s">
        <v>1727</v>
      </c>
      <c r="G393" s="12" t="s">
        <v>64</v>
      </c>
      <c r="H393" s="13"/>
      <c r="I393" s="14" t="s">
        <v>1728</v>
      </c>
      <c r="J393" s="22" t="s">
        <v>1729</v>
      </c>
      <c r="K393" s="9">
        <v>2</v>
      </c>
      <c r="L393" s="15" t="s">
        <v>1479</v>
      </c>
      <c r="M393" s="16" t="s">
        <v>74</v>
      </c>
      <c r="N393" s="14"/>
      <c r="O393" s="15" t="s">
        <v>65</v>
      </c>
      <c r="P393" s="22" t="s">
        <v>1150</v>
      </c>
      <c r="Q393" s="15"/>
      <c r="R393" s="17" t="s">
        <v>74</v>
      </c>
      <c r="S393" s="18"/>
      <c r="T393" s="22" t="str">
        <f>IF(R393="維持",J393,IF(R393="排除","無關新聞事件",IFERROR(INDEX(事件規則!$B$2:$B$53,MATCH(S393,事件規則!$A$2:$A$53,0)),"")))</f>
        <v>無關新聞事件</v>
      </c>
      <c r="U393" s="9">
        <f>IF(R393="維持",K393,IF(R393="排除",0,IFERROR(INDEX(事件規則!$C$2:$C$53,MATCH(S393,事件規則!$A$2:$A$53,0)),"")))</f>
        <v>0</v>
      </c>
      <c r="V393" s="19"/>
      <c r="W393" s="20"/>
      <c r="X393" s="10" t="str">
        <f t="shared" si="6"/>
        <v/>
      </c>
      <c r="Y393" s="19"/>
      <c r="Z393" s="20"/>
      <c r="AA393" s="12" t="s">
        <v>1732</v>
      </c>
      <c r="AB393" s="23"/>
    </row>
    <row r="394" spans="1:28" ht="25.5">
      <c r="A394" s="15">
        <v>393</v>
      </c>
      <c r="B394" s="9" t="s">
        <v>87</v>
      </c>
      <c r="C394" s="15"/>
      <c r="D394" s="10" t="s">
        <v>1733</v>
      </c>
      <c r="E394" s="21" t="s">
        <v>1734</v>
      </c>
      <c r="F394" s="22" t="s">
        <v>1735</v>
      </c>
      <c r="G394" s="12" t="s">
        <v>1736</v>
      </c>
      <c r="H394" s="13">
        <v>-0.128</v>
      </c>
      <c r="I394" s="14" t="s">
        <v>1728</v>
      </c>
      <c r="J394" s="22" t="s">
        <v>1729</v>
      </c>
      <c r="K394" s="9">
        <v>2</v>
      </c>
      <c r="L394" s="15" t="s">
        <v>1479</v>
      </c>
      <c r="M394" s="16" t="s">
        <v>74</v>
      </c>
      <c r="N394" s="14"/>
      <c r="O394" s="15" t="s">
        <v>65</v>
      </c>
      <c r="P394" s="22" t="s">
        <v>1150</v>
      </c>
      <c r="Q394" s="15"/>
      <c r="R394" s="17" t="s">
        <v>74</v>
      </c>
      <c r="S394" s="18"/>
      <c r="T394" s="22" t="str">
        <f>IF(R394="維持",J394,IF(R394="排除","無關新聞事件",IFERROR(INDEX(事件規則!$B$2:$B$53,MATCH(S394,事件規則!$A$2:$A$53,0)),"")))</f>
        <v>無關新聞事件</v>
      </c>
      <c r="U394" s="9">
        <f>IF(R394="維持",K394,IF(R394="排除",0,IFERROR(INDEX(事件規則!$C$2:$C$53,MATCH(S394,事件規則!$A$2:$A$53,0)),"")))</f>
        <v>0</v>
      </c>
      <c r="V394" s="19"/>
      <c r="W394" s="20"/>
      <c r="X394" s="10" t="str">
        <f t="shared" si="6"/>
        <v/>
      </c>
      <c r="Y394" s="19"/>
      <c r="Z394" s="20"/>
      <c r="AA394" s="12" t="s">
        <v>1737</v>
      </c>
      <c r="AB394" s="23"/>
    </row>
    <row r="395" spans="1:28" ht="25.5">
      <c r="A395" s="15">
        <v>394</v>
      </c>
      <c r="B395" s="9" t="s">
        <v>159</v>
      </c>
      <c r="C395" s="15"/>
      <c r="D395" s="10" t="s">
        <v>1738</v>
      </c>
      <c r="E395" s="21" t="s">
        <v>1739</v>
      </c>
      <c r="F395" s="22" t="s">
        <v>1740</v>
      </c>
      <c r="G395" s="12" t="s">
        <v>1741</v>
      </c>
      <c r="H395" s="13">
        <v>-0.223</v>
      </c>
      <c r="I395" s="14" t="s">
        <v>1728</v>
      </c>
      <c r="J395" s="22" t="s">
        <v>1729</v>
      </c>
      <c r="K395" s="9">
        <v>2</v>
      </c>
      <c r="L395" s="15" t="s">
        <v>1479</v>
      </c>
      <c r="M395" s="16" t="s">
        <v>74</v>
      </c>
      <c r="N395" s="14"/>
      <c r="O395" s="15" t="s">
        <v>65</v>
      </c>
      <c r="P395" s="22" t="s">
        <v>1150</v>
      </c>
      <c r="Q395" s="15"/>
      <c r="R395" s="17" t="s">
        <v>74</v>
      </c>
      <c r="S395" s="18"/>
      <c r="T395" s="22" t="str">
        <f>IF(R395="維持",J395,IF(R395="排除","無關新聞事件",IFERROR(INDEX(事件規則!$B$2:$B$53,MATCH(S395,事件規則!$A$2:$A$53,0)),"")))</f>
        <v>無關新聞事件</v>
      </c>
      <c r="U395" s="9">
        <f>IF(R395="維持",K395,IF(R395="排除",0,IFERROR(INDEX(事件規則!$C$2:$C$53,MATCH(S395,事件規則!$A$2:$A$53,0)),"")))</f>
        <v>0</v>
      </c>
      <c r="V395" s="19"/>
      <c r="W395" s="20"/>
      <c r="X395" s="10" t="str">
        <f t="shared" si="6"/>
        <v/>
      </c>
      <c r="Y395" s="19"/>
      <c r="Z395" s="20"/>
      <c r="AA395" s="12" t="s">
        <v>1742</v>
      </c>
      <c r="AB395" s="23"/>
    </row>
    <row r="396" spans="1:28" ht="25.5">
      <c r="A396" s="15">
        <v>395</v>
      </c>
      <c r="B396" s="9" t="s">
        <v>159</v>
      </c>
      <c r="C396" s="15"/>
      <c r="D396" s="10" t="s">
        <v>1733</v>
      </c>
      <c r="E396" s="21" t="s">
        <v>1743</v>
      </c>
      <c r="F396" s="22" t="s">
        <v>1744</v>
      </c>
      <c r="G396" s="12" t="s">
        <v>252</v>
      </c>
      <c r="H396" s="13">
        <v>0.45700000000000002</v>
      </c>
      <c r="I396" s="14" t="s">
        <v>1728</v>
      </c>
      <c r="J396" s="22" t="s">
        <v>1729</v>
      </c>
      <c r="K396" s="9">
        <v>2</v>
      </c>
      <c r="L396" s="15" t="s">
        <v>1479</v>
      </c>
      <c r="M396" s="16" t="s">
        <v>74</v>
      </c>
      <c r="N396" s="14"/>
      <c r="O396" s="15" t="s">
        <v>65</v>
      </c>
      <c r="P396" s="22" t="s">
        <v>1150</v>
      </c>
      <c r="Q396" s="15"/>
      <c r="R396" s="17" t="s">
        <v>74</v>
      </c>
      <c r="S396" s="18"/>
      <c r="T396" s="22" t="str">
        <f>IF(R396="維持",J396,IF(R396="排除","無關新聞事件",IFERROR(INDEX(事件規則!$B$2:$B$53,MATCH(S396,事件規則!$A$2:$A$53,0)),"")))</f>
        <v>無關新聞事件</v>
      </c>
      <c r="U396" s="9">
        <f>IF(R396="維持",K396,IF(R396="排除",0,IFERROR(INDEX(事件規則!$C$2:$C$53,MATCH(S396,事件規則!$A$2:$A$53,0)),"")))</f>
        <v>0</v>
      </c>
      <c r="V396" s="19"/>
      <c r="W396" s="20"/>
      <c r="X396" s="10" t="str">
        <f t="shared" si="6"/>
        <v/>
      </c>
      <c r="Y396" s="19"/>
      <c r="Z396" s="20"/>
      <c r="AA396" s="12" t="s">
        <v>1745</v>
      </c>
      <c r="AB396" s="23"/>
    </row>
    <row r="397" spans="1:28" ht="25.5">
      <c r="A397" s="15">
        <v>396</v>
      </c>
      <c r="B397" s="9" t="s">
        <v>159</v>
      </c>
      <c r="C397" s="15"/>
      <c r="D397" s="10" t="s">
        <v>1738</v>
      </c>
      <c r="E397" s="21" t="s">
        <v>1746</v>
      </c>
      <c r="F397" s="22" t="s">
        <v>1747</v>
      </c>
      <c r="G397" s="12" t="s">
        <v>252</v>
      </c>
      <c r="H397" s="13">
        <v>-0.68600000000000005</v>
      </c>
      <c r="I397" s="14" t="s">
        <v>1728</v>
      </c>
      <c r="J397" s="22" t="s">
        <v>1729</v>
      </c>
      <c r="K397" s="9">
        <v>2</v>
      </c>
      <c r="L397" s="15" t="s">
        <v>1479</v>
      </c>
      <c r="M397" s="16" t="s">
        <v>74</v>
      </c>
      <c r="N397" s="14"/>
      <c r="O397" s="15" t="s">
        <v>65</v>
      </c>
      <c r="P397" s="22" t="s">
        <v>1150</v>
      </c>
      <c r="Q397" s="15"/>
      <c r="R397" s="17" t="s">
        <v>74</v>
      </c>
      <c r="S397" s="18"/>
      <c r="T397" s="22" t="str">
        <f>IF(R397="維持",J397,IF(R397="排除","無關新聞事件",IFERROR(INDEX(事件規則!$B$2:$B$53,MATCH(S397,事件規則!$A$2:$A$53,0)),"")))</f>
        <v>無關新聞事件</v>
      </c>
      <c r="U397" s="9">
        <f>IF(R397="維持",K397,IF(R397="排除",0,IFERROR(INDEX(事件規則!$C$2:$C$53,MATCH(S397,事件規則!$A$2:$A$53,0)),"")))</f>
        <v>0</v>
      </c>
      <c r="V397" s="19"/>
      <c r="W397" s="20"/>
      <c r="X397" s="10" t="str">
        <f t="shared" si="6"/>
        <v/>
      </c>
      <c r="Y397" s="19"/>
      <c r="Z397" s="20"/>
      <c r="AA397" s="12" t="s">
        <v>1748</v>
      </c>
      <c r="AB397" s="23"/>
    </row>
    <row r="398" spans="1:28" ht="38.25">
      <c r="A398" s="15">
        <v>397</v>
      </c>
      <c r="B398" s="9" t="s">
        <v>167</v>
      </c>
      <c r="C398" s="15"/>
      <c r="D398" s="10" t="s">
        <v>1749</v>
      </c>
      <c r="E398" s="21" t="s">
        <v>1750</v>
      </c>
      <c r="F398" s="22" t="s">
        <v>1751</v>
      </c>
      <c r="G398" s="12" t="s">
        <v>299</v>
      </c>
      <c r="H398" s="13">
        <v>0.84299999999999997</v>
      </c>
      <c r="I398" s="14" t="s">
        <v>1728</v>
      </c>
      <c r="J398" s="22" t="s">
        <v>1729</v>
      </c>
      <c r="K398" s="9">
        <v>2</v>
      </c>
      <c r="L398" s="15" t="s">
        <v>1479</v>
      </c>
      <c r="M398" s="16" t="s">
        <v>74</v>
      </c>
      <c r="N398" s="14"/>
      <c r="O398" s="15" t="s">
        <v>65</v>
      </c>
      <c r="P398" s="22" t="s">
        <v>1150</v>
      </c>
      <c r="Q398" s="15"/>
      <c r="R398" s="17" t="s">
        <v>74</v>
      </c>
      <c r="S398" s="18"/>
      <c r="T398" s="22" t="str">
        <f>IF(R398="維持",J398,IF(R398="排除","無關新聞事件",IFERROR(INDEX(事件規則!$B$2:$B$53,MATCH(S398,事件規則!$A$2:$A$53,0)),"")))</f>
        <v>無關新聞事件</v>
      </c>
      <c r="U398" s="9">
        <f>IF(R398="維持",K398,IF(R398="排除",0,IFERROR(INDEX(事件規則!$C$2:$C$53,MATCH(S398,事件規則!$A$2:$A$53,0)),"")))</f>
        <v>0</v>
      </c>
      <c r="V398" s="19"/>
      <c r="W398" s="20"/>
      <c r="X398" s="10" t="str">
        <f t="shared" si="6"/>
        <v/>
      </c>
      <c r="Y398" s="19"/>
      <c r="Z398" s="20"/>
      <c r="AA398" s="12" t="s">
        <v>1752</v>
      </c>
      <c r="AB398" s="23"/>
    </row>
    <row r="399" spans="1:28" ht="25.5">
      <c r="A399" s="15">
        <v>398</v>
      </c>
      <c r="B399" s="9" t="s">
        <v>187</v>
      </c>
      <c r="C399" s="15"/>
      <c r="D399" s="10" t="s">
        <v>1753</v>
      </c>
      <c r="E399" s="21" t="s">
        <v>1754</v>
      </c>
      <c r="F399" s="22" t="s">
        <v>1755</v>
      </c>
      <c r="G399" s="12" t="s">
        <v>1756</v>
      </c>
      <c r="H399" s="13">
        <v>-6.8000000000000005E-2</v>
      </c>
      <c r="I399" s="14" t="s">
        <v>1728</v>
      </c>
      <c r="J399" s="22" t="s">
        <v>1729</v>
      </c>
      <c r="K399" s="9">
        <v>2</v>
      </c>
      <c r="L399" s="15" t="s">
        <v>1479</v>
      </c>
      <c r="M399" s="16" t="s">
        <v>74</v>
      </c>
      <c r="N399" s="14"/>
      <c r="O399" s="15" t="s">
        <v>65</v>
      </c>
      <c r="P399" s="22" t="s">
        <v>1150</v>
      </c>
      <c r="Q399" s="15"/>
      <c r="R399" s="17" t="s">
        <v>74</v>
      </c>
      <c r="S399" s="18"/>
      <c r="T399" s="22" t="str">
        <f>IF(R399="維持",J399,IF(R399="排除","無關新聞事件",IFERROR(INDEX(事件規則!$B$2:$B$53,MATCH(S399,事件規則!$A$2:$A$53,0)),"")))</f>
        <v>無關新聞事件</v>
      </c>
      <c r="U399" s="9">
        <f>IF(R399="維持",K399,IF(R399="排除",0,IFERROR(INDEX(事件規則!$C$2:$C$53,MATCH(S399,事件規則!$A$2:$A$53,0)),"")))</f>
        <v>0</v>
      </c>
      <c r="V399" s="19"/>
      <c r="W399" s="20"/>
      <c r="X399" s="10" t="str">
        <f t="shared" si="6"/>
        <v/>
      </c>
      <c r="Y399" s="19"/>
      <c r="Z399" s="20"/>
      <c r="AA399" s="12" t="s">
        <v>1757</v>
      </c>
      <c r="AB399" s="23"/>
    </row>
    <row r="400" spans="1:28" ht="25.5">
      <c r="A400" s="15">
        <v>399</v>
      </c>
      <c r="B400" s="9" t="s">
        <v>187</v>
      </c>
      <c r="C400" s="15"/>
      <c r="D400" s="10" t="s">
        <v>1733</v>
      </c>
      <c r="E400" s="21" t="s">
        <v>1754</v>
      </c>
      <c r="F400" s="22" t="s">
        <v>1755</v>
      </c>
      <c r="G400" s="12" t="s">
        <v>1756</v>
      </c>
      <c r="H400" s="13">
        <v>-6.8000000000000005E-2</v>
      </c>
      <c r="I400" s="14" t="s">
        <v>1728</v>
      </c>
      <c r="J400" s="22" t="s">
        <v>1729</v>
      </c>
      <c r="K400" s="9">
        <v>2</v>
      </c>
      <c r="L400" s="15" t="s">
        <v>1479</v>
      </c>
      <c r="M400" s="16" t="s">
        <v>74</v>
      </c>
      <c r="N400" s="14"/>
      <c r="O400" s="15" t="s">
        <v>65</v>
      </c>
      <c r="P400" s="22" t="s">
        <v>1150</v>
      </c>
      <c r="Q400" s="15"/>
      <c r="R400" s="17" t="s">
        <v>74</v>
      </c>
      <c r="S400" s="18"/>
      <c r="T400" s="22" t="str">
        <f>IF(R400="維持",J400,IF(R400="排除","無關新聞事件",IFERROR(INDEX(事件規則!$B$2:$B$53,MATCH(S400,事件規則!$A$2:$A$53,0)),"")))</f>
        <v>無關新聞事件</v>
      </c>
      <c r="U400" s="9">
        <f>IF(R400="維持",K400,IF(R400="排除",0,IFERROR(INDEX(事件規則!$C$2:$C$53,MATCH(S400,事件規則!$A$2:$A$53,0)),"")))</f>
        <v>0</v>
      </c>
      <c r="V400" s="19"/>
      <c r="W400" s="20"/>
      <c r="X400" s="10" t="str">
        <f t="shared" si="6"/>
        <v/>
      </c>
      <c r="Y400" s="19"/>
      <c r="Z400" s="20"/>
      <c r="AA400" s="12" t="s">
        <v>1758</v>
      </c>
      <c r="AB400" s="23"/>
    </row>
    <row r="401" spans="1:28" ht="38.25">
      <c r="A401" s="15">
        <v>400</v>
      </c>
      <c r="B401" s="9" t="s">
        <v>195</v>
      </c>
      <c r="C401" s="15"/>
      <c r="D401" s="10" t="s">
        <v>1738</v>
      </c>
      <c r="E401" s="21" t="s">
        <v>1759</v>
      </c>
      <c r="F401" s="22" t="s">
        <v>1760</v>
      </c>
      <c r="G401" s="12" t="s">
        <v>1761</v>
      </c>
      <c r="H401" s="13">
        <v>-0.80800000000000005</v>
      </c>
      <c r="I401" s="14" t="s">
        <v>1728</v>
      </c>
      <c r="J401" s="22" t="s">
        <v>1729</v>
      </c>
      <c r="K401" s="9">
        <v>2</v>
      </c>
      <c r="L401" s="15" t="s">
        <v>1479</v>
      </c>
      <c r="M401" s="16" t="s">
        <v>74</v>
      </c>
      <c r="N401" s="14"/>
      <c r="O401" s="15" t="s">
        <v>65</v>
      </c>
      <c r="P401" s="22" t="s">
        <v>1150</v>
      </c>
      <c r="Q401" s="15"/>
      <c r="R401" s="17" t="s">
        <v>74</v>
      </c>
      <c r="S401" s="18"/>
      <c r="T401" s="22" t="str">
        <f>IF(R401="維持",J401,IF(R401="排除","無關新聞事件",IFERROR(INDEX(事件規則!$B$2:$B$53,MATCH(S401,事件規則!$A$2:$A$53,0)),"")))</f>
        <v>無關新聞事件</v>
      </c>
      <c r="U401" s="9">
        <f>IF(R401="維持",K401,IF(R401="排除",0,IFERROR(INDEX(事件規則!$C$2:$C$53,MATCH(S401,事件規則!$A$2:$A$53,0)),"")))</f>
        <v>0</v>
      </c>
      <c r="V401" s="19"/>
      <c r="W401" s="20"/>
      <c r="X401" s="10" t="str">
        <f t="shared" si="6"/>
        <v/>
      </c>
      <c r="Y401" s="19"/>
      <c r="Z401" s="20"/>
      <c r="AA401" s="12" t="s">
        <v>1762</v>
      </c>
      <c r="AB401" s="23"/>
    </row>
    <row r="402" spans="1:28" ht="25.5">
      <c r="A402" s="15">
        <v>401</v>
      </c>
      <c r="B402" s="9" t="s">
        <v>395</v>
      </c>
      <c r="C402" s="15"/>
      <c r="D402" s="10" t="s">
        <v>1683</v>
      </c>
      <c r="E402" s="21" t="s">
        <v>1763</v>
      </c>
      <c r="F402" s="22"/>
      <c r="G402" s="12" t="s">
        <v>1764</v>
      </c>
      <c r="H402" s="13">
        <v>2.4E-2</v>
      </c>
      <c r="I402" s="14" t="s">
        <v>1728</v>
      </c>
      <c r="J402" s="22" t="s">
        <v>1729</v>
      </c>
      <c r="K402" s="9">
        <v>2</v>
      </c>
      <c r="L402" s="15" t="s">
        <v>1479</v>
      </c>
      <c r="M402" s="16" t="s">
        <v>74</v>
      </c>
      <c r="N402" s="14"/>
      <c r="O402" s="15" t="s">
        <v>65</v>
      </c>
      <c r="P402" s="22" t="s">
        <v>1765</v>
      </c>
      <c r="Q402" s="15"/>
      <c r="R402" s="17" t="s">
        <v>74</v>
      </c>
      <c r="S402" s="18"/>
      <c r="T402" s="22" t="str">
        <f>IF(R402="維持",J402,IF(R402="排除","無關新聞事件",IFERROR(INDEX(事件規則!$B$2:$B$53,MATCH(S402,事件規則!$A$2:$A$53,0)),"")))</f>
        <v>無關新聞事件</v>
      </c>
      <c r="U402" s="9">
        <f>IF(R402="維持",K402,IF(R402="排除",0,IFERROR(INDEX(事件規則!$C$2:$C$53,MATCH(S402,事件規則!$A$2:$A$53,0)),"")))</f>
        <v>0</v>
      </c>
      <c r="V402" s="19"/>
      <c r="W402" s="20"/>
      <c r="X402" s="10" t="str">
        <f t="shared" si="6"/>
        <v/>
      </c>
      <c r="Y402" s="19"/>
      <c r="Z402" s="20"/>
      <c r="AA402" s="12" t="s">
        <v>1766</v>
      </c>
      <c r="AB402" s="23"/>
    </row>
    <row r="403" spans="1:28" ht="25.5">
      <c r="A403" s="15">
        <v>402</v>
      </c>
      <c r="B403" s="9" t="s">
        <v>770</v>
      </c>
      <c r="C403" s="15"/>
      <c r="D403" s="10" t="s">
        <v>1694</v>
      </c>
      <c r="E403" s="11" t="s">
        <v>1767</v>
      </c>
      <c r="F403" s="22"/>
      <c r="G403" s="12" t="s">
        <v>64</v>
      </c>
      <c r="H403" s="13"/>
      <c r="I403" s="14" t="s">
        <v>1728</v>
      </c>
      <c r="J403" s="22" t="s">
        <v>1729</v>
      </c>
      <c r="K403" s="9">
        <v>2</v>
      </c>
      <c r="L403" s="15" t="s">
        <v>1479</v>
      </c>
      <c r="M403" s="16" t="s">
        <v>74</v>
      </c>
      <c r="N403" s="14"/>
      <c r="O403" s="15" t="s">
        <v>65</v>
      </c>
      <c r="P403" s="22" t="s">
        <v>1765</v>
      </c>
      <c r="Q403" s="15"/>
      <c r="R403" s="17" t="s">
        <v>74</v>
      </c>
      <c r="S403" s="18"/>
      <c r="T403" s="22" t="str">
        <f>IF(R403="維持",J403,IF(R403="排除","無關新聞事件",IFERROR(INDEX(事件規則!$B$2:$B$53,MATCH(S403,事件規則!$A$2:$A$53,0)),"")))</f>
        <v>無關新聞事件</v>
      </c>
      <c r="U403" s="9">
        <f>IF(R403="維持",K403,IF(R403="排除",0,IFERROR(INDEX(事件規則!$C$2:$C$53,MATCH(S403,事件規則!$A$2:$A$53,0)),"")))</f>
        <v>0</v>
      </c>
      <c r="V403" s="19"/>
      <c r="W403" s="20"/>
      <c r="X403" s="10" t="str">
        <f t="shared" si="6"/>
        <v/>
      </c>
      <c r="Y403" s="19"/>
      <c r="Z403" s="20"/>
      <c r="AA403" s="12" t="s">
        <v>1768</v>
      </c>
      <c r="AB403" s="23"/>
    </row>
    <row r="404" spans="1:28" ht="25.5">
      <c r="A404" s="15">
        <v>403</v>
      </c>
      <c r="B404" s="9" t="s">
        <v>1207</v>
      </c>
      <c r="C404" s="15"/>
      <c r="D404" s="10" t="s">
        <v>1683</v>
      </c>
      <c r="E404" s="21" t="s">
        <v>1769</v>
      </c>
      <c r="F404" s="22"/>
      <c r="G404" s="12" t="s">
        <v>1770</v>
      </c>
      <c r="H404" s="13">
        <v>-5.6000000000000001E-2</v>
      </c>
      <c r="I404" s="14" t="s">
        <v>1728</v>
      </c>
      <c r="J404" s="22" t="s">
        <v>1729</v>
      </c>
      <c r="K404" s="9">
        <v>2</v>
      </c>
      <c r="L404" s="15" t="s">
        <v>1479</v>
      </c>
      <c r="M404" s="16" t="s">
        <v>74</v>
      </c>
      <c r="N404" s="14"/>
      <c r="O404" s="15" t="s">
        <v>65</v>
      </c>
      <c r="P404" s="22" t="s">
        <v>1765</v>
      </c>
      <c r="Q404" s="15"/>
      <c r="R404" s="17" t="s">
        <v>74</v>
      </c>
      <c r="S404" s="18"/>
      <c r="T404" s="22" t="str">
        <f>IF(R404="維持",J404,IF(R404="排除","無關新聞事件",IFERROR(INDEX(事件規則!$B$2:$B$53,MATCH(S404,事件規則!$A$2:$A$53,0)),"")))</f>
        <v>無關新聞事件</v>
      </c>
      <c r="U404" s="9">
        <f>IF(R404="維持",K404,IF(R404="排除",0,IFERROR(INDEX(事件規則!$C$2:$C$53,MATCH(S404,事件規則!$A$2:$A$53,0)),"")))</f>
        <v>0</v>
      </c>
      <c r="V404" s="19"/>
      <c r="W404" s="20"/>
      <c r="X404" s="10" t="str">
        <f t="shared" si="6"/>
        <v/>
      </c>
      <c r="Y404" s="19"/>
      <c r="Z404" s="20"/>
      <c r="AA404" s="12" t="s">
        <v>1771</v>
      </c>
      <c r="AB404" s="23"/>
    </row>
    <row r="405" spans="1:28" ht="25.5">
      <c r="A405" s="15">
        <v>404</v>
      </c>
      <c r="B405" s="9" t="s">
        <v>1772</v>
      </c>
      <c r="C405" s="15"/>
      <c r="D405" s="10" t="s">
        <v>1773</v>
      </c>
      <c r="E405" s="21" t="s">
        <v>1774</v>
      </c>
      <c r="F405" s="22"/>
      <c r="G405" s="12" t="s">
        <v>1775</v>
      </c>
      <c r="H405" s="13">
        <v>3.6999999999999998E-2</v>
      </c>
      <c r="I405" s="14" t="s">
        <v>1728</v>
      </c>
      <c r="J405" s="22" t="s">
        <v>1729</v>
      </c>
      <c r="K405" s="9">
        <v>2</v>
      </c>
      <c r="L405" s="15" t="s">
        <v>1479</v>
      </c>
      <c r="M405" s="16" t="s">
        <v>74</v>
      </c>
      <c r="N405" s="14"/>
      <c r="O405" s="15" t="s">
        <v>65</v>
      </c>
      <c r="P405" s="22" t="s">
        <v>1765</v>
      </c>
      <c r="Q405" s="15"/>
      <c r="R405" s="17" t="s">
        <v>74</v>
      </c>
      <c r="S405" s="18"/>
      <c r="T405" s="22" t="str">
        <f>IF(R405="維持",J405,IF(R405="排除","無關新聞事件",IFERROR(INDEX(事件規則!$B$2:$B$53,MATCH(S405,事件規則!$A$2:$A$53,0)),"")))</f>
        <v>無關新聞事件</v>
      </c>
      <c r="U405" s="9">
        <f>IF(R405="維持",K405,IF(R405="排除",0,IFERROR(INDEX(事件規則!$C$2:$C$53,MATCH(S405,事件規則!$A$2:$A$53,0)),"")))</f>
        <v>0</v>
      </c>
      <c r="V405" s="19"/>
      <c r="W405" s="20"/>
      <c r="X405" s="10" t="str">
        <f t="shared" si="6"/>
        <v/>
      </c>
      <c r="Y405" s="19"/>
      <c r="Z405" s="20"/>
      <c r="AA405" s="12" t="s">
        <v>1776</v>
      </c>
      <c r="AB405" s="23"/>
    </row>
    <row r="406" spans="1:28" ht="51">
      <c r="A406" s="15">
        <v>405</v>
      </c>
      <c r="B406" s="9" t="s">
        <v>225</v>
      </c>
      <c r="C406" s="15"/>
      <c r="D406" s="10" t="s">
        <v>1777</v>
      </c>
      <c r="E406" s="21" t="s">
        <v>1778</v>
      </c>
      <c r="F406" s="22" t="s">
        <v>1779</v>
      </c>
      <c r="G406" s="12" t="s">
        <v>64</v>
      </c>
      <c r="H406" s="13">
        <v>-0.93899999999999995</v>
      </c>
      <c r="I406" s="14" t="s">
        <v>1728</v>
      </c>
      <c r="J406" s="22" t="s">
        <v>1729</v>
      </c>
      <c r="K406" s="9">
        <v>2</v>
      </c>
      <c r="L406" s="15" t="s">
        <v>1479</v>
      </c>
      <c r="M406" s="16" t="s">
        <v>130</v>
      </c>
      <c r="N406" s="14" t="s">
        <v>1780</v>
      </c>
      <c r="O406" s="15" t="s">
        <v>211</v>
      </c>
      <c r="P406" s="22" t="s">
        <v>1781</v>
      </c>
      <c r="Q406" s="15"/>
      <c r="R406" s="17" t="s">
        <v>130</v>
      </c>
      <c r="S406" s="18" t="s">
        <v>1780</v>
      </c>
      <c r="T406" s="22" t="str">
        <f>IF(R406="維持",J406,IF(R406="排除","無關新聞事件",IFERROR(INDEX(事件規則!$B$2:$B$53,MATCH(S406,事件規則!$A$2:$A$53,0)),"")))</f>
        <v>股價下跌</v>
      </c>
      <c r="U406" s="9">
        <f>IF(R406="維持",K406,IF(R406="排除",0,IFERROR(INDEX(事件規則!$C$2:$C$53,MATCH(S406,事件規則!$A$2:$A$53,0)),"")))</f>
        <v>1</v>
      </c>
      <c r="V406" s="19"/>
      <c r="W406" s="20" t="s">
        <v>1782</v>
      </c>
      <c r="X406" s="10" t="str">
        <f t="shared" si="6"/>
        <v/>
      </c>
      <c r="Y406" s="19"/>
      <c r="Z406" s="20"/>
      <c r="AA406" s="12" t="s">
        <v>1783</v>
      </c>
      <c r="AB406" s="23"/>
    </row>
    <row r="407" spans="1:28" ht="51">
      <c r="A407" s="15">
        <v>406</v>
      </c>
      <c r="B407" s="9" t="s">
        <v>225</v>
      </c>
      <c r="C407" s="15"/>
      <c r="D407" s="10" t="s">
        <v>1784</v>
      </c>
      <c r="E407" s="21" t="s">
        <v>1778</v>
      </c>
      <c r="F407" s="22" t="s">
        <v>1779</v>
      </c>
      <c r="G407" s="12" t="s">
        <v>64</v>
      </c>
      <c r="H407" s="13">
        <v>-0.93899999999999995</v>
      </c>
      <c r="I407" s="14" t="s">
        <v>1728</v>
      </c>
      <c r="J407" s="22" t="s">
        <v>1729</v>
      </c>
      <c r="K407" s="9">
        <v>2</v>
      </c>
      <c r="L407" s="15" t="s">
        <v>1479</v>
      </c>
      <c r="M407" s="16" t="s">
        <v>130</v>
      </c>
      <c r="N407" s="14" t="s">
        <v>1780</v>
      </c>
      <c r="O407" s="15" t="s">
        <v>211</v>
      </c>
      <c r="P407" s="22" t="s">
        <v>1781</v>
      </c>
      <c r="Q407" s="15"/>
      <c r="R407" s="17" t="s">
        <v>130</v>
      </c>
      <c r="S407" s="18" t="s">
        <v>1780</v>
      </c>
      <c r="T407" s="22" t="str">
        <f>IF(R407="維持",J407,IF(R407="排除","無關新聞事件",IFERROR(INDEX(事件規則!$B$2:$B$53,MATCH(S407,事件規則!$A$2:$A$53,0)),"")))</f>
        <v>股價下跌</v>
      </c>
      <c r="U407" s="9">
        <f>IF(R407="維持",K407,IF(R407="排除",0,IFERROR(INDEX(事件規則!$C$2:$C$53,MATCH(S407,事件規則!$A$2:$A$53,0)),"")))</f>
        <v>1</v>
      </c>
      <c r="V407" s="19"/>
      <c r="W407" s="20" t="s">
        <v>1208</v>
      </c>
      <c r="X407" s="10" t="str">
        <f t="shared" si="6"/>
        <v/>
      </c>
      <c r="Y407" s="19"/>
      <c r="Z407" s="20"/>
      <c r="AA407" s="12" t="s">
        <v>1785</v>
      </c>
      <c r="AB407" s="23"/>
    </row>
    <row r="408" spans="1:28" ht="51">
      <c r="A408" s="15">
        <v>407</v>
      </c>
      <c r="B408" s="9" t="s">
        <v>225</v>
      </c>
      <c r="C408" s="15"/>
      <c r="D408" s="10" t="s">
        <v>1786</v>
      </c>
      <c r="E408" s="21" t="s">
        <v>1778</v>
      </c>
      <c r="F408" s="22" t="s">
        <v>1779</v>
      </c>
      <c r="G408" s="12" t="s">
        <v>64</v>
      </c>
      <c r="H408" s="13">
        <v>-0.93899999999999995</v>
      </c>
      <c r="I408" s="14" t="s">
        <v>1728</v>
      </c>
      <c r="J408" s="22" t="s">
        <v>1729</v>
      </c>
      <c r="K408" s="9">
        <v>2</v>
      </c>
      <c r="L408" s="15" t="s">
        <v>1479</v>
      </c>
      <c r="M408" s="16" t="s">
        <v>130</v>
      </c>
      <c r="N408" s="14" t="s">
        <v>1780</v>
      </c>
      <c r="O408" s="15" t="s">
        <v>211</v>
      </c>
      <c r="P408" s="22" t="s">
        <v>1781</v>
      </c>
      <c r="Q408" s="15"/>
      <c r="R408" s="17" t="s">
        <v>130</v>
      </c>
      <c r="S408" s="18" t="s">
        <v>1780</v>
      </c>
      <c r="T408" s="22" t="str">
        <f>IF(R408="維持",J408,IF(R408="排除","無關新聞事件",IFERROR(INDEX(事件規則!$B$2:$B$53,MATCH(S408,事件規則!$A$2:$A$53,0)),"")))</f>
        <v>股價下跌</v>
      </c>
      <c r="U408" s="9">
        <f>IF(R408="維持",K408,IF(R408="排除",0,IFERROR(INDEX(事件規則!$C$2:$C$53,MATCH(S408,事件規則!$A$2:$A$53,0)),"")))</f>
        <v>1</v>
      </c>
      <c r="V408" s="19"/>
      <c r="W408" s="20" t="s">
        <v>1787</v>
      </c>
      <c r="X408" s="10" t="str">
        <f t="shared" si="6"/>
        <v/>
      </c>
      <c r="Y408" s="19"/>
      <c r="Z408" s="20"/>
      <c r="AA408" s="12" t="s">
        <v>1788</v>
      </c>
      <c r="AB408" s="23"/>
    </row>
    <row r="409" spans="1:28" ht="38.25">
      <c r="A409" s="15">
        <v>408</v>
      </c>
      <c r="B409" s="9" t="s">
        <v>269</v>
      </c>
      <c r="C409" s="15"/>
      <c r="D409" s="10" t="s">
        <v>1637</v>
      </c>
      <c r="E409" s="21" t="s">
        <v>1789</v>
      </c>
      <c r="F409" s="22" t="s">
        <v>1790</v>
      </c>
      <c r="G409" s="12" t="s">
        <v>64</v>
      </c>
      <c r="H409" s="13">
        <v>-0.25700000000000001</v>
      </c>
      <c r="I409" s="14" t="s">
        <v>1728</v>
      </c>
      <c r="J409" s="22" t="s">
        <v>1729</v>
      </c>
      <c r="K409" s="9">
        <v>2</v>
      </c>
      <c r="L409" s="15" t="s">
        <v>1479</v>
      </c>
      <c r="M409" s="16" t="s">
        <v>54</v>
      </c>
      <c r="N409" s="14"/>
      <c r="O409" s="15" t="s">
        <v>211</v>
      </c>
      <c r="P409" s="22" t="s">
        <v>1791</v>
      </c>
      <c r="Q409" s="15"/>
      <c r="R409" s="17" t="s">
        <v>54</v>
      </c>
      <c r="S409" s="18"/>
      <c r="T409" s="22" t="str">
        <f>IF(R409="維持",J409,IF(R409="排除","無關新聞事件",IFERROR(INDEX(事件規則!$B$2:$B$53,MATCH(S409,事件規則!$A$2:$A$53,0)),"")))</f>
        <v>關稅</v>
      </c>
      <c r="U409" s="9">
        <f>IF(R409="維持",K409,IF(R409="排除",0,IFERROR(INDEX(事件規則!$C$2:$C$53,MATCH(S409,事件規則!$A$2:$A$53,0)),"")))</f>
        <v>2</v>
      </c>
      <c r="V409" s="19"/>
      <c r="W409" s="20" t="s">
        <v>1792</v>
      </c>
      <c r="X409" s="10" t="str">
        <f t="shared" si="6"/>
        <v/>
      </c>
      <c r="Y409" s="19"/>
      <c r="Z409" s="20"/>
      <c r="AA409" s="12" t="s">
        <v>1793</v>
      </c>
      <c r="AB409" s="23"/>
    </row>
    <row r="410" spans="1:28" ht="38.25">
      <c r="A410" s="15">
        <v>409</v>
      </c>
      <c r="B410" s="9" t="s">
        <v>77</v>
      </c>
      <c r="C410" s="15"/>
      <c r="D410" s="10" t="s">
        <v>1794</v>
      </c>
      <c r="E410" s="21" t="s">
        <v>1795</v>
      </c>
      <c r="F410" s="22" t="s">
        <v>1796</v>
      </c>
      <c r="G410" s="12" t="s">
        <v>192</v>
      </c>
      <c r="H410" s="13">
        <v>1.7999999999999999E-2</v>
      </c>
      <c r="I410" s="14" t="s">
        <v>1797</v>
      </c>
      <c r="J410" s="22" t="s">
        <v>1798</v>
      </c>
      <c r="K410" s="9">
        <v>1</v>
      </c>
      <c r="L410" s="15" t="s">
        <v>1479</v>
      </c>
      <c r="M410" s="16" t="s">
        <v>74</v>
      </c>
      <c r="N410" s="14"/>
      <c r="O410" s="15" t="s">
        <v>65</v>
      </c>
      <c r="P410" s="22" t="s">
        <v>1765</v>
      </c>
      <c r="Q410" s="15"/>
      <c r="R410" s="17" t="s">
        <v>74</v>
      </c>
      <c r="S410" s="18"/>
      <c r="T410" s="22" t="str">
        <f>IF(R410="維持",J410,IF(R410="排除","無關新聞事件",IFERROR(INDEX(事件規則!$B$2:$B$53,MATCH(S410,事件規則!$A$2:$A$53,0)),"")))</f>
        <v>無關新聞事件</v>
      </c>
      <c r="U410" s="9">
        <f>IF(R410="維持",K410,IF(R410="排除",0,IFERROR(INDEX(事件規則!$C$2:$C$53,MATCH(S410,事件規則!$A$2:$A$53,0)),"")))</f>
        <v>0</v>
      </c>
      <c r="V410" s="19"/>
      <c r="W410" s="20"/>
      <c r="X410" s="10" t="str">
        <f t="shared" si="6"/>
        <v/>
      </c>
      <c r="Y410" s="19"/>
      <c r="Z410" s="20"/>
      <c r="AA410" s="12" t="s">
        <v>1799</v>
      </c>
      <c r="AB410" s="23"/>
    </row>
    <row r="411" spans="1:28" ht="25.5">
      <c r="A411" s="15">
        <v>410</v>
      </c>
      <c r="B411" s="9" t="s">
        <v>87</v>
      </c>
      <c r="C411" s="15"/>
      <c r="D411" s="10" t="s">
        <v>569</v>
      </c>
      <c r="E411" s="21" t="s">
        <v>1800</v>
      </c>
      <c r="F411" s="22" t="s">
        <v>1801</v>
      </c>
      <c r="G411" s="12" t="s">
        <v>1802</v>
      </c>
      <c r="H411" s="13">
        <v>-0.61799999999999999</v>
      </c>
      <c r="I411" s="14" t="s">
        <v>1797</v>
      </c>
      <c r="J411" s="22" t="s">
        <v>1798</v>
      </c>
      <c r="K411" s="9">
        <v>1</v>
      </c>
      <c r="L411" s="15" t="s">
        <v>1479</v>
      </c>
      <c r="M411" s="16" t="s">
        <v>74</v>
      </c>
      <c r="N411" s="14"/>
      <c r="O411" s="15" t="s">
        <v>65</v>
      </c>
      <c r="P411" s="22" t="s">
        <v>1765</v>
      </c>
      <c r="Q411" s="15"/>
      <c r="R411" s="17" t="s">
        <v>74</v>
      </c>
      <c r="S411" s="18"/>
      <c r="T411" s="22" t="str">
        <f>IF(R411="維持",J411,IF(R411="排除","無關新聞事件",IFERROR(INDEX(事件規則!$B$2:$B$53,MATCH(S411,事件規則!$A$2:$A$53,0)),"")))</f>
        <v>無關新聞事件</v>
      </c>
      <c r="U411" s="9">
        <f>IF(R411="維持",K411,IF(R411="排除",0,IFERROR(INDEX(事件規則!$C$2:$C$53,MATCH(S411,事件規則!$A$2:$A$53,0)),"")))</f>
        <v>0</v>
      </c>
      <c r="V411" s="19"/>
      <c r="W411" s="20"/>
      <c r="X411" s="10" t="str">
        <f t="shared" si="6"/>
        <v/>
      </c>
      <c r="Y411" s="19"/>
      <c r="Z411" s="20"/>
      <c r="AA411" s="12" t="s">
        <v>1803</v>
      </c>
      <c r="AB411" s="23"/>
    </row>
    <row r="412" spans="1:28" ht="25.5">
      <c r="A412" s="15">
        <v>411</v>
      </c>
      <c r="B412" s="9" t="s">
        <v>87</v>
      </c>
      <c r="C412" s="15"/>
      <c r="D412" s="10" t="s">
        <v>1804</v>
      </c>
      <c r="E412" s="21" t="s">
        <v>1805</v>
      </c>
      <c r="F412" s="22" t="s">
        <v>1806</v>
      </c>
      <c r="G412" s="12" t="s">
        <v>1807</v>
      </c>
      <c r="H412" s="13">
        <v>-0.68600000000000005</v>
      </c>
      <c r="I412" s="14" t="s">
        <v>1797</v>
      </c>
      <c r="J412" s="22" t="s">
        <v>1798</v>
      </c>
      <c r="K412" s="9">
        <v>1</v>
      </c>
      <c r="L412" s="15" t="s">
        <v>1479</v>
      </c>
      <c r="M412" s="16" t="s">
        <v>74</v>
      </c>
      <c r="N412" s="14"/>
      <c r="O412" s="15" t="s">
        <v>65</v>
      </c>
      <c r="P412" s="22" t="s">
        <v>1765</v>
      </c>
      <c r="Q412" s="15"/>
      <c r="R412" s="17" t="s">
        <v>74</v>
      </c>
      <c r="S412" s="18"/>
      <c r="T412" s="22" t="str">
        <f>IF(R412="維持",J412,IF(R412="排除","無關新聞事件",IFERROR(INDEX(事件規則!$B$2:$B$53,MATCH(S412,事件規則!$A$2:$A$53,0)),"")))</f>
        <v>無關新聞事件</v>
      </c>
      <c r="U412" s="9">
        <f>IF(R412="維持",K412,IF(R412="排除",0,IFERROR(INDEX(事件規則!$C$2:$C$53,MATCH(S412,事件規則!$A$2:$A$53,0)),"")))</f>
        <v>0</v>
      </c>
      <c r="V412" s="19"/>
      <c r="W412" s="20"/>
      <c r="X412" s="10" t="str">
        <f t="shared" si="6"/>
        <v/>
      </c>
      <c r="Y412" s="19"/>
      <c r="Z412" s="20"/>
      <c r="AA412" s="12" t="s">
        <v>1808</v>
      </c>
      <c r="AB412" s="23"/>
    </row>
    <row r="413" spans="1:28" ht="25.5">
      <c r="A413" s="15">
        <v>412</v>
      </c>
      <c r="B413" s="9" t="s">
        <v>87</v>
      </c>
      <c r="C413" s="15"/>
      <c r="D413" s="10" t="s">
        <v>348</v>
      </c>
      <c r="E413" s="21" t="s">
        <v>1809</v>
      </c>
      <c r="F413" s="22" t="s">
        <v>1810</v>
      </c>
      <c r="G413" s="12" t="s">
        <v>1811</v>
      </c>
      <c r="H413" s="13">
        <v>-0.09</v>
      </c>
      <c r="I413" s="14" t="s">
        <v>1797</v>
      </c>
      <c r="J413" s="22" t="s">
        <v>1798</v>
      </c>
      <c r="K413" s="9">
        <v>1</v>
      </c>
      <c r="L413" s="15" t="s">
        <v>1479</v>
      </c>
      <c r="M413" s="16" t="s">
        <v>74</v>
      </c>
      <c r="N413" s="14"/>
      <c r="O413" s="15" t="s">
        <v>65</v>
      </c>
      <c r="P413" s="22" t="s">
        <v>1765</v>
      </c>
      <c r="Q413" s="15"/>
      <c r="R413" s="17" t="s">
        <v>74</v>
      </c>
      <c r="S413" s="18"/>
      <c r="T413" s="22" t="str">
        <f>IF(R413="維持",J413,IF(R413="排除","無關新聞事件",IFERROR(INDEX(事件規則!$B$2:$B$53,MATCH(S413,事件規則!$A$2:$A$53,0)),"")))</f>
        <v>無關新聞事件</v>
      </c>
      <c r="U413" s="9">
        <f>IF(R413="維持",K413,IF(R413="排除",0,IFERROR(INDEX(事件規則!$C$2:$C$53,MATCH(S413,事件規則!$A$2:$A$53,0)),"")))</f>
        <v>0</v>
      </c>
      <c r="V413" s="19"/>
      <c r="W413" s="20"/>
      <c r="X413" s="10" t="str">
        <f t="shared" si="6"/>
        <v/>
      </c>
      <c r="Y413" s="19"/>
      <c r="Z413" s="20"/>
      <c r="AA413" s="12" t="s">
        <v>1812</v>
      </c>
      <c r="AB413" s="23"/>
    </row>
    <row r="414" spans="1:28" ht="25.5">
      <c r="A414" s="15">
        <v>413</v>
      </c>
      <c r="B414" s="9" t="s">
        <v>87</v>
      </c>
      <c r="C414" s="15"/>
      <c r="D414" s="10" t="s">
        <v>1675</v>
      </c>
      <c r="E414" s="21" t="s">
        <v>1813</v>
      </c>
      <c r="F414" s="22" t="s">
        <v>1814</v>
      </c>
      <c r="G414" s="12" t="s">
        <v>1678</v>
      </c>
      <c r="H414" s="13">
        <v>-0.67400000000000004</v>
      </c>
      <c r="I414" s="14" t="s">
        <v>1797</v>
      </c>
      <c r="J414" s="22" t="s">
        <v>1798</v>
      </c>
      <c r="K414" s="9">
        <v>1</v>
      </c>
      <c r="L414" s="15" t="s">
        <v>1479</v>
      </c>
      <c r="M414" s="16" t="s">
        <v>74</v>
      </c>
      <c r="N414" s="14"/>
      <c r="O414" s="15" t="s">
        <v>65</v>
      </c>
      <c r="P414" s="22" t="s">
        <v>1765</v>
      </c>
      <c r="Q414" s="15"/>
      <c r="R414" s="17" t="s">
        <v>74</v>
      </c>
      <c r="S414" s="18"/>
      <c r="T414" s="22" t="str">
        <f>IF(R414="維持",J414,IF(R414="排除","無關新聞事件",IFERROR(INDEX(事件規則!$B$2:$B$53,MATCH(S414,事件規則!$A$2:$A$53,0)),"")))</f>
        <v>無關新聞事件</v>
      </c>
      <c r="U414" s="9">
        <f>IF(R414="維持",K414,IF(R414="排除",0,IFERROR(INDEX(事件規則!$C$2:$C$53,MATCH(S414,事件規則!$A$2:$A$53,0)),"")))</f>
        <v>0</v>
      </c>
      <c r="V414" s="19"/>
      <c r="W414" s="20"/>
      <c r="X414" s="10" t="str">
        <f t="shared" si="6"/>
        <v/>
      </c>
      <c r="Y414" s="19"/>
      <c r="Z414" s="20"/>
      <c r="AA414" s="12" t="s">
        <v>1815</v>
      </c>
      <c r="AB414" s="23"/>
    </row>
    <row r="415" spans="1:28" ht="25.5">
      <c r="A415" s="15">
        <v>414</v>
      </c>
      <c r="B415" s="9" t="s">
        <v>87</v>
      </c>
      <c r="C415" s="15"/>
      <c r="D415" s="10" t="s">
        <v>1637</v>
      </c>
      <c r="E415" s="21" t="s">
        <v>1816</v>
      </c>
      <c r="F415" s="10" t="s">
        <v>1817</v>
      </c>
      <c r="G415" s="12" t="s">
        <v>1818</v>
      </c>
      <c r="H415" s="13">
        <v>0.66800000000000004</v>
      </c>
      <c r="I415" s="14" t="s">
        <v>1797</v>
      </c>
      <c r="J415" s="22" t="s">
        <v>1798</v>
      </c>
      <c r="K415" s="9">
        <v>1</v>
      </c>
      <c r="L415" s="15" t="s">
        <v>1479</v>
      </c>
      <c r="M415" s="16" t="s">
        <v>74</v>
      </c>
      <c r="N415" s="14"/>
      <c r="O415" s="15" t="s">
        <v>65</v>
      </c>
      <c r="P415" s="22" t="s">
        <v>1765</v>
      </c>
      <c r="Q415" s="15"/>
      <c r="R415" s="17" t="s">
        <v>74</v>
      </c>
      <c r="S415" s="18"/>
      <c r="T415" s="22" t="str">
        <f>IF(R415="維持",J415,IF(R415="排除","無關新聞事件",IFERROR(INDEX(事件規則!$B$2:$B$53,MATCH(S415,事件規則!$A$2:$A$53,0)),"")))</f>
        <v>無關新聞事件</v>
      </c>
      <c r="U415" s="9">
        <f>IF(R415="維持",K415,IF(R415="排除",0,IFERROR(INDEX(事件規則!$C$2:$C$53,MATCH(S415,事件規則!$A$2:$A$53,0)),"")))</f>
        <v>0</v>
      </c>
      <c r="V415" s="19"/>
      <c r="W415" s="20"/>
      <c r="X415" s="10" t="str">
        <f t="shared" si="6"/>
        <v/>
      </c>
      <c r="Y415" s="19"/>
      <c r="Z415" s="20"/>
      <c r="AA415" s="12" t="s">
        <v>1819</v>
      </c>
      <c r="AB415" s="23"/>
    </row>
    <row r="416" spans="1:28" ht="76.5">
      <c r="A416" s="15">
        <v>415</v>
      </c>
      <c r="B416" s="9" t="s">
        <v>87</v>
      </c>
      <c r="C416" s="15"/>
      <c r="D416" s="10" t="s">
        <v>1820</v>
      </c>
      <c r="E416" s="21" t="s">
        <v>1821</v>
      </c>
      <c r="F416" s="22" t="s">
        <v>1822</v>
      </c>
      <c r="G416" s="12" t="s">
        <v>1823</v>
      </c>
      <c r="H416" s="13">
        <v>-3.5999999999999997E-2</v>
      </c>
      <c r="I416" s="14" t="s">
        <v>1797</v>
      </c>
      <c r="J416" s="22" t="s">
        <v>1798</v>
      </c>
      <c r="K416" s="9">
        <v>1</v>
      </c>
      <c r="L416" s="15" t="s">
        <v>1479</v>
      </c>
      <c r="M416" s="16" t="s">
        <v>74</v>
      </c>
      <c r="N416" s="14"/>
      <c r="O416" s="15" t="s">
        <v>65</v>
      </c>
      <c r="P416" s="22" t="s">
        <v>1765</v>
      </c>
      <c r="Q416" s="15"/>
      <c r="R416" s="17" t="s">
        <v>74</v>
      </c>
      <c r="S416" s="18"/>
      <c r="T416" s="22" t="str">
        <f>IF(R416="維持",J416,IF(R416="排除","無關新聞事件",IFERROR(INDEX(事件規則!$B$2:$B$53,MATCH(S416,事件規則!$A$2:$A$53,0)),"")))</f>
        <v>無關新聞事件</v>
      </c>
      <c r="U416" s="9">
        <f>IF(R416="維持",K416,IF(R416="排除",0,IFERROR(INDEX(事件規則!$C$2:$C$53,MATCH(S416,事件規則!$A$2:$A$53,0)),"")))</f>
        <v>0</v>
      </c>
      <c r="V416" s="19"/>
      <c r="W416" s="20"/>
      <c r="X416" s="10" t="str">
        <f t="shared" si="6"/>
        <v/>
      </c>
      <c r="Y416" s="19"/>
      <c r="Z416" s="20"/>
      <c r="AA416" s="12" t="s">
        <v>1824</v>
      </c>
      <c r="AB416" s="23"/>
    </row>
    <row r="417" spans="1:28" ht="25.5">
      <c r="A417" s="15">
        <v>416</v>
      </c>
      <c r="B417" s="9" t="s">
        <v>87</v>
      </c>
      <c r="C417" s="15"/>
      <c r="D417" s="10" t="s">
        <v>1675</v>
      </c>
      <c r="E417" s="21" t="s">
        <v>1825</v>
      </c>
      <c r="F417" s="22" t="s">
        <v>1826</v>
      </c>
      <c r="G417" s="12" t="s">
        <v>1827</v>
      </c>
      <c r="H417" s="13">
        <v>0.83099999999999996</v>
      </c>
      <c r="I417" s="14" t="s">
        <v>1797</v>
      </c>
      <c r="J417" s="22" t="s">
        <v>1798</v>
      </c>
      <c r="K417" s="9">
        <v>1</v>
      </c>
      <c r="L417" s="15" t="s">
        <v>1479</v>
      </c>
      <c r="M417" s="16" t="s">
        <v>74</v>
      </c>
      <c r="N417" s="14"/>
      <c r="O417" s="15" t="s">
        <v>65</v>
      </c>
      <c r="P417" s="22" t="s">
        <v>1765</v>
      </c>
      <c r="Q417" s="15"/>
      <c r="R417" s="17" t="s">
        <v>74</v>
      </c>
      <c r="S417" s="18"/>
      <c r="T417" s="22" t="str">
        <f>IF(R417="維持",J417,IF(R417="排除","無關新聞事件",IFERROR(INDEX(事件規則!$B$2:$B$53,MATCH(S417,事件規則!$A$2:$A$53,0)),"")))</f>
        <v>無關新聞事件</v>
      </c>
      <c r="U417" s="9">
        <f>IF(R417="維持",K417,IF(R417="排除",0,IFERROR(INDEX(事件規則!$C$2:$C$53,MATCH(S417,事件規則!$A$2:$A$53,0)),"")))</f>
        <v>0</v>
      </c>
      <c r="V417" s="19"/>
      <c r="W417" s="20"/>
      <c r="X417" s="10" t="str">
        <f t="shared" si="6"/>
        <v/>
      </c>
      <c r="Y417" s="19"/>
      <c r="Z417" s="20"/>
      <c r="AA417" s="12" t="s">
        <v>1828</v>
      </c>
      <c r="AB417" s="23"/>
    </row>
    <row r="418" spans="1:28" ht="25.5">
      <c r="A418" s="15">
        <v>417</v>
      </c>
      <c r="B418" s="9" t="s">
        <v>87</v>
      </c>
      <c r="C418" s="15"/>
      <c r="D418" s="10" t="s">
        <v>1675</v>
      </c>
      <c r="E418" s="21" t="s">
        <v>1829</v>
      </c>
      <c r="F418" s="22" t="s">
        <v>1830</v>
      </c>
      <c r="G418" s="12" t="s">
        <v>1831</v>
      </c>
      <c r="H418" s="13">
        <v>-1E-3</v>
      </c>
      <c r="I418" s="14" t="s">
        <v>1797</v>
      </c>
      <c r="J418" s="22" t="s">
        <v>1798</v>
      </c>
      <c r="K418" s="9">
        <v>1</v>
      </c>
      <c r="L418" s="15" t="s">
        <v>1479</v>
      </c>
      <c r="M418" s="16" t="s">
        <v>74</v>
      </c>
      <c r="N418" s="14"/>
      <c r="O418" s="15" t="s">
        <v>65</v>
      </c>
      <c r="P418" s="22" t="s">
        <v>1765</v>
      </c>
      <c r="Q418" s="15"/>
      <c r="R418" s="17" t="s">
        <v>74</v>
      </c>
      <c r="S418" s="18"/>
      <c r="T418" s="22" t="str">
        <f>IF(R418="維持",J418,IF(R418="排除","無關新聞事件",IFERROR(INDEX(事件規則!$B$2:$B$53,MATCH(S418,事件規則!$A$2:$A$53,0)),"")))</f>
        <v>無關新聞事件</v>
      </c>
      <c r="U418" s="9">
        <f>IF(R418="維持",K418,IF(R418="排除",0,IFERROR(INDEX(事件規則!$C$2:$C$53,MATCH(S418,事件規則!$A$2:$A$53,0)),"")))</f>
        <v>0</v>
      </c>
      <c r="V418" s="19"/>
      <c r="W418" s="20"/>
      <c r="X418" s="10" t="str">
        <f t="shared" si="6"/>
        <v/>
      </c>
      <c r="Y418" s="19"/>
      <c r="Z418" s="20"/>
      <c r="AA418" s="12" t="s">
        <v>1832</v>
      </c>
      <c r="AB418" s="23"/>
    </row>
    <row r="419" spans="1:28" ht="25.5">
      <c r="A419" s="15">
        <v>418</v>
      </c>
      <c r="B419" s="9" t="s">
        <v>87</v>
      </c>
      <c r="C419" s="15"/>
      <c r="D419" s="10" t="s">
        <v>1675</v>
      </c>
      <c r="E419" s="21" t="s">
        <v>1833</v>
      </c>
      <c r="F419" s="22" t="s">
        <v>1834</v>
      </c>
      <c r="G419" s="12" t="s">
        <v>1835</v>
      </c>
      <c r="H419" s="13">
        <v>-2.5999999999999999E-2</v>
      </c>
      <c r="I419" s="14" t="s">
        <v>1797</v>
      </c>
      <c r="J419" s="22" t="s">
        <v>1798</v>
      </c>
      <c r="K419" s="9">
        <v>1</v>
      </c>
      <c r="L419" s="15" t="s">
        <v>1479</v>
      </c>
      <c r="M419" s="16" t="s">
        <v>74</v>
      </c>
      <c r="N419" s="14"/>
      <c r="O419" s="15" t="s">
        <v>65</v>
      </c>
      <c r="P419" s="22" t="s">
        <v>1765</v>
      </c>
      <c r="Q419" s="15"/>
      <c r="R419" s="17" t="s">
        <v>74</v>
      </c>
      <c r="S419" s="18"/>
      <c r="T419" s="22" t="str">
        <f>IF(R419="維持",J419,IF(R419="排除","無關新聞事件",IFERROR(INDEX(事件規則!$B$2:$B$53,MATCH(S419,事件規則!$A$2:$A$53,0)),"")))</f>
        <v>無關新聞事件</v>
      </c>
      <c r="U419" s="9">
        <f>IF(R419="維持",K419,IF(R419="排除",0,IFERROR(INDEX(事件規則!$C$2:$C$53,MATCH(S419,事件規則!$A$2:$A$53,0)),"")))</f>
        <v>0</v>
      </c>
      <c r="V419" s="19"/>
      <c r="W419" s="20"/>
      <c r="X419" s="10" t="str">
        <f t="shared" si="6"/>
        <v/>
      </c>
      <c r="Y419" s="19"/>
      <c r="Z419" s="20"/>
      <c r="AA419" s="12" t="s">
        <v>1836</v>
      </c>
      <c r="AB419" s="23"/>
    </row>
    <row r="420" spans="1:28" ht="25.5">
      <c r="A420" s="15">
        <v>419</v>
      </c>
      <c r="B420" s="9" t="s">
        <v>87</v>
      </c>
      <c r="C420" s="15"/>
      <c r="D420" s="10" t="s">
        <v>1683</v>
      </c>
      <c r="E420" s="21" t="s">
        <v>1837</v>
      </c>
      <c r="F420" s="22" t="s">
        <v>1838</v>
      </c>
      <c r="G420" s="12" t="s">
        <v>1839</v>
      </c>
      <c r="H420" s="13">
        <v>-8.9999999999999993E-3</v>
      </c>
      <c r="I420" s="14" t="s">
        <v>1797</v>
      </c>
      <c r="J420" s="22" t="s">
        <v>1798</v>
      </c>
      <c r="K420" s="9">
        <v>1</v>
      </c>
      <c r="L420" s="15" t="s">
        <v>1479</v>
      </c>
      <c r="M420" s="16" t="s">
        <v>74</v>
      </c>
      <c r="N420" s="14"/>
      <c r="O420" s="15" t="s">
        <v>65</v>
      </c>
      <c r="P420" s="22" t="s">
        <v>1765</v>
      </c>
      <c r="Q420" s="15"/>
      <c r="R420" s="17" t="s">
        <v>74</v>
      </c>
      <c r="S420" s="18"/>
      <c r="T420" s="22" t="str">
        <f>IF(R420="維持",J420,IF(R420="排除","無關新聞事件",IFERROR(INDEX(事件規則!$B$2:$B$53,MATCH(S420,事件規則!$A$2:$A$53,0)),"")))</f>
        <v>無關新聞事件</v>
      </c>
      <c r="U420" s="9">
        <f>IF(R420="維持",K420,IF(R420="排除",0,IFERROR(INDEX(事件規則!$C$2:$C$53,MATCH(S420,事件規則!$A$2:$A$53,0)),"")))</f>
        <v>0</v>
      </c>
      <c r="V420" s="19"/>
      <c r="W420" s="20"/>
      <c r="X420" s="10" t="str">
        <f t="shared" si="6"/>
        <v/>
      </c>
      <c r="Y420" s="19"/>
      <c r="Z420" s="20"/>
      <c r="AA420" s="12" t="s">
        <v>1840</v>
      </c>
      <c r="AB420" s="23"/>
    </row>
    <row r="421" spans="1:28" ht="25.5">
      <c r="A421" s="15">
        <v>420</v>
      </c>
      <c r="B421" s="9" t="s">
        <v>87</v>
      </c>
      <c r="C421" s="15"/>
      <c r="D421" s="10" t="s">
        <v>1841</v>
      </c>
      <c r="E421" s="21" t="s">
        <v>1842</v>
      </c>
      <c r="F421" s="22" t="s">
        <v>1843</v>
      </c>
      <c r="G421" s="12" t="s">
        <v>1844</v>
      </c>
      <c r="H421" s="13">
        <v>0.82499999999999996</v>
      </c>
      <c r="I421" s="14" t="s">
        <v>1797</v>
      </c>
      <c r="J421" s="22" t="s">
        <v>1798</v>
      </c>
      <c r="K421" s="9">
        <v>1</v>
      </c>
      <c r="L421" s="15" t="s">
        <v>1479</v>
      </c>
      <c r="M421" s="16" t="s">
        <v>74</v>
      </c>
      <c r="N421" s="14"/>
      <c r="O421" s="15" t="s">
        <v>65</v>
      </c>
      <c r="P421" s="22" t="s">
        <v>1765</v>
      </c>
      <c r="Q421" s="15"/>
      <c r="R421" s="17" t="s">
        <v>74</v>
      </c>
      <c r="S421" s="18"/>
      <c r="T421" s="22" t="str">
        <f>IF(R421="維持",J421,IF(R421="排除","無關新聞事件",IFERROR(INDEX(事件規則!$B$2:$B$53,MATCH(S421,事件規則!$A$2:$A$53,0)),"")))</f>
        <v>無關新聞事件</v>
      </c>
      <c r="U421" s="9">
        <f>IF(R421="維持",K421,IF(R421="排除",0,IFERROR(INDEX(事件規則!$C$2:$C$53,MATCH(S421,事件規則!$A$2:$A$53,0)),"")))</f>
        <v>0</v>
      </c>
      <c r="V421" s="19"/>
      <c r="W421" s="20"/>
      <c r="X421" s="10" t="str">
        <f t="shared" si="6"/>
        <v/>
      </c>
      <c r="Y421" s="19"/>
      <c r="Z421" s="20"/>
      <c r="AA421" s="12" t="s">
        <v>1845</v>
      </c>
      <c r="AB421" s="23"/>
    </row>
    <row r="422" spans="1:28" ht="89.25">
      <c r="A422" s="15">
        <v>421</v>
      </c>
      <c r="B422" s="9" t="s">
        <v>87</v>
      </c>
      <c r="C422" s="15"/>
      <c r="D422" s="10" t="s">
        <v>1820</v>
      </c>
      <c r="E422" s="21" t="s">
        <v>1846</v>
      </c>
      <c r="F422" s="22" t="s">
        <v>1847</v>
      </c>
      <c r="G422" s="12" t="s">
        <v>1823</v>
      </c>
      <c r="H422" s="13">
        <v>-0.11700000000000001</v>
      </c>
      <c r="I422" s="14" t="s">
        <v>1797</v>
      </c>
      <c r="J422" s="22" t="s">
        <v>1798</v>
      </c>
      <c r="K422" s="9">
        <v>1</v>
      </c>
      <c r="L422" s="15" t="s">
        <v>1479</v>
      </c>
      <c r="M422" s="16" t="s">
        <v>74</v>
      </c>
      <c r="N422" s="14"/>
      <c r="O422" s="15" t="s">
        <v>65</v>
      </c>
      <c r="P422" s="22" t="s">
        <v>1765</v>
      </c>
      <c r="Q422" s="15"/>
      <c r="R422" s="17" t="s">
        <v>74</v>
      </c>
      <c r="S422" s="18"/>
      <c r="T422" s="22" t="str">
        <f>IF(R422="維持",J422,IF(R422="排除","無關新聞事件",IFERROR(INDEX(事件規則!$B$2:$B$53,MATCH(S422,事件規則!$A$2:$A$53,0)),"")))</f>
        <v>無關新聞事件</v>
      </c>
      <c r="U422" s="9">
        <f>IF(R422="維持",K422,IF(R422="排除",0,IFERROR(INDEX(事件規則!$C$2:$C$53,MATCH(S422,事件規則!$A$2:$A$53,0)),"")))</f>
        <v>0</v>
      </c>
      <c r="V422" s="19"/>
      <c r="W422" s="20"/>
      <c r="X422" s="10" t="str">
        <f t="shared" si="6"/>
        <v/>
      </c>
      <c r="Y422" s="19"/>
      <c r="Z422" s="20"/>
      <c r="AA422" s="12" t="s">
        <v>1848</v>
      </c>
      <c r="AB422" s="23"/>
    </row>
    <row r="423" spans="1:28" ht="25.5">
      <c r="A423" s="15">
        <v>422</v>
      </c>
      <c r="B423" s="9" t="s">
        <v>100</v>
      </c>
      <c r="C423" s="15"/>
      <c r="D423" s="10" t="s">
        <v>654</v>
      </c>
      <c r="E423" s="21" t="s">
        <v>1849</v>
      </c>
      <c r="F423" s="22" t="s">
        <v>1850</v>
      </c>
      <c r="G423" s="12" t="s">
        <v>1444</v>
      </c>
      <c r="H423" s="13">
        <v>-0.91</v>
      </c>
      <c r="I423" s="14" t="s">
        <v>1797</v>
      </c>
      <c r="J423" s="22" t="s">
        <v>1798</v>
      </c>
      <c r="K423" s="9">
        <v>1</v>
      </c>
      <c r="L423" s="15" t="s">
        <v>1479</v>
      </c>
      <c r="M423" s="16" t="s">
        <v>74</v>
      </c>
      <c r="N423" s="14"/>
      <c r="O423" s="15" t="s">
        <v>65</v>
      </c>
      <c r="P423" s="22" t="s">
        <v>1765</v>
      </c>
      <c r="Q423" s="15"/>
      <c r="R423" s="17" t="s">
        <v>74</v>
      </c>
      <c r="S423" s="18"/>
      <c r="T423" s="22" t="str">
        <f>IF(R423="維持",J423,IF(R423="排除","無關新聞事件",IFERROR(INDEX(事件規則!$B$2:$B$53,MATCH(S423,事件規則!$A$2:$A$53,0)),"")))</f>
        <v>無關新聞事件</v>
      </c>
      <c r="U423" s="9">
        <f>IF(R423="維持",K423,IF(R423="排除",0,IFERROR(INDEX(事件規則!$C$2:$C$53,MATCH(S423,事件規則!$A$2:$A$53,0)),"")))</f>
        <v>0</v>
      </c>
      <c r="V423" s="19"/>
      <c r="W423" s="20"/>
      <c r="X423" s="10" t="str">
        <f t="shared" si="6"/>
        <v/>
      </c>
      <c r="Y423" s="19"/>
      <c r="Z423" s="20"/>
      <c r="AA423" s="12" t="s">
        <v>1851</v>
      </c>
      <c r="AB423" s="23"/>
    </row>
    <row r="424" spans="1:28" ht="25.5">
      <c r="A424" s="15">
        <v>423</v>
      </c>
      <c r="B424" s="9" t="s">
        <v>100</v>
      </c>
      <c r="C424" s="15"/>
      <c r="D424" s="10" t="s">
        <v>1852</v>
      </c>
      <c r="E424" s="21" t="s">
        <v>1853</v>
      </c>
      <c r="F424" s="22" t="s">
        <v>1854</v>
      </c>
      <c r="G424" s="12" t="s">
        <v>1855</v>
      </c>
      <c r="H424" s="13">
        <v>-0.92</v>
      </c>
      <c r="I424" s="14" t="s">
        <v>1797</v>
      </c>
      <c r="J424" s="22" t="s">
        <v>1798</v>
      </c>
      <c r="K424" s="9">
        <v>1</v>
      </c>
      <c r="L424" s="15" t="s">
        <v>1479</v>
      </c>
      <c r="M424" s="16" t="s">
        <v>74</v>
      </c>
      <c r="N424" s="14"/>
      <c r="O424" s="15" t="s">
        <v>65</v>
      </c>
      <c r="P424" s="22" t="s">
        <v>1765</v>
      </c>
      <c r="Q424" s="15"/>
      <c r="R424" s="17" t="s">
        <v>74</v>
      </c>
      <c r="S424" s="18"/>
      <c r="T424" s="22" t="str">
        <f>IF(R424="維持",J424,IF(R424="排除","無關新聞事件",IFERROR(INDEX(事件規則!$B$2:$B$53,MATCH(S424,事件規則!$A$2:$A$53,0)),"")))</f>
        <v>無關新聞事件</v>
      </c>
      <c r="U424" s="9">
        <f>IF(R424="維持",K424,IF(R424="排除",0,IFERROR(INDEX(事件規則!$C$2:$C$53,MATCH(S424,事件規則!$A$2:$A$53,0)),"")))</f>
        <v>0</v>
      </c>
      <c r="V424" s="19"/>
      <c r="W424" s="20"/>
      <c r="X424" s="10" t="str">
        <f t="shared" si="6"/>
        <v/>
      </c>
      <c r="Y424" s="19"/>
      <c r="Z424" s="20"/>
      <c r="AA424" s="12" t="s">
        <v>1856</v>
      </c>
      <c r="AB424" s="23"/>
    </row>
    <row r="425" spans="1:28" ht="38.25">
      <c r="A425" s="15">
        <v>424</v>
      </c>
      <c r="B425" s="9" t="s">
        <v>100</v>
      </c>
      <c r="C425" s="15"/>
      <c r="D425" s="10" t="s">
        <v>1738</v>
      </c>
      <c r="E425" s="21" t="s">
        <v>1857</v>
      </c>
      <c r="F425" s="22" t="s">
        <v>1858</v>
      </c>
      <c r="G425" s="12" t="s">
        <v>1859</v>
      </c>
      <c r="H425" s="13">
        <v>-0.875</v>
      </c>
      <c r="I425" s="14" t="s">
        <v>1797</v>
      </c>
      <c r="J425" s="22" t="s">
        <v>1798</v>
      </c>
      <c r="K425" s="9">
        <v>1</v>
      </c>
      <c r="L425" s="15" t="s">
        <v>1479</v>
      </c>
      <c r="M425" s="16" t="s">
        <v>74</v>
      </c>
      <c r="N425" s="14"/>
      <c r="O425" s="15" t="s">
        <v>65</v>
      </c>
      <c r="P425" s="22" t="s">
        <v>1765</v>
      </c>
      <c r="Q425" s="15"/>
      <c r="R425" s="17" t="s">
        <v>74</v>
      </c>
      <c r="S425" s="18"/>
      <c r="T425" s="22" t="str">
        <f>IF(R425="維持",J425,IF(R425="排除","無關新聞事件",IFERROR(INDEX(事件規則!$B$2:$B$53,MATCH(S425,事件規則!$A$2:$A$53,0)),"")))</f>
        <v>無關新聞事件</v>
      </c>
      <c r="U425" s="9">
        <f>IF(R425="維持",K425,IF(R425="排除",0,IFERROR(INDEX(事件規則!$C$2:$C$53,MATCH(S425,事件規則!$A$2:$A$53,0)),"")))</f>
        <v>0</v>
      </c>
      <c r="V425" s="19"/>
      <c r="W425" s="20"/>
      <c r="X425" s="10" t="str">
        <f t="shared" si="6"/>
        <v/>
      </c>
      <c r="Y425" s="19"/>
      <c r="Z425" s="20"/>
      <c r="AA425" s="12" t="s">
        <v>1860</v>
      </c>
      <c r="AB425" s="23"/>
    </row>
    <row r="426" spans="1:28" ht="25.5">
      <c r="A426" s="15">
        <v>425</v>
      </c>
      <c r="B426" s="9" t="s">
        <v>100</v>
      </c>
      <c r="C426" s="15"/>
      <c r="D426" s="10" t="s">
        <v>1738</v>
      </c>
      <c r="E426" s="21" t="s">
        <v>1861</v>
      </c>
      <c r="F426" s="22" t="s">
        <v>1862</v>
      </c>
      <c r="G426" s="12" t="s">
        <v>992</v>
      </c>
      <c r="H426" s="13">
        <v>-0.29899999999999999</v>
      </c>
      <c r="I426" s="14" t="s">
        <v>1797</v>
      </c>
      <c r="J426" s="22" t="s">
        <v>1798</v>
      </c>
      <c r="K426" s="9">
        <v>1</v>
      </c>
      <c r="L426" s="15" t="s">
        <v>1479</v>
      </c>
      <c r="M426" s="16" t="s">
        <v>74</v>
      </c>
      <c r="N426" s="14"/>
      <c r="O426" s="15" t="s">
        <v>65</v>
      </c>
      <c r="P426" s="22" t="s">
        <v>1765</v>
      </c>
      <c r="Q426" s="15"/>
      <c r="R426" s="17" t="s">
        <v>74</v>
      </c>
      <c r="S426" s="18"/>
      <c r="T426" s="22" t="str">
        <f>IF(R426="維持",J426,IF(R426="排除","無關新聞事件",IFERROR(INDEX(事件規則!$B$2:$B$53,MATCH(S426,事件規則!$A$2:$A$53,0)),"")))</f>
        <v>無關新聞事件</v>
      </c>
      <c r="U426" s="9">
        <f>IF(R426="維持",K426,IF(R426="排除",0,IFERROR(INDEX(事件規則!$C$2:$C$53,MATCH(S426,事件規則!$A$2:$A$53,0)),"")))</f>
        <v>0</v>
      </c>
      <c r="V426" s="19"/>
      <c r="W426" s="20"/>
      <c r="X426" s="10" t="str">
        <f t="shared" si="6"/>
        <v/>
      </c>
      <c r="Y426" s="19"/>
      <c r="Z426" s="20"/>
      <c r="AA426" s="12" t="s">
        <v>1863</v>
      </c>
      <c r="AB426" s="23"/>
    </row>
    <row r="427" spans="1:28" ht="25.5">
      <c r="A427" s="15">
        <v>426</v>
      </c>
      <c r="B427" s="9" t="s">
        <v>100</v>
      </c>
      <c r="C427" s="15"/>
      <c r="D427" s="10" t="s">
        <v>1683</v>
      </c>
      <c r="E427" s="21" t="s">
        <v>1864</v>
      </c>
      <c r="F427" s="22" t="s">
        <v>1865</v>
      </c>
      <c r="G427" s="12" t="s">
        <v>1866</v>
      </c>
      <c r="H427" s="13">
        <v>-8.3000000000000004E-2</v>
      </c>
      <c r="I427" s="14" t="s">
        <v>1797</v>
      </c>
      <c r="J427" s="22" t="s">
        <v>1798</v>
      </c>
      <c r="K427" s="9">
        <v>1</v>
      </c>
      <c r="L427" s="15" t="s">
        <v>1479</v>
      </c>
      <c r="M427" s="16" t="s">
        <v>74</v>
      </c>
      <c r="N427" s="14"/>
      <c r="O427" s="15" t="s">
        <v>65</v>
      </c>
      <c r="P427" s="22" t="s">
        <v>1765</v>
      </c>
      <c r="Q427" s="15"/>
      <c r="R427" s="17" t="s">
        <v>74</v>
      </c>
      <c r="S427" s="18"/>
      <c r="T427" s="22" t="str">
        <f>IF(R427="維持",J427,IF(R427="排除","無關新聞事件",IFERROR(INDEX(事件規則!$B$2:$B$53,MATCH(S427,事件規則!$A$2:$A$53,0)),"")))</f>
        <v>無關新聞事件</v>
      </c>
      <c r="U427" s="9">
        <f>IF(R427="維持",K427,IF(R427="排除",0,IFERROR(INDEX(事件規則!$C$2:$C$53,MATCH(S427,事件規則!$A$2:$A$53,0)),"")))</f>
        <v>0</v>
      </c>
      <c r="V427" s="19"/>
      <c r="W427" s="20"/>
      <c r="X427" s="10" t="str">
        <f t="shared" si="6"/>
        <v/>
      </c>
      <c r="Y427" s="19"/>
      <c r="Z427" s="20"/>
      <c r="AA427" s="12" t="s">
        <v>1867</v>
      </c>
      <c r="AB427" s="23"/>
    </row>
    <row r="428" spans="1:28" ht="25.5">
      <c r="A428" s="15">
        <v>427</v>
      </c>
      <c r="B428" s="9" t="s">
        <v>100</v>
      </c>
      <c r="C428" s="15"/>
      <c r="D428" s="10" t="s">
        <v>1868</v>
      </c>
      <c r="E428" s="21" t="s">
        <v>1869</v>
      </c>
      <c r="F428" s="22" t="s">
        <v>1870</v>
      </c>
      <c r="G428" s="12" t="s">
        <v>1871</v>
      </c>
      <c r="H428" s="13">
        <v>-0.26500000000000001</v>
      </c>
      <c r="I428" s="14" t="s">
        <v>1797</v>
      </c>
      <c r="J428" s="22" t="s">
        <v>1798</v>
      </c>
      <c r="K428" s="9">
        <v>1</v>
      </c>
      <c r="L428" s="15" t="s">
        <v>1479</v>
      </c>
      <c r="M428" s="16" t="s">
        <v>74</v>
      </c>
      <c r="N428" s="14"/>
      <c r="O428" s="15" t="s">
        <v>65</v>
      </c>
      <c r="P428" s="22" t="s">
        <v>1765</v>
      </c>
      <c r="Q428" s="15"/>
      <c r="R428" s="17" t="s">
        <v>74</v>
      </c>
      <c r="S428" s="18"/>
      <c r="T428" s="22" t="str">
        <f>IF(R428="維持",J428,IF(R428="排除","無關新聞事件",IFERROR(INDEX(事件規則!$B$2:$B$53,MATCH(S428,事件規則!$A$2:$A$53,0)),"")))</f>
        <v>無關新聞事件</v>
      </c>
      <c r="U428" s="9">
        <f>IF(R428="維持",K428,IF(R428="排除",0,IFERROR(INDEX(事件規則!$C$2:$C$53,MATCH(S428,事件規則!$A$2:$A$53,0)),"")))</f>
        <v>0</v>
      </c>
      <c r="V428" s="19"/>
      <c r="W428" s="20"/>
      <c r="X428" s="10" t="str">
        <f t="shared" si="6"/>
        <v/>
      </c>
      <c r="Y428" s="19"/>
      <c r="Z428" s="20"/>
      <c r="AA428" s="12" t="s">
        <v>1872</v>
      </c>
      <c r="AB428" s="23"/>
    </row>
    <row r="429" spans="1:28" ht="25.5">
      <c r="A429" s="15">
        <v>428</v>
      </c>
      <c r="B429" s="9" t="s">
        <v>100</v>
      </c>
      <c r="C429" s="15"/>
      <c r="D429" s="10" t="s">
        <v>1773</v>
      </c>
      <c r="E429" s="21" t="s">
        <v>1873</v>
      </c>
      <c r="F429" s="22" t="s">
        <v>1874</v>
      </c>
      <c r="G429" s="12" t="s">
        <v>1875</v>
      </c>
      <c r="H429" s="13">
        <v>-0.89100000000000001</v>
      </c>
      <c r="I429" s="14" t="s">
        <v>1797</v>
      </c>
      <c r="J429" s="22" t="s">
        <v>1798</v>
      </c>
      <c r="K429" s="9">
        <v>1</v>
      </c>
      <c r="L429" s="15" t="s">
        <v>1479</v>
      </c>
      <c r="M429" s="16" t="s">
        <v>74</v>
      </c>
      <c r="N429" s="14"/>
      <c r="O429" s="15" t="s">
        <v>65</v>
      </c>
      <c r="P429" s="22" t="s">
        <v>1765</v>
      </c>
      <c r="Q429" s="15"/>
      <c r="R429" s="17" t="s">
        <v>74</v>
      </c>
      <c r="S429" s="18"/>
      <c r="T429" s="22" t="str">
        <f>IF(R429="維持",J429,IF(R429="排除","無關新聞事件",IFERROR(INDEX(事件規則!$B$2:$B$53,MATCH(S429,事件規則!$A$2:$A$53,0)),"")))</f>
        <v>無關新聞事件</v>
      </c>
      <c r="U429" s="9">
        <f>IF(R429="維持",K429,IF(R429="排除",0,IFERROR(INDEX(事件規則!$C$2:$C$53,MATCH(S429,事件規則!$A$2:$A$53,0)),"")))</f>
        <v>0</v>
      </c>
      <c r="V429" s="19"/>
      <c r="W429" s="20"/>
      <c r="X429" s="10" t="str">
        <f t="shared" si="6"/>
        <v/>
      </c>
      <c r="Y429" s="19"/>
      <c r="Z429" s="20"/>
      <c r="AA429" s="12" t="s">
        <v>1876</v>
      </c>
      <c r="AB429" s="23"/>
    </row>
    <row r="430" spans="1:28" ht="25.5">
      <c r="A430" s="15">
        <v>429</v>
      </c>
      <c r="B430" s="9" t="s">
        <v>100</v>
      </c>
      <c r="C430" s="15"/>
      <c r="D430" s="10" t="s">
        <v>1683</v>
      </c>
      <c r="E430" s="21" t="s">
        <v>1877</v>
      </c>
      <c r="F430" s="22" t="s">
        <v>1878</v>
      </c>
      <c r="G430" s="12" t="s">
        <v>1879</v>
      </c>
      <c r="H430" s="13">
        <v>0.69299999999999995</v>
      </c>
      <c r="I430" s="14" t="s">
        <v>1797</v>
      </c>
      <c r="J430" s="22" t="s">
        <v>1798</v>
      </c>
      <c r="K430" s="9">
        <v>1</v>
      </c>
      <c r="L430" s="15" t="s">
        <v>1479</v>
      </c>
      <c r="M430" s="16" t="s">
        <v>74</v>
      </c>
      <c r="N430" s="14"/>
      <c r="O430" s="15" t="s">
        <v>65</v>
      </c>
      <c r="P430" s="22" t="s">
        <v>1765</v>
      </c>
      <c r="Q430" s="15"/>
      <c r="R430" s="17" t="s">
        <v>74</v>
      </c>
      <c r="S430" s="18"/>
      <c r="T430" s="22" t="str">
        <f>IF(R430="維持",J430,IF(R430="排除","無關新聞事件",IFERROR(INDEX(事件規則!$B$2:$B$53,MATCH(S430,事件規則!$A$2:$A$53,0)),"")))</f>
        <v>無關新聞事件</v>
      </c>
      <c r="U430" s="9">
        <f>IF(R430="維持",K430,IF(R430="排除",0,IFERROR(INDEX(事件規則!$C$2:$C$53,MATCH(S430,事件規則!$A$2:$A$53,0)),"")))</f>
        <v>0</v>
      </c>
      <c r="V430" s="19"/>
      <c r="W430" s="20"/>
      <c r="X430" s="10" t="str">
        <f t="shared" si="6"/>
        <v/>
      </c>
      <c r="Y430" s="19"/>
      <c r="Z430" s="20"/>
      <c r="AA430" s="12" t="s">
        <v>1880</v>
      </c>
      <c r="AB430" s="23"/>
    </row>
    <row r="431" spans="1:28" ht="25.5">
      <c r="A431" s="15">
        <v>430</v>
      </c>
      <c r="B431" s="9" t="s">
        <v>100</v>
      </c>
      <c r="C431" s="15"/>
      <c r="D431" s="10" t="s">
        <v>1773</v>
      </c>
      <c r="E431" s="21" t="s">
        <v>1881</v>
      </c>
      <c r="F431" s="22" t="s">
        <v>1882</v>
      </c>
      <c r="G431" s="12" t="s">
        <v>1883</v>
      </c>
      <c r="H431" s="13">
        <v>0.90600000000000003</v>
      </c>
      <c r="I431" s="14" t="s">
        <v>1797</v>
      </c>
      <c r="J431" s="22" t="s">
        <v>1798</v>
      </c>
      <c r="K431" s="9">
        <v>1</v>
      </c>
      <c r="L431" s="15" t="s">
        <v>1479</v>
      </c>
      <c r="M431" s="16" t="s">
        <v>74</v>
      </c>
      <c r="N431" s="14"/>
      <c r="O431" s="15" t="s">
        <v>65</v>
      </c>
      <c r="P431" s="22" t="s">
        <v>1765</v>
      </c>
      <c r="Q431" s="15"/>
      <c r="R431" s="17" t="s">
        <v>74</v>
      </c>
      <c r="S431" s="18"/>
      <c r="T431" s="22" t="str">
        <f>IF(R431="維持",J431,IF(R431="排除","無關新聞事件",IFERROR(INDEX(事件規則!$B$2:$B$53,MATCH(S431,事件規則!$A$2:$A$53,0)),"")))</f>
        <v>無關新聞事件</v>
      </c>
      <c r="U431" s="9">
        <f>IF(R431="維持",K431,IF(R431="排除",0,IFERROR(INDEX(事件規則!$C$2:$C$53,MATCH(S431,事件規則!$A$2:$A$53,0)),"")))</f>
        <v>0</v>
      </c>
      <c r="V431" s="19"/>
      <c r="W431" s="20"/>
      <c r="X431" s="10" t="str">
        <f t="shared" si="6"/>
        <v/>
      </c>
      <c r="Y431" s="19"/>
      <c r="Z431" s="20"/>
      <c r="AA431" s="12" t="s">
        <v>1884</v>
      </c>
      <c r="AB431" s="23"/>
    </row>
    <row r="432" spans="1:28" ht="25.5">
      <c r="A432" s="15">
        <v>431</v>
      </c>
      <c r="B432" s="9" t="s">
        <v>100</v>
      </c>
      <c r="C432" s="15"/>
      <c r="D432" s="10" t="s">
        <v>1637</v>
      </c>
      <c r="E432" s="21" t="s">
        <v>1885</v>
      </c>
      <c r="F432" s="22" t="s">
        <v>1886</v>
      </c>
      <c r="G432" s="12" t="s">
        <v>1887</v>
      </c>
      <c r="H432" s="13">
        <v>-0.59599999999999997</v>
      </c>
      <c r="I432" s="14" t="s">
        <v>1797</v>
      </c>
      <c r="J432" s="22" t="s">
        <v>1798</v>
      </c>
      <c r="K432" s="9">
        <v>1</v>
      </c>
      <c r="L432" s="15" t="s">
        <v>1479</v>
      </c>
      <c r="M432" s="16" t="s">
        <v>74</v>
      </c>
      <c r="N432" s="14"/>
      <c r="O432" s="15" t="s">
        <v>65</v>
      </c>
      <c r="P432" s="22" t="s">
        <v>1765</v>
      </c>
      <c r="Q432" s="15"/>
      <c r="R432" s="17" t="s">
        <v>74</v>
      </c>
      <c r="S432" s="18"/>
      <c r="T432" s="22" t="str">
        <f>IF(R432="維持",J432,IF(R432="排除","無關新聞事件",IFERROR(INDEX(事件規則!$B$2:$B$53,MATCH(S432,事件規則!$A$2:$A$53,0)),"")))</f>
        <v>無關新聞事件</v>
      </c>
      <c r="U432" s="9">
        <f>IF(R432="維持",K432,IF(R432="排除",0,IFERROR(INDEX(事件規則!$C$2:$C$53,MATCH(S432,事件規則!$A$2:$A$53,0)),"")))</f>
        <v>0</v>
      </c>
      <c r="V432" s="19"/>
      <c r="W432" s="20"/>
      <c r="X432" s="10" t="str">
        <f t="shared" si="6"/>
        <v/>
      </c>
      <c r="Y432" s="19"/>
      <c r="Z432" s="20"/>
      <c r="AA432" s="12" t="s">
        <v>1888</v>
      </c>
      <c r="AB432" s="23"/>
    </row>
    <row r="433" spans="1:28" ht="25.5">
      <c r="A433" s="15">
        <v>432</v>
      </c>
      <c r="B433" s="9" t="s">
        <v>100</v>
      </c>
      <c r="C433" s="15"/>
      <c r="D433" s="10" t="s">
        <v>1889</v>
      </c>
      <c r="E433" s="21" t="s">
        <v>1890</v>
      </c>
      <c r="F433" s="22" t="s">
        <v>1891</v>
      </c>
      <c r="G433" s="12" t="s">
        <v>1892</v>
      </c>
      <c r="H433" s="13">
        <v>-0.84099999999999997</v>
      </c>
      <c r="I433" s="14" t="s">
        <v>1797</v>
      </c>
      <c r="J433" s="22" t="s">
        <v>1798</v>
      </c>
      <c r="K433" s="9">
        <v>1</v>
      </c>
      <c r="L433" s="15" t="s">
        <v>1479</v>
      </c>
      <c r="M433" s="16" t="s">
        <v>74</v>
      </c>
      <c r="N433" s="14"/>
      <c r="O433" s="15" t="s">
        <v>65</v>
      </c>
      <c r="P433" s="22" t="s">
        <v>1765</v>
      </c>
      <c r="Q433" s="15"/>
      <c r="R433" s="17" t="s">
        <v>74</v>
      </c>
      <c r="S433" s="18"/>
      <c r="T433" s="22" t="str">
        <f>IF(R433="維持",J433,IF(R433="排除","無關新聞事件",IFERROR(INDEX(事件規則!$B$2:$B$53,MATCH(S433,事件規則!$A$2:$A$53,0)),"")))</f>
        <v>無關新聞事件</v>
      </c>
      <c r="U433" s="9">
        <f>IF(R433="維持",K433,IF(R433="排除",0,IFERROR(INDEX(事件規則!$C$2:$C$53,MATCH(S433,事件規則!$A$2:$A$53,0)),"")))</f>
        <v>0</v>
      </c>
      <c r="V433" s="19"/>
      <c r="W433" s="20"/>
      <c r="X433" s="10" t="str">
        <f t="shared" si="6"/>
        <v/>
      </c>
      <c r="Y433" s="19"/>
      <c r="Z433" s="20"/>
      <c r="AA433" s="12" t="s">
        <v>1893</v>
      </c>
      <c r="AB433" s="23"/>
    </row>
    <row r="434" spans="1:28" ht="25.5">
      <c r="A434" s="15">
        <v>433</v>
      </c>
      <c r="B434" s="9" t="s">
        <v>100</v>
      </c>
      <c r="C434" s="15"/>
      <c r="D434" s="10" t="s">
        <v>1675</v>
      </c>
      <c r="E434" s="21" t="s">
        <v>1894</v>
      </c>
      <c r="F434" s="22" t="s">
        <v>1895</v>
      </c>
      <c r="G434" s="12" t="s">
        <v>1896</v>
      </c>
      <c r="H434" s="13">
        <v>-0.44800000000000001</v>
      </c>
      <c r="I434" s="14" t="s">
        <v>1797</v>
      </c>
      <c r="J434" s="22" t="s">
        <v>1798</v>
      </c>
      <c r="K434" s="9">
        <v>1</v>
      </c>
      <c r="L434" s="15" t="s">
        <v>1479</v>
      </c>
      <c r="M434" s="16" t="s">
        <v>74</v>
      </c>
      <c r="N434" s="14"/>
      <c r="O434" s="15" t="s">
        <v>65</v>
      </c>
      <c r="P434" s="22" t="s">
        <v>1765</v>
      </c>
      <c r="Q434" s="15"/>
      <c r="R434" s="17" t="s">
        <v>74</v>
      </c>
      <c r="S434" s="18"/>
      <c r="T434" s="22" t="str">
        <f>IF(R434="維持",J434,IF(R434="排除","無關新聞事件",IFERROR(INDEX(事件規則!$B$2:$B$53,MATCH(S434,事件規則!$A$2:$A$53,0)),"")))</f>
        <v>無關新聞事件</v>
      </c>
      <c r="U434" s="9">
        <f>IF(R434="維持",K434,IF(R434="排除",0,IFERROR(INDEX(事件規則!$C$2:$C$53,MATCH(S434,事件規則!$A$2:$A$53,0)),"")))</f>
        <v>0</v>
      </c>
      <c r="V434" s="19"/>
      <c r="W434" s="20"/>
      <c r="X434" s="10" t="str">
        <f t="shared" si="6"/>
        <v/>
      </c>
      <c r="Y434" s="19"/>
      <c r="Z434" s="20"/>
      <c r="AA434" s="12" t="s">
        <v>1897</v>
      </c>
      <c r="AB434" s="23"/>
    </row>
    <row r="435" spans="1:28" ht="25.5">
      <c r="A435" s="15">
        <v>434</v>
      </c>
      <c r="B435" s="9" t="s">
        <v>100</v>
      </c>
      <c r="C435" s="15"/>
      <c r="D435" s="10" t="s">
        <v>1898</v>
      </c>
      <c r="E435" s="21" t="s">
        <v>1899</v>
      </c>
      <c r="F435" s="22" t="s">
        <v>1900</v>
      </c>
      <c r="G435" s="12" t="s">
        <v>1901</v>
      </c>
      <c r="H435" s="13">
        <v>0.25</v>
      </c>
      <c r="I435" s="14" t="s">
        <v>1797</v>
      </c>
      <c r="J435" s="22" t="s">
        <v>1798</v>
      </c>
      <c r="K435" s="9">
        <v>1</v>
      </c>
      <c r="L435" s="15" t="s">
        <v>1479</v>
      </c>
      <c r="M435" s="16" t="s">
        <v>74</v>
      </c>
      <c r="N435" s="14"/>
      <c r="O435" s="15" t="s">
        <v>65</v>
      </c>
      <c r="P435" s="22" t="s">
        <v>1765</v>
      </c>
      <c r="Q435" s="15"/>
      <c r="R435" s="17" t="s">
        <v>74</v>
      </c>
      <c r="S435" s="18"/>
      <c r="T435" s="22" t="str">
        <f>IF(R435="維持",J435,IF(R435="排除","無關新聞事件",IFERROR(INDEX(事件規則!$B$2:$B$53,MATCH(S435,事件規則!$A$2:$A$53,0)),"")))</f>
        <v>無關新聞事件</v>
      </c>
      <c r="U435" s="9">
        <f>IF(R435="維持",K435,IF(R435="排除",0,IFERROR(INDEX(事件規則!$C$2:$C$53,MATCH(S435,事件規則!$A$2:$A$53,0)),"")))</f>
        <v>0</v>
      </c>
      <c r="V435" s="19"/>
      <c r="W435" s="20"/>
      <c r="X435" s="10" t="str">
        <f t="shared" si="6"/>
        <v/>
      </c>
      <c r="Y435" s="19"/>
      <c r="Z435" s="20"/>
      <c r="AA435" s="12" t="s">
        <v>1902</v>
      </c>
      <c r="AB435" s="23"/>
    </row>
    <row r="436" spans="1:28" ht="38.25">
      <c r="A436" s="15">
        <v>435</v>
      </c>
      <c r="B436" s="9" t="s">
        <v>100</v>
      </c>
      <c r="C436" s="15"/>
      <c r="D436" s="10" t="s">
        <v>1889</v>
      </c>
      <c r="E436" s="21" t="s">
        <v>1903</v>
      </c>
      <c r="F436" s="22" t="s">
        <v>1904</v>
      </c>
      <c r="G436" s="12" t="s">
        <v>1905</v>
      </c>
      <c r="H436" s="13">
        <v>-0.81699999999999995</v>
      </c>
      <c r="I436" s="14" t="s">
        <v>1797</v>
      </c>
      <c r="J436" s="22" t="s">
        <v>1798</v>
      </c>
      <c r="K436" s="9">
        <v>1</v>
      </c>
      <c r="L436" s="15" t="s">
        <v>1479</v>
      </c>
      <c r="M436" s="16" t="s">
        <v>74</v>
      </c>
      <c r="N436" s="14"/>
      <c r="O436" s="15" t="s">
        <v>65</v>
      </c>
      <c r="P436" s="22" t="s">
        <v>1765</v>
      </c>
      <c r="Q436" s="15"/>
      <c r="R436" s="17" t="s">
        <v>74</v>
      </c>
      <c r="S436" s="18"/>
      <c r="T436" s="22" t="str">
        <f>IF(R436="維持",J436,IF(R436="排除","無關新聞事件",IFERROR(INDEX(事件規則!$B$2:$B$53,MATCH(S436,事件規則!$A$2:$A$53,0)),"")))</f>
        <v>無關新聞事件</v>
      </c>
      <c r="U436" s="9">
        <f>IF(R436="維持",K436,IF(R436="排除",0,IFERROR(INDEX(事件規則!$C$2:$C$53,MATCH(S436,事件規則!$A$2:$A$53,0)),"")))</f>
        <v>0</v>
      </c>
      <c r="V436" s="19"/>
      <c r="W436" s="20"/>
      <c r="X436" s="10" t="str">
        <f t="shared" si="6"/>
        <v/>
      </c>
      <c r="Y436" s="19"/>
      <c r="Z436" s="20"/>
      <c r="AA436" s="12" t="s">
        <v>1906</v>
      </c>
      <c r="AB436" s="23"/>
    </row>
    <row r="437" spans="1:28" ht="25.5">
      <c r="A437" s="15">
        <v>436</v>
      </c>
      <c r="B437" s="9" t="s">
        <v>100</v>
      </c>
      <c r="C437" s="15"/>
      <c r="D437" s="10" t="s">
        <v>1753</v>
      </c>
      <c r="E437" s="21" t="s">
        <v>1907</v>
      </c>
      <c r="F437" s="22" t="s">
        <v>1908</v>
      </c>
      <c r="G437" s="12" t="s">
        <v>1909</v>
      </c>
      <c r="H437" s="13">
        <v>-0.95699999999999996</v>
      </c>
      <c r="I437" s="14" t="s">
        <v>1797</v>
      </c>
      <c r="J437" s="22" t="s">
        <v>1798</v>
      </c>
      <c r="K437" s="9">
        <v>1</v>
      </c>
      <c r="L437" s="15" t="s">
        <v>1479</v>
      </c>
      <c r="M437" s="16" t="s">
        <v>74</v>
      </c>
      <c r="N437" s="14"/>
      <c r="O437" s="15" t="s">
        <v>65</v>
      </c>
      <c r="P437" s="22" t="s">
        <v>1765</v>
      </c>
      <c r="Q437" s="15"/>
      <c r="R437" s="17" t="s">
        <v>74</v>
      </c>
      <c r="S437" s="18"/>
      <c r="T437" s="22" t="str">
        <f>IF(R437="維持",J437,IF(R437="排除","無關新聞事件",IFERROR(INDEX(事件規則!$B$2:$B$53,MATCH(S437,事件規則!$A$2:$A$53,0)),"")))</f>
        <v>無關新聞事件</v>
      </c>
      <c r="U437" s="9">
        <f>IF(R437="維持",K437,IF(R437="排除",0,IFERROR(INDEX(事件規則!$C$2:$C$53,MATCH(S437,事件規則!$A$2:$A$53,0)),"")))</f>
        <v>0</v>
      </c>
      <c r="V437" s="19"/>
      <c r="W437" s="20"/>
      <c r="X437" s="10" t="str">
        <f t="shared" si="6"/>
        <v/>
      </c>
      <c r="Y437" s="19"/>
      <c r="Z437" s="20"/>
      <c r="AA437" s="12" t="s">
        <v>1910</v>
      </c>
      <c r="AB437" s="23"/>
    </row>
    <row r="438" spans="1:28" ht="25.5">
      <c r="A438" s="15">
        <v>437</v>
      </c>
      <c r="B438" s="9" t="s">
        <v>100</v>
      </c>
      <c r="C438" s="15"/>
      <c r="D438" s="10" t="s">
        <v>1868</v>
      </c>
      <c r="E438" s="21" t="s">
        <v>1911</v>
      </c>
      <c r="F438" s="22" t="s">
        <v>1912</v>
      </c>
      <c r="G438" s="12" t="s">
        <v>1827</v>
      </c>
      <c r="H438" s="13">
        <v>0.52300000000000002</v>
      </c>
      <c r="I438" s="14" t="s">
        <v>1797</v>
      </c>
      <c r="J438" s="22" t="s">
        <v>1798</v>
      </c>
      <c r="K438" s="9">
        <v>1</v>
      </c>
      <c r="L438" s="15" t="s">
        <v>1479</v>
      </c>
      <c r="M438" s="16" t="s">
        <v>74</v>
      </c>
      <c r="N438" s="14"/>
      <c r="O438" s="15" t="s">
        <v>65</v>
      </c>
      <c r="P438" s="22" t="s">
        <v>1765</v>
      </c>
      <c r="Q438" s="15"/>
      <c r="R438" s="17" t="s">
        <v>74</v>
      </c>
      <c r="S438" s="18"/>
      <c r="T438" s="22" t="str">
        <f>IF(R438="維持",J438,IF(R438="排除","無關新聞事件",IFERROR(INDEX(事件規則!$B$2:$B$53,MATCH(S438,事件規則!$A$2:$A$53,0)),"")))</f>
        <v>無關新聞事件</v>
      </c>
      <c r="U438" s="9">
        <f>IF(R438="維持",K438,IF(R438="排除",0,IFERROR(INDEX(事件規則!$C$2:$C$53,MATCH(S438,事件規則!$A$2:$A$53,0)),"")))</f>
        <v>0</v>
      </c>
      <c r="V438" s="19"/>
      <c r="W438" s="20"/>
      <c r="X438" s="10" t="str">
        <f t="shared" si="6"/>
        <v/>
      </c>
      <c r="Y438" s="19"/>
      <c r="Z438" s="20"/>
      <c r="AA438" s="12" t="s">
        <v>1913</v>
      </c>
      <c r="AB438" s="23"/>
    </row>
    <row r="439" spans="1:28" ht="25.5">
      <c r="A439" s="15">
        <v>438</v>
      </c>
      <c r="B439" s="9" t="s">
        <v>100</v>
      </c>
      <c r="C439" s="15"/>
      <c r="D439" s="10" t="s">
        <v>1683</v>
      </c>
      <c r="E439" s="21" t="s">
        <v>1914</v>
      </c>
      <c r="F439" s="10" t="s">
        <v>1915</v>
      </c>
      <c r="G439" s="12" t="s">
        <v>1916</v>
      </c>
      <c r="H439" s="13">
        <v>4.2999999999999997E-2</v>
      </c>
      <c r="I439" s="14" t="s">
        <v>1797</v>
      </c>
      <c r="J439" s="22" t="s">
        <v>1798</v>
      </c>
      <c r="K439" s="9">
        <v>1</v>
      </c>
      <c r="L439" s="15" t="s">
        <v>1479</v>
      </c>
      <c r="M439" s="16" t="s">
        <v>74</v>
      </c>
      <c r="N439" s="14"/>
      <c r="O439" s="15" t="s">
        <v>65</v>
      </c>
      <c r="P439" s="22" t="s">
        <v>1765</v>
      </c>
      <c r="Q439" s="15"/>
      <c r="R439" s="17" t="s">
        <v>74</v>
      </c>
      <c r="S439" s="18"/>
      <c r="T439" s="22" t="str">
        <f>IF(R439="維持",J439,IF(R439="排除","無關新聞事件",IFERROR(INDEX(事件規則!$B$2:$B$53,MATCH(S439,事件規則!$A$2:$A$53,0)),"")))</f>
        <v>無關新聞事件</v>
      </c>
      <c r="U439" s="9">
        <f>IF(R439="維持",K439,IF(R439="排除",0,IFERROR(INDEX(事件規則!$C$2:$C$53,MATCH(S439,事件規則!$A$2:$A$53,0)),"")))</f>
        <v>0</v>
      </c>
      <c r="V439" s="19"/>
      <c r="W439" s="20"/>
      <c r="X439" s="10" t="str">
        <f t="shared" si="6"/>
        <v/>
      </c>
      <c r="Y439" s="19"/>
      <c r="Z439" s="20"/>
      <c r="AA439" s="12" t="s">
        <v>1917</v>
      </c>
      <c r="AB439" s="23"/>
    </row>
    <row r="440" spans="1:28" ht="25.5">
      <c r="A440" s="15">
        <v>439</v>
      </c>
      <c r="B440" s="9" t="s">
        <v>100</v>
      </c>
      <c r="C440" s="15"/>
      <c r="D440" s="10" t="s">
        <v>1683</v>
      </c>
      <c r="E440" s="21" t="s">
        <v>1918</v>
      </c>
      <c r="F440" s="10" t="s">
        <v>1919</v>
      </c>
      <c r="G440" s="12" t="s">
        <v>1916</v>
      </c>
      <c r="H440" s="13">
        <v>3.4000000000000002E-2</v>
      </c>
      <c r="I440" s="14" t="s">
        <v>1797</v>
      </c>
      <c r="J440" s="22" t="s">
        <v>1798</v>
      </c>
      <c r="K440" s="9">
        <v>1</v>
      </c>
      <c r="L440" s="15" t="s">
        <v>1479</v>
      </c>
      <c r="M440" s="16" t="s">
        <v>74</v>
      </c>
      <c r="N440" s="14"/>
      <c r="O440" s="15" t="s">
        <v>65</v>
      </c>
      <c r="P440" s="22" t="s">
        <v>1765</v>
      </c>
      <c r="Q440" s="15"/>
      <c r="R440" s="17" t="s">
        <v>74</v>
      </c>
      <c r="S440" s="18"/>
      <c r="T440" s="22" t="str">
        <f>IF(R440="維持",J440,IF(R440="排除","無關新聞事件",IFERROR(INDEX(事件規則!$B$2:$B$53,MATCH(S440,事件規則!$A$2:$A$53,0)),"")))</f>
        <v>無關新聞事件</v>
      </c>
      <c r="U440" s="9">
        <f>IF(R440="維持",K440,IF(R440="排除",0,IFERROR(INDEX(事件規則!$C$2:$C$53,MATCH(S440,事件規則!$A$2:$A$53,0)),"")))</f>
        <v>0</v>
      </c>
      <c r="V440" s="19"/>
      <c r="W440" s="20"/>
      <c r="X440" s="10" t="str">
        <f t="shared" si="6"/>
        <v/>
      </c>
      <c r="Y440" s="19"/>
      <c r="Z440" s="20"/>
      <c r="AA440" s="12" t="s">
        <v>1920</v>
      </c>
      <c r="AB440" s="23"/>
    </row>
    <row r="441" spans="1:28" ht="25.5">
      <c r="A441" s="15">
        <v>440</v>
      </c>
      <c r="B441" s="9" t="s">
        <v>100</v>
      </c>
      <c r="C441" s="15"/>
      <c r="D441" s="10" t="s">
        <v>1675</v>
      </c>
      <c r="E441" s="21" t="s">
        <v>1921</v>
      </c>
      <c r="F441" s="22" t="s">
        <v>1922</v>
      </c>
      <c r="G441" s="12" t="s">
        <v>1923</v>
      </c>
      <c r="H441" s="13">
        <v>0.23400000000000001</v>
      </c>
      <c r="I441" s="14" t="s">
        <v>1797</v>
      </c>
      <c r="J441" s="22" t="s">
        <v>1798</v>
      </c>
      <c r="K441" s="9">
        <v>1</v>
      </c>
      <c r="L441" s="15" t="s">
        <v>1479</v>
      </c>
      <c r="M441" s="16" t="s">
        <v>74</v>
      </c>
      <c r="N441" s="14"/>
      <c r="O441" s="15" t="s">
        <v>65</v>
      </c>
      <c r="P441" s="22" t="s">
        <v>1765</v>
      </c>
      <c r="Q441" s="15"/>
      <c r="R441" s="17" t="s">
        <v>74</v>
      </c>
      <c r="S441" s="18"/>
      <c r="T441" s="22" t="str">
        <f>IF(R441="維持",J441,IF(R441="排除","無關新聞事件",IFERROR(INDEX(事件規則!$B$2:$B$53,MATCH(S441,事件規則!$A$2:$A$53,0)),"")))</f>
        <v>無關新聞事件</v>
      </c>
      <c r="U441" s="9">
        <f>IF(R441="維持",K441,IF(R441="排除",0,IFERROR(INDEX(事件規則!$C$2:$C$53,MATCH(S441,事件規則!$A$2:$A$53,0)),"")))</f>
        <v>0</v>
      </c>
      <c r="V441" s="19"/>
      <c r="W441" s="20"/>
      <c r="X441" s="10" t="str">
        <f t="shared" si="6"/>
        <v/>
      </c>
      <c r="Y441" s="19"/>
      <c r="Z441" s="20"/>
      <c r="AA441" s="12" t="s">
        <v>1924</v>
      </c>
      <c r="AB441" s="23"/>
    </row>
    <row r="442" spans="1:28" ht="38.25">
      <c r="A442" s="15">
        <v>441</v>
      </c>
      <c r="B442" s="9" t="s">
        <v>100</v>
      </c>
      <c r="C442" s="15"/>
      <c r="D442" s="10" t="s">
        <v>1657</v>
      </c>
      <c r="E442" s="21" t="s">
        <v>1925</v>
      </c>
      <c r="F442" s="22" t="s">
        <v>1926</v>
      </c>
      <c r="G442" s="12" t="s">
        <v>1927</v>
      </c>
      <c r="H442" s="13">
        <v>-3.6999999999999998E-2</v>
      </c>
      <c r="I442" s="14" t="s">
        <v>1797</v>
      </c>
      <c r="J442" s="22" t="s">
        <v>1798</v>
      </c>
      <c r="K442" s="9">
        <v>1</v>
      </c>
      <c r="L442" s="15" t="s">
        <v>1479</v>
      </c>
      <c r="M442" s="16" t="s">
        <v>74</v>
      </c>
      <c r="N442" s="14"/>
      <c r="O442" s="15" t="s">
        <v>65</v>
      </c>
      <c r="P442" s="22" t="s">
        <v>1765</v>
      </c>
      <c r="Q442" s="15"/>
      <c r="R442" s="17" t="s">
        <v>74</v>
      </c>
      <c r="S442" s="18"/>
      <c r="T442" s="22" t="str">
        <f>IF(R442="維持",J442,IF(R442="排除","無關新聞事件",IFERROR(INDEX(事件規則!$B$2:$B$53,MATCH(S442,事件規則!$A$2:$A$53,0)),"")))</f>
        <v>無關新聞事件</v>
      </c>
      <c r="U442" s="9">
        <f>IF(R442="維持",K442,IF(R442="排除",0,IFERROR(INDEX(事件規則!$C$2:$C$53,MATCH(S442,事件規則!$A$2:$A$53,0)),"")))</f>
        <v>0</v>
      </c>
      <c r="V442" s="19"/>
      <c r="W442" s="20"/>
      <c r="X442" s="10" t="str">
        <f t="shared" si="6"/>
        <v/>
      </c>
      <c r="Y442" s="19"/>
      <c r="Z442" s="20"/>
      <c r="AA442" s="12" t="s">
        <v>1928</v>
      </c>
      <c r="AB442" s="23"/>
    </row>
    <row r="443" spans="1:28" ht="25.5">
      <c r="A443" s="15">
        <v>442</v>
      </c>
      <c r="B443" s="9" t="s">
        <v>159</v>
      </c>
      <c r="C443" s="15"/>
      <c r="D443" s="10" t="s">
        <v>1753</v>
      </c>
      <c r="E443" s="21" t="s">
        <v>1929</v>
      </c>
      <c r="F443" s="22" t="s">
        <v>1930</v>
      </c>
      <c r="G443" s="12" t="s">
        <v>1931</v>
      </c>
      <c r="H443" s="13">
        <v>-0.81799999999999995</v>
      </c>
      <c r="I443" s="14" t="s">
        <v>1797</v>
      </c>
      <c r="J443" s="22" t="s">
        <v>1798</v>
      </c>
      <c r="K443" s="9">
        <v>1</v>
      </c>
      <c r="L443" s="15" t="s">
        <v>1479</v>
      </c>
      <c r="M443" s="16" t="s">
        <v>74</v>
      </c>
      <c r="N443" s="14"/>
      <c r="O443" s="15" t="s">
        <v>65</v>
      </c>
      <c r="P443" s="22" t="s">
        <v>1765</v>
      </c>
      <c r="Q443" s="15"/>
      <c r="R443" s="17" t="s">
        <v>74</v>
      </c>
      <c r="S443" s="18"/>
      <c r="T443" s="22" t="str">
        <f>IF(R443="維持",J443,IF(R443="排除","無關新聞事件",IFERROR(INDEX(事件規則!$B$2:$B$53,MATCH(S443,事件規則!$A$2:$A$53,0)),"")))</f>
        <v>無關新聞事件</v>
      </c>
      <c r="U443" s="9">
        <f>IF(R443="維持",K443,IF(R443="排除",0,IFERROR(INDEX(事件規則!$C$2:$C$53,MATCH(S443,事件規則!$A$2:$A$53,0)),"")))</f>
        <v>0</v>
      </c>
      <c r="V443" s="19"/>
      <c r="W443" s="20"/>
      <c r="X443" s="10" t="str">
        <f t="shared" si="6"/>
        <v/>
      </c>
      <c r="Y443" s="19"/>
      <c r="Z443" s="20"/>
      <c r="AA443" s="12" t="s">
        <v>1932</v>
      </c>
      <c r="AB443" s="23"/>
    </row>
    <row r="444" spans="1:28" ht="38.25">
      <c r="A444" s="15">
        <v>443</v>
      </c>
      <c r="B444" s="9" t="s">
        <v>159</v>
      </c>
      <c r="C444" s="15"/>
      <c r="D444" s="10" t="s">
        <v>1889</v>
      </c>
      <c r="E444" s="21" t="s">
        <v>1933</v>
      </c>
      <c r="F444" s="22" t="s">
        <v>1934</v>
      </c>
      <c r="G444" s="12" t="s">
        <v>1346</v>
      </c>
      <c r="H444" s="13">
        <v>-0.67800000000000005</v>
      </c>
      <c r="I444" s="14" t="s">
        <v>1797</v>
      </c>
      <c r="J444" s="22" t="s">
        <v>1798</v>
      </c>
      <c r="K444" s="9">
        <v>1</v>
      </c>
      <c r="L444" s="15" t="s">
        <v>1479</v>
      </c>
      <c r="M444" s="16" t="s">
        <v>74</v>
      </c>
      <c r="N444" s="14"/>
      <c r="O444" s="15" t="s">
        <v>65</v>
      </c>
      <c r="P444" s="22" t="s">
        <v>1765</v>
      </c>
      <c r="Q444" s="15"/>
      <c r="R444" s="17" t="s">
        <v>74</v>
      </c>
      <c r="S444" s="18"/>
      <c r="T444" s="22" t="str">
        <f>IF(R444="維持",J444,IF(R444="排除","無關新聞事件",IFERROR(INDEX(事件規則!$B$2:$B$53,MATCH(S444,事件規則!$A$2:$A$53,0)),"")))</f>
        <v>無關新聞事件</v>
      </c>
      <c r="U444" s="9">
        <f>IF(R444="維持",K444,IF(R444="排除",0,IFERROR(INDEX(事件規則!$C$2:$C$53,MATCH(S444,事件規則!$A$2:$A$53,0)),"")))</f>
        <v>0</v>
      </c>
      <c r="V444" s="19"/>
      <c r="W444" s="20"/>
      <c r="X444" s="10" t="str">
        <f t="shared" si="6"/>
        <v/>
      </c>
      <c r="Y444" s="19"/>
      <c r="Z444" s="20"/>
      <c r="AA444" s="12" t="s">
        <v>1935</v>
      </c>
      <c r="AB444" s="23"/>
    </row>
    <row r="445" spans="1:28" ht="25.5">
      <c r="A445" s="15">
        <v>444</v>
      </c>
      <c r="B445" s="9" t="s">
        <v>159</v>
      </c>
      <c r="C445" s="15"/>
      <c r="D445" s="10" t="s">
        <v>1889</v>
      </c>
      <c r="E445" s="21" t="s">
        <v>1936</v>
      </c>
      <c r="F445" s="22" t="s">
        <v>1937</v>
      </c>
      <c r="G445" s="12" t="s">
        <v>1938</v>
      </c>
      <c r="H445" s="13">
        <v>-0.92500000000000004</v>
      </c>
      <c r="I445" s="14" t="s">
        <v>1797</v>
      </c>
      <c r="J445" s="22" t="s">
        <v>1798</v>
      </c>
      <c r="K445" s="9">
        <v>1</v>
      </c>
      <c r="L445" s="15" t="s">
        <v>1479</v>
      </c>
      <c r="M445" s="16" t="s">
        <v>74</v>
      </c>
      <c r="N445" s="14"/>
      <c r="O445" s="15" t="s">
        <v>65</v>
      </c>
      <c r="P445" s="22" t="s">
        <v>1765</v>
      </c>
      <c r="Q445" s="15"/>
      <c r="R445" s="17" t="s">
        <v>74</v>
      </c>
      <c r="S445" s="18"/>
      <c r="T445" s="22" t="str">
        <f>IF(R445="維持",J445,IF(R445="排除","無關新聞事件",IFERROR(INDEX(事件規則!$B$2:$B$53,MATCH(S445,事件規則!$A$2:$A$53,0)),"")))</f>
        <v>無關新聞事件</v>
      </c>
      <c r="U445" s="9">
        <f>IF(R445="維持",K445,IF(R445="排除",0,IFERROR(INDEX(事件規則!$C$2:$C$53,MATCH(S445,事件規則!$A$2:$A$53,0)),"")))</f>
        <v>0</v>
      </c>
      <c r="V445" s="19"/>
      <c r="W445" s="20"/>
      <c r="X445" s="10" t="str">
        <f t="shared" si="6"/>
        <v/>
      </c>
      <c r="Y445" s="19"/>
      <c r="Z445" s="20"/>
      <c r="AA445" s="12" t="s">
        <v>1939</v>
      </c>
      <c r="AB445" s="23"/>
    </row>
    <row r="446" spans="1:28" ht="25.5">
      <c r="A446" s="15">
        <v>445</v>
      </c>
      <c r="B446" s="9" t="s">
        <v>167</v>
      </c>
      <c r="C446" s="15"/>
      <c r="D446" s="10" t="s">
        <v>1940</v>
      </c>
      <c r="E446" s="21" t="s">
        <v>1941</v>
      </c>
      <c r="F446" s="22" t="s">
        <v>1942</v>
      </c>
      <c r="G446" s="12" t="s">
        <v>1943</v>
      </c>
      <c r="H446" s="13">
        <v>-0.13100000000000001</v>
      </c>
      <c r="I446" s="14" t="s">
        <v>1797</v>
      </c>
      <c r="J446" s="22" t="s">
        <v>1798</v>
      </c>
      <c r="K446" s="9">
        <v>1</v>
      </c>
      <c r="L446" s="15" t="s">
        <v>1479</v>
      </c>
      <c r="M446" s="16" t="s">
        <v>74</v>
      </c>
      <c r="N446" s="14"/>
      <c r="O446" s="15" t="s">
        <v>65</v>
      </c>
      <c r="P446" s="22" t="s">
        <v>1765</v>
      </c>
      <c r="Q446" s="15"/>
      <c r="R446" s="17" t="s">
        <v>74</v>
      </c>
      <c r="S446" s="18"/>
      <c r="T446" s="22" t="str">
        <f>IF(R446="維持",J446,IF(R446="排除","無關新聞事件",IFERROR(INDEX(事件規則!$B$2:$B$53,MATCH(S446,事件規則!$A$2:$A$53,0)),"")))</f>
        <v>無關新聞事件</v>
      </c>
      <c r="U446" s="9">
        <f>IF(R446="維持",K446,IF(R446="排除",0,IFERROR(INDEX(事件規則!$C$2:$C$53,MATCH(S446,事件規則!$A$2:$A$53,0)),"")))</f>
        <v>0</v>
      </c>
      <c r="V446" s="19"/>
      <c r="W446" s="20"/>
      <c r="X446" s="10" t="str">
        <f t="shared" si="6"/>
        <v/>
      </c>
      <c r="Y446" s="19"/>
      <c r="Z446" s="20"/>
      <c r="AA446" s="12" t="s">
        <v>1944</v>
      </c>
      <c r="AB446" s="23"/>
    </row>
    <row r="447" spans="1:28" ht="25.5">
      <c r="A447" s="15">
        <v>446</v>
      </c>
      <c r="B447" s="9" t="s">
        <v>167</v>
      </c>
      <c r="C447" s="15"/>
      <c r="D447" s="10" t="s">
        <v>1945</v>
      </c>
      <c r="E447" s="21" t="s">
        <v>1946</v>
      </c>
      <c r="F447" s="22" t="s">
        <v>1947</v>
      </c>
      <c r="G447" s="12" t="s">
        <v>1948</v>
      </c>
      <c r="H447" s="13">
        <v>-0.126</v>
      </c>
      <c r="I447" s="14" t="s">
        <v>1797</v>
      </c>
      <c r="J447" s="22" t="s">
        <v>1798</v>
      </c>
      <c r="K447" s="9">
        <v>1</v>
      </c>
      <c r="L447" s="15" t="s">
        <v>1479</v>
      </c>
      <c r="M447" s="16" t="s">
        <v>74</v>
      </c>
      <c r="N447" s="14"/>
      <c r="O447" s="15" t="s">
        <v>65</v>
      </c>
      <c r="P447" s="22" t="s">
        <v>1765</v>
      </c>
      <c r="Q447" s="15"/>
      <c r="R447" s="17" t="s">
        <v>74</v>
      </c>
      <c r="S447" s="18"/>
      <c r="T447" s="22" t="str">
        <f>IF(R447="維持",J447,IF(R447="排除","無關新聞事件",IFERROR(INDEX(事件規則!$B$2:$B$53,MATCH(S447,事件規則!$A$2:$A$53,0)),"")))</f>
        <v>無關新聞事件</v>
      </c>
      <c r="U447" s="9">
        <f>IF(R447="維持",K447,IF(R447="排除",0,IFERROR(INDEX(事件規則!$C$2:$C$53,MATCH(S447,事件規則!$A$2:$A$53,0)),"")))</f>
        <v>0</v>
      </c>
      <c r="V447" s="19"/>
      <c r="W447" s="20"/>
      <c r="X447" s="10" t="str">
        <f t="shared" si="6"/>
        <v/>
      </c>
      <c r="Y447" s="19"/>
      <c r="Z447" s="20"/>
      <c r="AA447" s="12" t="s">
        <v>1949</v>
      </c>
      <c r="AB447" s="23"/>
    </row>
    <row r="448" spans="1:28" ht="25.5">
      <c r="A448" s="15">
        <v>447</v>
      </c>
      <c r="B448" s="9" t="s">
        <v>167</v>
      </c>
      <c r="C448" s="15"/>
      <c r="D448" s="10" t="s">
        <v>1669</v>
      </c>
      <c r="E448" s="21" t="s">
        <v>1950</v>
      </c>
      <c r="F448" s="22" t="s">
        <v>1951</v>
      </c>
      <c r="G448" s="12" t="s">
        <v>1503</v>
      </c>
      <c r="H448" s="13">
        <v>5.2999999999999999E-2</v>
      </c>
      <c r="I448" s="14" t="s">
        <v>1797</v>
      </c>
      <c r="J448" s="22" t="s">
        <v>1798</v>
      </c>
      <c r="K448" s="9">
        <v>1</v>
      </c>
      <c r="L448" s="15" t="s">
        <v>1479</v>
      </c>
      <c r="M448" s="16" t="s">
        <v>74</v>
      </c>
      <c r="N448" s="14"/>
      <c r="O448" s="15" t="s">
        <v>65</v>
      </c>
      <c r="P448" s="22" t="s">
        <v>1765</v>
      </c>
      <c r="Q448" s="15"/>
      <c r="R448" s="17" t="s">
        <v>74</v>
      </c>
      <c r="S448" s="18"/>
      <c r="T448" s="22" t="str">
        <f>IF(R448="維持",J448,IF(R448="排除","無關新聞事件",IFERROR(INDEX(事件規則!$B$2:$B$53,MATCH(S448,事件規則!$A$2:$A$53,0)),"")))</f>
        <v>無關新聞事件</v>
      </c>
      <c r="U448" s="9">
        <f>IF(R448="維持",K448,IF(R448="排除",0,IFERROR(INDEX(事件規則!$C$2:$C$53,MATCH(S448,事件規則!$A$2:$A$53,0)),"")))</f>
        <v>0</v>
      </c>
      <c r="V448" s="19"/>
      <c r="W448" s="20"/>
      <c r="X448" s="10" t="str">
        <f t="shared" si="6"/>
        <v/>
      </c>
      <c r="Y448" s="19"/>
      <c r="Z448" s="20"/>
      <c r="AA448" s="12" t="s">
        <v>1952</v>
      </c>
      <c r="AB448" s="23"/>
    </row>
    <row r="449" spans="1:28" ht="25.5">
      <c r="A449" s="15">
        <v>448</v>
      </c>
      <c r="B449" s="9" t="s">
        <v>167</v>
      </c>
      <c r="C449" s="15"/>
      <c r="D449" s="10" t="s">
        <v>1953</v>
      </c>
      <c r="E449" s="21" t="s">
        <v>1954</v>
      </c>
      <c r="F449" s="10" t="s">
        <v>1955</v>
      </c>
      <c r="G449" s="12" t="s">
        <v>1956</v>
      </c>
      <c r="H449" s="13">
        <v>-0.67100000000000004</v>
      </c>
      <c r="I449" s="14" t="s">
        <v>1797</v>
      </c>
      <c r="J449" s="22" t="s">
        <v>1798</v>
      </c>
      <c r="K449" s="9">
        <v>1</v>
      </c>
      <c r="L449" s="15" t="s">
        <v>1479</v>
      </c>
      <c r="M449" s="16" t="s">
        <v>74</v>
      </c>
      <c r="N449" s="14"/>
      <c r="O449" s="15" t="s">
        <v>65</v>
      </c>
      <c r="P449" s="22" t="s">
        <v>1765</v>
      </c>
      <c r="Q449" s="15"/>
      <c r="R449" s="17" t="s">
        <v>74</v>
      </c>
      <c r="S449" s="18"/>
      <c r="T449" s="22" t="str">
        <f>IF(R449="維持",J449,IF(R449="排除","無關新聞事件",IFERROR(INDEX(事件規則!$B$2:$B$53,MATCH(S449,事件規則!$A$2:$A$53,0)),"")))</f>
        <v>無關新聞事件</v>
      </c>
      <c r="U449" s="9">
        <f>IF(R449="維持",K449,IF(R449="排除",0,IFERROR(INDEX(事件規則!$C$2:$C$53,MATCH(S449,事件規則!$A$2:$A$53,0)),"")))</f>
        <v>0</v>
      </c>
      <c r="V449" s="19"/>
      <c r="W449" s="20"/>
      <c r="X449" s="10" t="str">
        <f t="shared" si="6"/>
        <v/>
      </c>
      <c r="Y449" s="19"/>
      <c r="Z449" s="20"/>
      <c r="AA449" s="12" t="s">
        <v>1957</v>
      </c>
      <c r="AB449" s="23"/>
    </row>
    <row r="450" spans="1:28" ht="38.25">
      <c r="A450" s="15">
        <v>449</v>
      </c>
      <c r="B450" s="9" t="s">
        <v>187</v>
      </c>
      <c r="C450" s="15"/>
      <c r="D450" s="10" t="s">
        <v>1958</v>
      </c>
      <c r="E450" s="21" t="s">
        <v>1959</v>
      </c>
      <c r="F450" s="22" t="s">
        <v>1960</v>
      </c>
      <c r="G450" s="12" t="s">
        <v>1961</v>
      </c>
      <c r="H450" s="13">
        <v>0.6</v>
      </c>
      <c r="I450" s="14" t="s">
        <v>1797</v>
      </c>
      <c r="J450" s="22" t="s">
        <v>1798</v>
      </c>
      <c r="K450" s="9">
        <v>1</v>
      </c>
      <c r="L450" s="15" t="s">
        <v>1479</v>
      </c>
      <c r="M450" s="16" t="s">
        <v>74</v>
      </c>
      <c r="N450" s="14"/>
      <c r="O450" s="15" t="s">
        <v>65</v>
      </c>
      <c r="P450" s="22" t="s">
        <v>1765</v>
      </c>
      <c r="Q450" s="15"/>
      <c r="R450" s="17" t="s">
        <v>74</v>
      </c>
      <c r="S450" s="18"/>
      <c r="T450" s="22" t="str">
        <f>IF(R450="維持",J450,IF(R450="排除","無關新聞事件",IFERROR(INDEX(事件規則!$B$2:$B$53,MATCH(S450,事件規則!$A$2:$A$53,0)),"")))</f>
        <v>無關新聞事件</v>
      </c>
      <c r="U450" s="9">
        <f>IF(R450="維持",K450,IF(R450="排除",0,IFERROR(INDEX(事件規則!$C$2:$C$53,MATCH(S450,事件規則!$A$2:$A$53,0)),"")))</f>
        <v>0</v>
      </c>
      <c r="V450" s="19"/>
      <c r="W450" s="20"/>
      <c r="X450" s="10" t="str">
        <f t="shared" ref="X450:X513" si="7">IF(AND(R450="修改",S450=""),"請選新事件代碼",IF(AND(R450&lt;&gt;"修改",S450&lt;&gt;""),"只有「修改」才需填代碼",""))</f>
        <v/>
      </c>
      <c r="Y450" s="19"/>
      <c r="Z450" s="20"/>
      <c r="AA450" s="12" t="s">
        <v>1962</v>
      </c>
      <c r="AB450" s="23"/>
    </row>
    <row r="451" spans="1:28" ht="25.5">
      <c r="A451" s="15">
        <v>450</v>
      </c>
      <c r="B451" s="9" t="s">
        <v>187</v>
      </c>
      <c r="C451" s="15"/>
      <c r="D451" s="10" t="s">
        <v>1945</v>
      </c>
      <c r="E451" s="21" t="s">
        <v>1963</v>
      </c>
      <c r="F451" s="22" t="s">
        <v>1964</v>
      </c>
      <c r="G451" s="12" t="s">
        <v>1965</v>
      </c>
      <c r="H451" s="13">
        <v>2.3E-2</v>
      </c>
      <c r="I451" s="14" t="s">
        <v>1797</v>
      </c>
      <c r="J451" s="22" t="s">
        <v>1798</v>
      </c>
      <c r="K451" s="9">
        <v>1</v>
      </c>
      <c r="L451" s="15" t="s">
        <v>1479</v>
      </c>
      <c r="M451" s="16" t="s">
        <v>74</v>
      </c>
      <c r="N451" s="14"/>
      <c r="O451" s="15" t="s">
        <v>65</v>
      </c>
      <c r="P451" s="22" t="s">
        <v>1765</v>
      </c>
      <c r="Q451" s="15"/>
      <c r="R451" s="17" t="s">
        <v>74</v>
      </c>
      <c r="S451" s="18"/>
      <c r="T451" s="22" t="str">
        <f>IF(R451="維持",J451,IF(R451="排除","無關新聞事件",IFERROR(INDEX(事件規則!$B$2:$B$53,MATCH(S451,事件規則!$A$2:$A$53,0)),"")))</f>
        <v>無關新聞事件</v>
      </c>
      <c r="U451" s="9">
        <f>IF(R451="維持",K451,IF(R451="排除",0,IFERROR(INDEX(事件規則!$C$2:$C$53,MATCH(S451,事件規則!$A$2:$A$53,0)),"")))</f>
        <v>0</v>
      </c>
      <c r="V451" s="19"/>
      <c r="W451" s="20"/>
      <c r="X451" s="10" t="str">
        <f t="shared" si="7"/>
        <v/>
      </c>
      <c r="Y451" s="19"/>
      <c r="Z451" s="20"/>
      <c r="AA451" s="12" t="s">
        <v>1966</v>
      </c>
      <c r="AB451" s="23"/>
    </row>
    <row r="452" spans="1:28" ht="25.5">
      <c r="A452" s="15">
        <v>451</v>
      </c>
      <c r="B452" s="9" t="s">
        <v>187</v>
      </c>
      <c r="C452" s="15"/>
      <c r="D452" s="10" t="s">
        <v>1889</v>
      </c>
      <c r="E452" s="21" t="s">
        <v>1967</v>
      </c>
      <c r="F452" s="22" t="s">
        <v>1968</v>
      </c>
      <c r="G452" s="12" t="s">
        <v>1969</v>
      </c>
      <c r="H452" s="13">
        <v>-0.84399999999999997</v>
      </c>
      <c r="I452" s="14" t="s">
        <v>1797</v>
      </c>
      <c r="J452" s="22" t="s">
        <v>1798</v>
      </c>
      <c r="K452" s="9">
        <v>1</v>
      </c>
      <c r="L452" s="15" t="s">
        <v>1479</v>
      </c>
      <c r="M452" s="16" t="s">
        <v>74</v>
      </c>
      <c r="N452" s="14"/>
      <c r="O452" s="15" t="s">
        <v>65</v>
      </c>
      <c r="P452" s="22" t="s">
        <v>1765</v>
      </c>
      <c r="Q452" s="15"/>
      <c r="R452" s="17" t="s">
        <v>74</v>
      </c>
      <c r="S452" s="18"/>
      <c r="T452" s="22" t="str">
        <f>IF(R452="維持",J452,IF(R452="排除","無關新聞事件",IFERROR(INDEX(事件規則!$B$2:$B$53,MATCH(S452,事件規則!$A$2:$A$53,0)),"")))</f>
        <v>無關新聞事件</v>
      </c>
      <c r="U452" s="9">
        <f>IF(R452="維持",K452,IF(R452="排除",0,IFERROR(INDEX(事件規則!$C$2:$C$53,MATCH(S452,事件規則!$A$2:$A$53,0)),"")))</f>
        <v>0</v>
      </c>
      <c r="V452" s="19"/>
      <c r="W452" s="20"/>
      <c r="X452" s="10" t="str">
        <f t="shared" si="7"/>
        <v/>
      </c>
      <c r="Y452" s="19"/>
      <c r="Z452" s="20"/>
      <c r="AA452" s="12" t="s">
        <v>1970</v>
      </c>
      <c r="AB452" s="23"/>
    </row>
    <row r="453" spans="1:28" ht="25.5">
      <c r="A453" s="15">
        <v>452</v>
      </c>
      <c r="B453" s="9" t="s">
        <v>187</v>
      </c>
      <c r="C453" s="15"/>
      <c r="D453" s="10" t="s">
        <v>1971</v>
      </c>
      <c r="E453" s="21" t="s">
        <v>1972</v>
      </c>
      <c r="F453" s="22" t="s">
        <v>1973</v>
      </c>
      <c r="G453" s="12" t="s">
        <v>1974</v>
      </c>
      <c r="H453" s="13">
        <v>0.77200000000000002</v>
      </c>
      <c r="I453" s="14" t="s">
        <v>1797</v>
      </c>
      <c r="J453" s="22" t="s">
        <v>1798</v>
      </c>
      <c r="K453" s="9">
        <v>1</v>
      </c>
      <c r="L453" s="15" t="s">
        <v>1479</v>
      </c>
      <c r="M453" s="16" t="s">
        <v>74</v>
      </c>
      <c r="N453" s="14"/>
      <c r="O453" s="15" t="s">
        <v>65</v>
      </c>
      <c r="P453" s="22" t="s">
        <v>1765</v>
      </c>
      <c r="Q453" s="15"/>
      <c r="R453" s="17" t="s">
        <v>74</v>
      </c>
      <c r="S453" s="18"/>
      <c r="T453" s="22" t="str">
        <f>IF(R453="維持",J453,IF(R453="排除","無關新聞事件",IFERROR(INDEX(事件規則!$B$2:$B$53,MATCH(S453,事件規則!$A$2:$A$53,0)),"")))</f>
        <v>無關新聞事件</v>
      </c>
      <c r="U453" s="9">
        <f>IF(R453="維持",K453,IF(R453="排除",0,IFERROR(INDEX(事件規則!$C$2:$C$53,MATCH(S453,事件規則!$A$2:$A$53,0)),"")))</f>
        <v>0</v>
      </c>
      <c r="V453" s="19"/>
      <c r="W453" s="20"/>
      <c r="X453" s="10" t="str">
        <f t="shared" si="7"/>
        <v/>
      </c>
      <c r="Y453" s="19"/>
      <c r="Z453" s="20"/>
      <c r="AA453" s="12" t="s">
        <v>1975</v>
      </c>
      <c r="AB453" s="23"/>
    </row>
    <row r="454" spans="1:28" ht="38.25">
      <c r="A454" s="15">
        <v>453</v>
      </c>
      <c r="B454" s="9" t="s">
        <v>187</v>
      </c>
      <c r="C454" s="15"/>
      <c r="D454" s="10" t="s">
        <v>1500</v>
      </c>
      <c r="E454" s="21" t="s">
        <v>1976</v>
      </c>
      <c r="F454" s="10" t="s">
        <v>1977</v>
      </c>
      <c r="G454" s="12" t="s">
        <v>1978</v>
      </c>
      <c r="H454" s="13">
        <v>-0.42099999999999999</v>
      </c>
      <c r="I454" s="14" t="s">
        <v>1797</v>
      </c>
      <c r="J454" s="22" t="s">
        <v>1798</v>
      </c>
      <c r="K454" s="9">
        <v>1</v>
      </c>
      <c r="L454" s="15" t="s">
        <v>1479</v>
      </c>
      <c r="M454" s="16" t="s">
        <v>74</v>
      </c>
      <c r="N454" s="14"/>
      <c r="O454" s="15" t="s">
        <v>65</v>
      </c>
      <c r="P454" s="22" t="s">
        <v>1765</v>
      </c>
      <c r="Q454" s="15"/>
      <c r="R454" s="17" t="s">
        <v>74</v>
      </c>
      <c r="S454" s="18"/>
      <c r="T454" s="22" t="str">
        <f>IF(R454="維持",J454,IF(R454="排除","無關新聞事件",IFERROR(INDEX(事件規則!$B$2:$B$53,MATCH(S454,事件規則!$A$2:$A$53,0)),"")))</f>
        <v>無關新聞事件</v>
      </c>
      <c r="U454" s="9">
        <f>IF(R454="維持",K454,IF(R454="排除",0,IFERROR(INDEX(事件規則!$C$2:$C$53,MATCH(S454,事件規則!$A$2:$A$53,0)),"")))</f>
        <v>0</v>
      </c>
      <c r="V454" s="19"/>
      <c r="W454" s="20"/>
      <c r="X454" s="10" t="str">
        <f t="shared" si="7"/>
        <v/>
      </c>
      <c r="Y454" s="19"/>
      <c r="Z454" s="20"/>
      <c r="AA454" s="12" t="s">
        <v>1979</v>
      </c>
      <c r="AB454" s="23"/>
    </row>
    <row r="455" spans="1:28" ht="38.25">
      <c r="A455" s="15">
        <v>454</v>
      </c>
      <c r="B455" s="9" t="s">
        <v>187</v>
      </c>
      <c r="C455" s="15"/>
      <c r="D455" s="10" t="s">
        <v>1657</v>
      </c>
      <c r="E455" s="21" t="s">
        <v>1980</v>
      </c>
      <c r="F455" s="22" t="s">
        <v>1981</v>
      </c>
      <c r="G455" s="12" t="s">
        <v>1982</v>
      </c>
      <c r="H455" s="13">
        <v>-0.91700000000000004</v>
      </c>
      <c r="I455" s="14" t="s">
        <v>1797</v>
      </c>
      <c r="J455" s="22" t="s">
        <v>1798</v>
      </c>
      <c r="K455" s="9">
        <v>1</v>
      </c>
      <c r="L455" s="15" t="s">
        <v>1479</v>
      </c>
      <c r="M455" s="16" t="s">
        <v>74</v>
      </c>
      <c r="N455" s="14"/>
      <c r="O455" s="15" t="s">
        <v>65</v>
      </c>
      <c r="P455" s="22" t="s">
        <v>1765</v>
      </c>
      <c r="Q455" s="15"/>
      <c r="R455" s="17" t="s">
        <v>74</v>
      </c>
      <c r="S455" s="18"/>
      <c r="T455" s="22" t="str">
        <f>IF(R455="維持",J455,IF(R455="排除","無關新聞事件",IFERROR(INDEX(事件規則!$B$2:$B$53,MATCH(S455,事件規則!$A$2:$A$53,0)),"")))</f>
        <v>無關新聞事件</v>
      </c>
      <c r="U455" s="9">
        <f>IF(R455="維持",K455,IF(R455="排除",0,IFERROR(INDEX(事件規則!$C$2:$C$53,MATCH(S455,事件規則!$A$2:$A$53,0)),"")))</f>
        <v>0</v>
      </c>
      <c r="V455" s="19"/>
      <c r="W455" s="20"/>
      <c r="X455" s="10" t="str">
        <f t="shared" si="7"/>
        <v/>
      </c>
      <c r="Y455" s="19"/>
      <c r="Z455" s="20"/>
      <c r="AA455" s="12" t="s">
        <v>1983</v>
      </c>
      <c r="AB455" s="23"/>
    </row>
    <row r="456" spans="1:28" ht="51">
      <c r="A456" s="15">
        <v>455</v>
      </c>
      <c r="B456" s="9" t="s">
        <v>187</v>
      </c>
      <c r="C456" s="15"/>
      <c r="D456" s="10" t="s">
        <v>1889</v>
      </c>
      <c r="E456" s="21" t="s">
        <v>1984</v>
      </c>
      <c r="F456" s="10" t="s">
        <v>1985</v>
      </c>
      <c r="G456" s="12" t="s">
        <v>1986</v>
      </c>
      <c r="H456" s="13">
        <v>-3.3000000000000002E-2</v>
      </c>
      <c r="I456" s="14" t="s">
        <v>1797</v>
      </c>
      <c r="J456" s="22" t="s">
        <v>1798</v>
      </c>
      <c r="K456" s="9">
        <v>1</v>
      </c>
      <c r="L456" s="15" t="s">
        <v>1479</v>
      </c>
      <c r="M456" s="16" t="s">
        <v>74</v>
      </c>
      <c r="N456" s="14"/>
      <c r="O456" s="15" t="s">
        <v>65</v>
      </c>
      <c r="P456" s="22" t="s">
        <v>1765</v>
      </c>
      <c r="Q456" s="15"/>
      <c r="R456" s="17" t="s">
        <v>74</v>
      </c>
      <c r="S456" s="18"/>
      <c r="T456" s="22" t="str">
        <f>IF(R456="維持",J456,IF(R456="排除","無關新聞事件",IFERROR(INDEX(事件規則!$B$2:$B$53,MATCH(S456,事件規則!$A$2:$A$53,0)),"")))</f>
        <v>無關新聞事件</v>
      </c>
      <c r="U456" s="9">
        <f>IF(R456="維持",K456,IF(R456="排除",0,IFERROR(INDEX(事件規則!$C$2:$C$53,MATCH(S456,事件規則!$A$2:$A$53,0)),"")))</f>
        <v>0</v>
      </c>
      <c r="V456" s="19"/>
      <c r="W456" s="20"/>
      <c r="X456" s="10" t="str">
        <f t="shared" si="7"/>
        <v/>
      </c>
      <c r="Y456" s="19"/>
      <c r="Z456" s="20"/>
      <c r="AA456" s="12" t="s">
        <v>1987</v>
      </c>
      <c r="AB456" s="23"/>
    </row>
    <row r="457" spans="1:28" ht="25.5">
      <c r="A457" s="15">
        <v>456</v>
      </c>
      <c r="B457" s="9" t="s">
        <v>187</v>
      </c>
      <c r="C457" s="15"/>
      <c r="D457" s="10" t="s">
        <v>1657</v>
      </c>
      <c r="E457" s="21" t="s">
        <v>1988</v>
      </c>
      <c r="F457" s="22" t="s">
        <v>1989</v>
      </c>
      <c r="G457" s="12" t="s">
        <v>1990</v>
      </c>
      <c r="H457" s="13">
        <v>0.47299999999999998</v>
      </c>
      <c r="I457" s="14" t="s">
        <v>1797</v>
      </c>
      <c r="J457" s="22" t="s">
        <v>1798</v>
      </c>
      <c r="K457" s="9">
        <v>1</v>
      </c>
      <c r="L457" s="15" t="s">
        <v>1479</v>
      </c>
      <c r="M457" s="16" t="s">
        <v>74</v>
      </c>
      <c r="N457" s="14"/>
      <c r="O457" s="15" t="s">
        <v>65</v>
      </c>
      <c r="P457" s="22" t="s">
        <v>1765</v>
      </c>
      <c r="Q457" s="15"/>
      <c r="R457" s="17" t="s">
        <v>74</v>
      </c>
      <c r="S457" s="18"/>
      <c r="T457" s="22" t="str">
        <f>IF(R457="維持",J457,IF(R457="排除","無關新聞事件",IFERROR(INDEX(事件規則!$B$2:$B$53,MATCH(S457,事件規則!$A$2:$A$53,0)),"")))</f>
        <v>無關新聞事件</v>
      </c>
      <c r="U457" s="9">
        <f>IF(R457="維持",K457,IF(R457="排除",0,IFERROR(INDEX(事件規則!$C$2:$C$53,MATCH(S457,事件規則!$A$2:$A$53,0)),"")))</f>
        <v>0</v>
      </c>
      <c r="V457" s="19"/>
      <c r="W457" s="20"/>
      <c r="X457" s="10" t="str">
        <f t="shared" si="7"/>
        <v/>
      </c>
      <c r="Y457" s="19"/>
      <c r="Z457" s="20"/>
      <c r="AA457" s="12" t="s">
        <v>1991</v>
      </c>
      <c r="AB457" s="23"/>
    </row>
    <row r="458" spans="1:28" ht="76.5">
      <c r="A458" s="15">
        <v>457</v>
      </c>
      <c r="B458" s="9" t="s">
        <v>195</v>
      </c>
      <c r="C458" s="15"/>
      <c r="D458" s="10" t="s">
        <v>1820</v>
      </c>
      <c r="E458" s="21" t="s">
        <v>1992</v>
      </c>
      <c r="F458" s="22" t="s">
        <v>1993</v>
      </c>
      <c r="G458" s="12" t="s">
        <v>1823</v>
      </c>
      <c r="H458" s="13">
        <v>-0.86099999999999999</v>
      </c>
      <c r="I458" s="14" t="s">
        <v>1797</v>
      </c>
      <c r="J458" s="22" t="s">
        <v>1798</v>
      </c>
      <c r="K458" s="9">
        <v>1</v>
      </c>
      <c r="L458" s="15" t="s">
        <v>1479</v>
      </c>
      <c r="M458" s="16" t="s">
        <v>74</v>
      </c>
      <c r="N458" s="14"/>
      <c r="O458" s="15" t="s">
        <v>65</v>
      </c>
      <c r="P458" s="22" t="s">
        <v>1765</v>
      </c>
      <c r="Q458" s="15"/>
      <c r="R458" s="17" t="s">
        <v>74</v>
      </c>
      <c r="S458" s="18"/>
      <c r="T458" s="22" t="str">
        <f>IF(R458="維持",J458,IF(R458="排除","無關新聞事件",IFERROR(INDEX(事件規則!$B$2:$B$53,MATCH(S458,事件規則!$A$2:$A$53,0)),"")))</f>
        <v>無關新聞事件</v>
      </c>
      <c r="U458" s="9">
        <f>IF(R458="維持",K458,IF(R458="排除",0,IFERROR(INDEX(事件規則!$C$2:$C$53,MATCH(S458,事件規則!$A$2:$A$53,0)),"")))</f>
        <v>0</v>
      </c>
      <c r="V458" s="19"/>
      <c r="W458" s="20"/>
      <c r="X458" s="10" t="str">
        <f t="shared" si="7"/>
        <v/>
      </c>
      <c r="Y458" s="19"/>
      <c r="Z458" s="20"/>
      <c r="AA458" s="12" t="s">
        <v>1994</v>
      </c>
      <c r="AB458" s="23"/>
    </row>
    <row r="459" spans="1:28" ht="25.5">
      <c r="A459" s="15">
        <v>458</v>
      </c>
      <c r="B459" s="9" t="s">
        <v>195</v>
      </c>
      <c r="C459" s="15"/>
      <c r="D459" s="10" t="s">
        <v>1753</v>
      </c>
      <c r="E459" s="21" t="s">
        <v>1995</v>
      </c>
      <c r="F459" s="22" t="s">
        <v>1996</v>
      </c>
      <c r="G459" s="12" t="s">
        <v>1997</v>
      </c>
      <c r="H459" s="13">
        <v>-0.95599999999999996</v>
      </c>
      <c r="I459" s="14" t="s">
        <v>1797</v>
      </c>
      <c r="J459" s="22" t="s">
        <v>1798</v>
      </c>
      <c r="K459" s="9">
        <v>1</v>
      </c>
      <c r="L459" s="15" t="s">
        <v>1479</v>
      </c>
      <c r="M459" s="16" t="s">
        <v>74</v>
      </c>
      <c r="N459" s="14"/>
      <c r="O459" s="15" t="s">
        <v>65</v>
      </c>
      <c r="P459" s="22" t="s">
        <v>1765</v>
      </c>
      <c r="Q459" s="15"/>
      <c r="R459" s="17" t="s">
        <v>74</v>
      </c>
      <c r="S459" s="18"/>
      <c r="T459" s="22" t="str">
        <f>IF(R459="維持",J459,IF(R459="排除","無關新聞事件",IFERROR(INDEX(事件規則!$B$2:$B$53,MATCH(S459,事件規則!$A$2:$A$53,0)),"")))</f>
        <v>無關新聞事件</v>
      </c>
      <c r="U459" s="9">
        <f>IF(R459="維持",K459,IF(R459="排除",0,IFERROR(INDEX(事件規則!$C$2:$C$53,MATCH(S459,事件規則!$A$2:$A$53,0)),"")))</f>
        <v>0</v>
      </c>
      <c r="V459" s="19"/>
      <c r="W459" s="20"/>
      <c r="X459" s="10" t="str">
        <f t="shared" si="7"/>
        <v/>
      </c>
      <c r="Y459" s="19"/>
      <c r="Z459" s="20"/>
      <c r="AA459" s="12" t="s">
        <v>1998</v>
      </c>
      <c r="AB459" s="23"/>
    </row>
    <row r="460" spans="1:28" ht="25.5">
      <c r="A460" s="15">
        <v>459</v>
      </c>
      <c r="B460" s="9" t="s">
        <v>195</v>
      </c>
      <c r="C460" s="15"/>
      <c r="D460" s="10" t="s">
        <v>1753</v>
      </c>
      <c r="E460" s="21" t="s">
        <v>1999</v>
      </c>
      <c r="F460" s="22" t="s">
        <v>2000</v>
      </c>
      <c r="G460" s="23" t="s">
        <v>2001</v>
      </c>
      <c r="H460" s="13">
        <v>-0.90200000000000002</v>
      </c>
      <c r="I460" s="14" t="s">
        <v>1797</v>
      </c>
      <c r="J460" s="22" t="s">
        <v>1798</v>
      </c>
      <c r="K460" s="9">
        <v>1</v>
      </c>
      <c r="L460" s="15" t="s">
        <v>1479</v>
      </c>
      <c r="M460" s="16" t="s">
        <v>74</v>
      </c>
      <c r="N460" s="14"/>
      <c r="O460" s="15" t="s">
        <v>65</v>
      </c>
      <c r="P460" s="22" t="s">
        <v>1765</v>
      </c>
      <c r="Q460" s="15"/>
      <c r="R460" s="17" t="s">
        <v>74</v>
      </c>
      <c r="S460" s="18"/>
      <c r="T460" s="22" t="str">
        <f>IF(R460="維持",J460,IF(R460="排除","無關新聞事件",IFERROR(INDEX(事件規則!$B$2:$B$53,MATCH(S460,事件規則!$A$2:$A$53,0)),"")))</f>
        <v>無關新聞事件</v>
      </c>
      <c r="U460" s="9">
        <f>IF(R460="維持",K460,IF(R460="排除",0,IFERROR(INDEX(事件規則!$C$2:$C$53,MATCH(S460,事件規則!$A$2:$A$53,0)),"")))</f>
        <v>0</v>
      </c>
      <c r="V460" s="19"/>
      <c r="W460" s="20"/>
      <c r="X460" s="10" t="str">
        <f t="shared" si="7"/>
        <v/>
      </c>
      <c r="Y460" s="19"/>
      <c r="Z460" s="20"/>
      <c r="AA460" s="12" t="s">
        <v>2002</v>
      </c>
      <c r="AB460" s="23"/>
    </row>
    <row r="461" spans="1:28" ht="89.25">
      <c r="A461" s="15">
        <v>460</v>
      </c>
      <c r="B461" s="9" t="s">
        <v>195</v>
      </c>
      <c r="C461" s="15"/>
      <c r="D461" s="10" t="s">
        <v>1820</v>
      </c>
      <c r="E461" s="21" t="s">
        <v>2003</v>
      </c>
      <c r="F461" s="22" t="s">
        <v>2004</v>
      </c>
      <c r="G461" s="12" t="s">
        <v>1823</v>
      </c>
      <c r="H461" s="13">
        <v>-0.73499999999999999</v>
      </c>
      <c r="I461" s="14" t="s">
        <v>1797</v>
      </c>
      <c r="J461" s="22" t="s">
        <v>1798</v>
      </c>
      <c r="K461" s="9">
        <v>1</v>
      </c>
      <c r="L461" s="15" t="s">
        <v>1479</v>
      </c>
      <c r="M461" s="16" t="s">
        <v>74</v>
      </c>
      <c r="N461" s="14"/>
      <c r="O461" s="15" t="s">
        <v>65</v>
      </c>
      <c r="P461" s="22" t="s">
        <v>1765</v>
      </c>
      <c r="Q461" s="15"/>
      <c r="R461" s="17" t="s">
        <v>74</v>
      </c>
      <c r="S461" s="18"/>
      <c r="T461" s="22" t="str">
        <f>IF(R461="維持",J461,IF(R461="排除","無關新聞事件",IFERROR(INDEX(事件規則!$B$2:$B$53,MATCH(S461,事件規則!$A$2:$A$53,0)),"")))</f>
        <v>無關新聞事件</v>
      </c>
      <c r="U461" s="9">
        <f>IF(R461="維持",K461,IF(R461="排除",0,IFERROR(INDEX(事件規則!$C$2:$C$53,MATCH(S461,事件規則!$A$2:$A$53,0)),"")))</f>
        <v>0</v>
      </c>
      <c r="V461" s="19"/>
      <c r="W461" s="20"/>
      <c r="X461" s="10" t="str">
        <f t="shared" si="7"/>
        <v/>
      </c>
      <c r="Y461" s="19"/>
      <c r="Z461" s="20"/>
      <c r="AA461" s="12" t="s">
        <v>2005</v>
      </c>
      <c r="AB461" s="23"/>
    </row>
    <row r="462" spans="1:28" ht="25.5">
      <c r="A462" s="15">
        <v>461</v>
      </c>
      <c r="B462" s="9" t="s">
        <v>195</v>
      </c>
      <c r="C462" s="15"/>
      <c r="D462" s="10" t="s">
        <v>1889</v>
      </c>
      <c r="E462" s="21" t="s">
        <v>2006</v>
      </c>
      <c r="F462" s="22" t="s">
        <v>2007</v>
      </c>
      <c r="G462" s="12" t="s">
        <v>1444</v>
      </c>
      <c r="H462" s="13">
        <v>-0.85399999999999998</v>
      </c>
      <c r="I462" s="14" t="s">
        <v>1797</v>
      </c>
      <c r="J462" s="22" t="s">
        <v>1798</v>
      </c>
      <c r="K462" s="9">
        <v>1</v>
      </c>
      <c r="L462" s="15" t="s">
        <v>1479</v>
      </c>
      <c r="M462" s="16" t="s">
        <v>74</v>
      </c>
      <c r="N462" s="14"/>
      <c r="O462" s="15" t="s">
        <v>65</v>
      </c>
      <c r="P462" s="22" t="s">
        <v>1765</v>
      </c>
      <c r="Q462" s="15"/>
      <c r="R462" s="17" t="s">
        <v>74</v>
      </c>
      <c r="S462" s="18"/>
      <c r="T462" s="22" t="str">
        <f>IF(R462="維持",J462,IF(R462="排除","無關新聞事件",IFERROR(INDEX(事件規則!$B$2:$B$53,MATCH(S462,事件規則!$A$2:$A$53,0)),"")))</f>
        <v>無關新聞事件</v>
      </c>
      <c r="U462" s="9">
        <f>IF(R462="維持",K462,IF(R462="排除",0,IFERROR(INDEX(事件規則!$C$2:$C$53,MATCH(S462,事件規則!$A$2:$A$53,0)),"")))</f>
        <v>0</v>
      </c>
      <c r="V462" s="19"/>
      <c r="W462" s="20"/>
      <c r="X462" s="10" t="str">
        <f t="shared" si="7"/>
        <v/>
      </c>
      <c r="Y462" s="19"/>
      <c r="Z462" s="20"/>
      <c r="AA462" s="12" t="s">
        <v>2008</v>
      </c>
      <c r="AB462" s="23"/>
    </row>
    <row r="463" spans="1:28" ht="25.5">
      <c r="A463" s="15">
        <v>462</v>
      </c>
      <c r="B463" s="9" t="s">
        <v>195</v>
      </c>
      <c r="C463" s="15"/>
      <c r="D463" s="10" t="s">
        <v>1889</v>
      </c>
      <c r="E463" s="21" t="s">
        <v>2009</v>
      </c>
      <c r="F463" s="22" t="s">
        <v>2010</v>
      </c>
      <c r="G463" s="12" t="s">
        <v>2011</v>
      </c>
      <c r="H463" s="13">
        <v>-0.82599999999999996</v>
      </c>
      <c r="I463" s="14" t="s">
        <v>1797</v>
      </c>
      <c r="J463" s="22" t="s">
        <v>1798</v>
      </c>
      <c r="K463" s="9">
        <v>1</v>
      </c>
      <c r="L463" s="15" t="s">
        <v>1479</v>
      </c>
      <c r="M463" s="16" t="s">
        <v>74</v>
      </c>
      <c r="N463" s="14"/>
      <c r="O463" s="15" t="s">
        <v>65</v>
      </c>
      <c r="P463" s="22" t="s">
        <v>1765</v>
      </c>
      <c r="Q463" s="15"/>
      <c r="R463" s="17" t="s">
        <v>74</v>
      </c>
      <c r="S463" s="18"/>
      <c r="T463" s="22" t="str">
        <f>IF(R463="維持",J463,IF(R463="排除","無關新聞事件",IFERROR(INDEX(事件規則!$B$2:$B$53,MATCH(S463,事件規則!$A$2:$A$53,0)),"")))</f>
        <v>無關新聞事件</v>
      </c>
      <c r="U463" s="9">
        <f>IF(R463="維持",K463,IF(R463="排除",0,IFERROR(INDEX(事件規則!$C$2:$C$53,MATCH(S463,事件規則!$A$2:$A$53,0)),"")))</f>
        <v>0</v>
      </c>
      <c r="V463" s="19"/>
      <c r="W463" s="20"/>
      <c r="X463" s="10" t="str">
        <f t="shared" si="7"/>
        <v/>
      </c>
      <c r="Y463" s="19"/>
      <c r="Z463" s="20"/>
      <c r="AA463" s="12" t="s">
        <v>2012</v>
      </c>
      <c r="AB463" s="23"/>
    </row>
    <row r="464" spans="1:28" ht="25.5">
      <c r="A464" s="15">
        <v>463</v>
      </c>
      <c r="B464" s="9" t="s">
        <v>195</v>
      </c>
      <c r="C464" s="15"/>
      <c r="D464" s="10" t="s">
        <v>1753</v>
      </c>
      <c r="E464" s="21" t="s">
        <v>2013</v>
      </c>
      <c r="F464" s="22" t="s">
        <v>2014</v>
      </c>
      <c r="G464" s="12" t="s">
        <v>2015</v>
      </c>
      <c r="H464" s="13">
        <v>-0.94499999999999995</v>
      </c>
      <c r="I464" s="14" t="s">
        <v>1797</v>
      </c>
      <c r="J464" s="22" t="s">
        <v>1798</v>
      </c>
      <c r="K464" s="9">
        <v>1</v>
      </c>
      <c r="L464" s="15" t="s">
        <v>1479</v>
      </c>
      <c r="M464" s="16" t="s">
        <v>74</v>
      </c>
      <c r="N464" s="14"/>
      <c r="O464" s="15" t="s">
        <v>65</v>
      </c>
      <c r="P464" s="22" t="s">
        <v>1765</v>
      </c>
      <c r="Q464" s="15"/>
      <c r="R464" s="17" t="s">
        <v>74</v>
      </c>
      <c r="S464" s="18"/>
      <c r="T464" s="22" t="str">
        <f>IF(R464="維持",J464,IF(R464="排除","無關新聞事件",IFERROR(INDEX(事件規則!$B$2:$B$53,MATCH(S464,事件規則!$A$2:$A$53,0)),"")))</f>
        <v>無關新聞事件</v>
      </c>
      <c r="U464" s="9">
        <f>IF(R464="維持",K464,IF(R464="排除",0,IFERROR(INDEX(事件規則!$C$2:$C$53,MATCH(S464,事件規則!$A$2:$A$53,0)),"")))</f>
        <v>0</v>
      </c>
      <c r="V464" s="19"/>
      <c r="W464" s="20"/>
      <c r="X464" s="10" t="str">
        <f t="shared" si="7"/>
        <v/>
      </c>
      <c r="Y464" s="19"/>
      <c r="Z464" s="20"/>
      <c r="AA464" s="12" t="s">
        <v>2016</v>
      </c>
      <c r="AB464" s="23"/>
    </row>
    <row r="465" spans="1:28" ht="25.5">
      <c r="A465" s="15">
        <v>464</v>
      </c>
      <c r="B465" s="9" t="s">
        <v>195</v>
      </c>
      <c r="C465" s="15"/>
      <c r="D465" s="10" t="s">
        <v>1852</v>
      </c>
      <c r="E465" s="21" t="s">
        <v>2017</v>
      </c>
      <c r="F465" s="22" t="s">
        <v>2018</v>
      </c>
      <c r="G465" s="12" t="s">
        <v>2019</v>
      </c>
      <c r="H465" s="13">
        <v>0.185</v>
      </c>
      <c r="I465" s="14" t="s">
        <v>1797</v>
      </c>
      <c r="J465" s="22" t="s">
        <v>1798</v>
      </c>
      <c r="K465" s="9">
        <v>1</v>
      </c>
      <c r="L465" s="15" t="s">
        <v>1479</v>
      </c>
      <c r="M465" s="16" t="s">
        <v>74</v>
      </c>
      <c r="N465" s="14"/>
      <c r="O465" s="15" t="s">
        <v>65</v>
      </c>
      <c r="P465" s="22" t="s">
        <v>1765</v>
      </c>
      <c r="Q465" s="15"/>
      <c r="R465" s="17" t="s">
        <v>74</v>
      </c>
      <c r="S465" s="18"/>
      <c r="T465" s="22" t="str">
        <f>IF(R465="維持",J465,IF(R465="排除","無關新聞事件",IFERROR(INDEX(事件規則!$B$2:$B$53,MATCH(S465,事件規則!$A$2:$A$53,0)),"")))</f>
        <v>無關新聞事件</v>
      </c>
      <c r="U465" s="9">
        <f>IF(R465="維持",K465,IF(R465="排除",0,IFERROR(INDEX(事件規則!$C$2:$C$53,MATCH(S465,事件規則!$A$2:$A$53,0)),"")))</f>
        <v>0</v>
      </c>
      <c r="V465" s="19"/>
      <c r="W465" s="20"/>
      <c r="X465" s="10" t="str">
        <f t="shared" si="7"/>
        <v/>
      </c>
      <c r="Y465" s="19"/>
      <c r="Z465" s="20"/>
      <c r="AA465" s="12" t="s">
        <v>2020</v>
      </c>
      <c r="AB465" s="23"/>
    </row>
    <row r="466" spans="1:28" ht="38.25">
      <c r="A466" s="15">
        <v>465</v>
      </c>
      <c r="B466" s="9" t="s">
        <v>195</v>
      </c>
      <c r="C466" s="15"/>
      <c r="D466" s="10" t="s">
        <v>1889</v>
      </c>
      <c r="E466" s="21" t="s">
        <v>2021</v>
      </c>
      <c r="F466" s="10" t="s">
        <v>2022</v>
      </c>
      <c r="G466" s="12" t="s">
        <v>1986</v>
      </c>
      <c r="H466" s="13">
        <v>-5.8000000000000003E-2</v>
      </c>
      <c r="I466" s="14" t="s">
        <v>1797</v>
      </c>
      <c r="J466" s="22" t="s">
        <v>1798</v>
      </c>
      <c r="K466" s="9">
        <v>1</v>
      </c>
      <c r="L466" s="15" t="s">
        <v>1479</v>
      </c>
      <c r="M466" s="16" t="s">
        <v>74</v>
      </c>
      <c r="N466" s="14"/>
      <c r="O466" s="15" t="s">
        <v>65</v>
      </c>
      <c r="P466" s="22" t="s">
        <v>1765</v>
      </c>
      <c r="Q466" s="15"/>
      <c r="R466" s="17" t="s">
        <v>74</v>
      </c>
      <c r="S466" s="18"/>
      <c r="T466" s="22" t="str">
        <f>IF(R466="維持",J466,IF(R466="排除","無關新聞事件",IFERROR(INDEX(事件規則!$B$2:$B$53,MATCH(S466,事件規則!$A$2:$A$53,0)),"")))</f>
        <v>無關新聞事件</v>
      </c>
      <c r="U466" s="9">
        <f>IF(R466="維持",K466,IF(R466="排除",0,IFERROR(INDEX(事件規則!$C$2:$C$53,MATCH(S466,事件規則!$A$2:$A$53,0)),"")))</f>
        <v>0</v>
      </c>
      <c r="V466" s="19"/>
      <c r="W466" s="20"/>
      <c r="X466" s="10" t="str">
        <f t="shared" si="7"/>
        <v/>
      </c>
      <c r="Y466" s="19"/>
      <c r="Z466" s="20"/>
      <c r="AA466" s="12" t="s">
        <v>2023</v>
      </c>
      <c r="AB466" s="23"/>
    </row>
    <row r="467" spans="1:28" ht="25.5">
      <c r="A467" s="15">
        <v>466</v>
      </c>
      <c r="B467" s="9" t="s">
        <v>195</v>
      </c>
      <c r="C467" s="15"/>
      <c r="D467" s="10" t="s">
        <v>1953</v>
      </c>
      <c r="E467" s="21" t="s">
        <v>2024</v>
      </c>
      <c r="F467" s="22" t="s">
        <v>2025</v>
      </c>
      <c r="G467" s="12" t="s">
        <v>2026</v>
      </c>
      <c r="H467" s="13">
        <v>-0.623</v>
      </c>
      <c r="I467" s="14" t="s">
        <v>1797</v>
      </c>
      <c r="J467" s="22" t="s">
        <v>1798</v>
      </c>
      <c r="K467" s="9">
        <v>1</v>
      </c>
      <c r="L467" s="15" t="s">
        <v>1479</v>
      </c>
      <c r="M467" s="16" t="s">
        <v>74</v>
      </c>
      <c r="N467" s="14"/>
      <c r="O467" s="15" t="s">
        <v>65</v>
      </c>
      <c r="P467" s="22" t="s">
        <v>1765</v>
      </c>
      <c r="Q467" s="15"/>
      <c r="R467" s="17" t="s">
        <v>74</v>
      </c>
      <c r="S467" s="18"/>
      <c r="T467" s="22" t="str">
        <f>IF(R467="維持",J467,IF(R467="排除","無關新聞事件",IFERROR(INDEX(事件規則!$B$2:$B$53,MATCH(S467,事件規則!$A$2:$A$53,0)),"")))</f>
        <v>無關新聞事件</v>
      </c>
      <c r="U467" s="9">
        <f>IF(R467="維持",K467,IF(R467="排除",0,IFERROR(INDEX(事件規則!$C$2:$C$53,MATCH(S467,事件規則!$A$2:$A$53,0)),"")))</f>
        <v>0</v>
      </c>
      <c r="V467" s="19"/>
      <c r="W467" s="20"/>
      <c r="X467" s="10" t="str">
        <f t="shared" si="7"/>
        <v/>
      </c>
      <c r="Y467" s="19"/>
      <c r="Z467" s="20"/>
      <c r="AA467" s="12" t="s">
        <v>2027</v>
      </c>
      <c r="AB467" s="23"/>
    </row>
    <row r="468" spans="1:28" ht="38.25">
      <c r="A468" s="15">
        <v>467</v>
      </c>
      <c r="B468" s="9" t="s">
        <v>195</v>
      </c>
      <c r="C468" s="15"/>
      <c r="D468" s="10" t="s">
        <v>1709</v>
      </c>
      <c r="E468" s="21" t="s">
        <v>2028</v>
      </c>
      <c r="F468" s="22" t="s">
        <v>2029</v>
      </c>
      <c r="G468" s="12" t="s">
        <v>2030</v>
      </c>
      <c r="H468" s="13">
        <v>-0.79100000000000004</v>
      </c>
      <c r="I468" s="14" t="s">
        <v>1797</v>
      </c>
      <c r="J468" s="22" t="s">
        <v>1798</v>
      </c>
      <c r="K468" s="9">
        <v>1</v>
      </c>
      <c r="L468" s="15" t="s">
        <v>1479</v>
      </c>
      <c r="M468" s="16" t="s">
        <v>74</v>
      </c>
      <c r="N468" s="14"/>
      <c r="O468" s="15" t="s">
        <v>65</v>
      </c>
      <c r="P468" s="22" t="s">
        <v>1765</v>
      </c>
      <c r="Q468" s="15"/>
      <c r="R468" s="17" t="s">
        <v>74</v>
      </c>
      <c r="S468" s="18"/>
      <c r="T468" s="22" t="str">
        <f>IF(R468="維持",J468,IF(R468="排除","無關新聞事件",IFERROR(INDEX(事件規則!$B$2:$B$53,MATCH(S468,事件規則!$A$2:$A$53,0)),"")))</f>
        <v>無關新聞事件</v>
      </c>
      <c r="U468" s="9">
        <f>IF(R468="維持",K468,IF(R468="排除",0,IFERROR(INDEX(事件規則!$C$2:$C$53,MATCH(S468,事件規則!$A$2:$A$53,0)),"")))</f>
        <v>0</v>
      </c>
      <c r="V468" s="19"/>
      <c r="W468" s="20"/>
      <c r="X468" s="10" t="str">
        <f t="shared" si="7"/>
        <v/>
      </c>
      <c r="Y468" s="19"/>
      <c r="Z468" s="20"/>
      <c r="AA468" s="12" t="s">
        <v>2031</v>
      </c>
      <c r="AB468" s="23"/>
    </row>
    <row r="469" spans="1:28" ht="25.5">
      <c r="A469" s="15">
        <v>468</v>
      </c>
      <c r="B469" s="9" t="s">
        <v>195</v>
      </c>
      <c r="C469" s="15"/>
      <c r="D469" s="10" t="s">
        <v>1889</v>
      </c>
      <c r="E469" s="21" t="s">
        <v>2032</v>
      </c>
      <c r="F469" s="22" t="s">
        <v>2033</v>
      </c>
      <c r="G469" s="12" t="s">
        <v>1986</v>
      </c>
      <c r="H469" s="13">
        <v>-0.69899999999999995</v>
      </c>
      <c r="I469" s="14" t="s">
        <v>1797</v>
      </c>
      <c r="J469" s="22" t="s">
        <v>1798</v>
      </c>
      <c r="K469" s="9">
        <v>1</v>
      </c>
      <c r="L469" s="15" t="s">
        <v>1479</v>
      </c>
      <c r="M469" s="16" t="s">
        <v>74</v>
      </c>
      <c r="N469" s="14"/>
      <c r="O469" s="15" t="s">
        <v>65</v>
      </c>
      <c r="P469" s="22" t="s">
        <v>1765</v>
      </c>
      <c r="Q469" s="15"/>
      <c r="R469" s="17" t="s">
        <v>74</v>
      </c>
      <c r="S469" s="18"/>
      <c r="T469" s="22" t="str">
        <f>IF(R469="維持",J469,IF(R469="排除","無關新聞事件",IFERROR(INDEX(事件規則!$B$2:$B$53,MATCH(S469,事件規則!$A$2:$A$53,0)),"")))</f>
        <v>無關新聞事件</v>
      </c>
      <c r="U469" s="9">
        <f>IF(R469="維持",K469,IF(R469="排除",0,IFERROR(INDEX(事件規則!$C$2:$C$53,MATCH(S469,事件規則!$A$2:$A$53,0)),"")))</f>
        <v>0</v>
      </c>
      <c r="V469" s="19"/>
      <c r="W469" s="20"/>
      <c r="X469" s="10" t="str">
        <f t="shared" si="7"/>
        <v/>
      </c>
      <c r="Y469" s="19"/>
      <c r="Z469" s="20"/>
      <c r="AA469" s="12" t="s">
        <v>2034</v>
      </c>
      <c r="AB469" s="23"/>
    </row>
    <row r="470" spans="1:28" ht="25.5">
      <c r="A470" s="15">
        <v>469</v>
      </c>
      <c r="B470" s="9" t="s">
        <v>195</v>
      </c>
      <c r="C470" s="15"/>
      <c r="D470" s="10" t="s">
        <v>1709</v>
      </c>
      <c r="E470" s="21" t="s">
        <v>2035</v>
      </c>
      <c r="F470" s="22" t="s">
        <v>2036</v>
      </c>
      <c r="G470" s="12" t="s">
        <v>2030</v>
      </c>
      <c r="H470" s="13">
        <v>-0.64700000000000002</v>
      </c>
      <c r="I470" s="14" t="s">
        <v>1797</v>
      </c>
      <c r="J470" s="22" t="s">
        <v>1798</v>
      </c>
      <c r="K470" s="9">
        <v>1</v>
      </c>
      <c r="L470" s="15" t="s">
        <v>1479</v>
      </c>
      <c r="M470" s="16" t="s">
        <v>74</v>
      </c>
      <c r="N470" s="14"/>
      <c r="O470" s="15" t="s">
        <v>65</v>
      </c>
      <c r="P470" s="22" t="s">
        <v>1765</v>
      </c>
      <c r="Q470" s="15"/>
      <c r="R470" s="17" t="s">
        <v>74</v>
      </c>
      <c r="S470" s="18"/>
      <c r="T470" s="22" t="str">
        <f>IF(R470="維持",J470,IF(R470="排除","無關新聞事件",IFERROR(INDEX(事件規則!$B$2:$B$53,MATCH(S470,事件規則!$A$2:$A$53,0)),"")))</f>
        <v>無關新聞事件</v>
      </c>
      <c r="U470" s="9">
        <f>IF(R470="維持",K470,IF(R470="排除",0,IFERROR(INDEX(事件規則!$C$2:$C$53,MATCH(S470,事件規則!$A$2:$A$53,0)),"")))</f>
        <v>0</v>
      </c>
      <c r="V470" s="19"/>
      <c r="W470" s="20"/>
      <c r="X470" s="10" t="str">
        <f t="shared" si="7"/>
        <v/>
      </c>
      <c r="Y470" s="19"/>
      <c r="Z470" s="20"/>
      <c r="AA470" s="12" t="s">
        <v>2037</v>
      </c>
      <c r="AB470" s="23"/>
    </row>
    <row r="471" spans="1:28" ht="76.5">
      <c r="A471" s="15">
        <v>470</v>
      </c>
      <c r="B471" s="9" t="s">
        <v>2038</v>
      </c>
      <c r="C471" s="15"/>
      <c r="D471" s="10" t="s">
        <v>1820</v>
      </c>
      <c r="E471" s="21" t="s">
        <v>2039</v>
      </c>
      <c r="F471" s="22"/>
      <c r="G471" s="12" t="s">
        <v>1823</v>
      </c>
      <c r="H471" s="13">
        <v>-0.108</v>
      </c>
      <c r="I471" s="14" t="s">
        <v>1797</v>
      </c>
      <c r="J471" s="22" t="s">
        <v>1798</v>
      </c>
      <c r="K471" s="9">
        <v>1</v>
      </c>
      <c r="L471" s="15" t="s">
        <v>1479</v>
      </c>
      <c r="M471" s="16" t="s">
        <v>74</v>
      </c>
      <c r="N471" s="14"/>
      <c r="O471" s="15" t="s">
        <v>65</v>
      </c>
      <c r="P471" s="22" t="s">
        <v>1765</v>
      </c>
      <c r="Q471" s="15"/>
      <c r="R471" s="17" t="s">
        <v>74</v>
      </c>
      <c r="S471" s="18"/>
      <c r="T471" s="22" t="str">
        <f>IF(R471="維持",J471,IF(R471="排除","無關新聞事件",IFERROR(INDEX(事件規則!$B$2:$B$53,MATCH(S471,事件規則!$A$2:$A$53,0)),"")))</f>
        <v>無關新聞事件</v>
      </c>
      <c r="U471" s="9">
        <f>IF(R471="維持",K471,IF(R471="排除",0,IFERROR(INDEX(事件規則!$C$2:$C$53,MATCH(S471,事件規則!$A$2:$A$53,0)),"")))</f>
        <v>0</v>
      </c>
      <c r="V471" s="19"/>
      <c r="W471" s="20"/>
      <c r="X471" s="10" t="str">
        <f t="shared" si="7"/>
        <v/>
      </c>
      <c r="Y471" s="19"/>
      <c r="Z471" s="20"/>
      <c r="AA471" s="12" t="s">
        <v>2040</v>
      </c>
      <c r="AB471" s="23"/>
    </row>
    <row r="472" spans="1:28" ht="25.5">
      <c r="A472" s="15">
        <v>471</v>
      </c>
      <c r="B472" s="9" t="s">
        <v>2038</v>
      </c>
      <c r="C472" s="15"/>
      <c r="D472" s="10" t="s">
        <v>1675</v>
      </c>
      <c r="E472" s="21" t="s">
        <v>2041</v>
      </c>
      <c r="F472" s="22"/>
      <c r="G472" s="12" t="s">
        <v>2042</v>
      </c>
      <c r="H472" s="13">
        <v>-0.11700000000000001</v>
      </c>
      <c r="I472" s="14" t="s">
        <v>1797</v>
      </c>
      <c r="J472" s="22" t="s">
        <v>1798</v>
      </c>
      <c r="K472" s="9">
        <v>1</v>
      </c>
      <c r="L472" s="15" t="s">
        <v>1479</v>
      </c>
      <c r="M472" s="16" t="s">
        <v>74</v>
      </c>
      <c r="N472" s="14"/>
      <c r="O472" s="15" t="s">
        <v>65</v>
      </c>
      <c r="P472" s="22" t="s">
        <v>1765</v>
      </c>
      <c r="Q472" s="15"/>
      <c r="R472" s="17" t="s">
        <v>74</v>
      </c>
      <c r="S472" s="18"/>
      <c r="T472" s="22" t="str">
        <f>IF(R472="維持",J472,IF(R472="排除","無關新聞事件",IFERROR(INDEX(事件規則!$B$2:$B$53,MATCH(S472,事件規則!$A$2:$A$53,0)),"")))</f>
        <v>無關新聞事件</v>
      </c>
      <c r="U472" s="9">
        <f>IF(R472="維持",K472,IF(R472="排除",0,IFERROR(INDEX(事件規則!$C$2:$C$53,MATCH(S472,事件規則!$A$2:$A$53,0)),"")))</f>
        <v>0</v>
      </c>
      <c r="V472" s="19"/>
      <c r="W472" s="20"/>
      <c r="X472" s="10" t="str">
        <f t="shared" si="7"/>
        <v/>
      </c>
      <c r="Y472" s="19"/>
      <c r="Z472" s="20"/>
      <c r="AA472" s="12" t="s">
        <v>2043</v>
      </c>
      <c r="AB472" s="23"/>
    </row>
    <row r="473" spans="1:28" ht="25.5">
      <c r="A473" s="15">
        <v>472</v>
      </c>
      <c r="B473" s="9" t="s">
        <v>203</v>
      </c>
      <c r="C473" s="15"/>
      <c r="D473" s="10" t="s">
        <v>1953</v>
      </c>
      <c r="E473" s="21" t="s">
        <v>2044</v>
      </c>
      <c r="F473" s="22"/>
      <c r="G473" s="12" t="s">
        <v>1835</v>
      </c>
      <c r="H473" s="13">
        <v>-0.45700000000000002</v>
      </c>
      <c r="I473" s="14" t="s">
        <v>1797</v>
      </c>
      <c r="J473" s="22" t="s">
        <v>1798</v>
      </c>
      <c r="K473" s="9">
        <v>1</v>
      </c>
      <c r="L473" s="15" t="s">
        <v>1479</v>
      </c>
      <c r="M473" s="16" t="s">
        <v>74</v>
      </c>
      <c r="N473" s="14"/>
      <c r="O473" s="15" t="s">
        <v>65</v>
      </c>
      <c r="P473" s="22" t="s">
        <v>1765</v>
      </c>
      <c r="Q473" s="15"/>
      <c r="R473" s="17" t="s">
        <v>74</v>
      </c>
      <c r="S473" s="18"/>
      <c r="T473" s="22" t="str">
        <f>IF(R473="維持",J473,IF(R473="排除","無關新聞事件",IFERROR(INDEX(事件規則!$B$2:$B$53,MATCH(S473,事件規則!$A$2:$A$53,0)),"")))</f>
        <v>無關新聞事件</v>
      </c>
      <c r="U473" s="9">
        <f>IF(R473="維持",K473,IF(R473="排除",0,IFERROR(INDEX(事件規則!$C$2:$C$53,MATCH(S473,事件規則!$A$2:$A$53,0)),"")))</f>
        <v>0</v>
      </c>
      <c r="V473" s="19"/>
      <c r="W473" s="20"/>
      <c r="X473" s="10" t="str">
        <f t="shared" si="7"/>
        <v/>
      </c>
      <c r="Y473" s="19"/>
      <c r="Z473" s="20"/>
      <c r="AA473" s="12" t="s">
        <v>2045</v>
      </c>
      <c r="AB473" s="23"/>
    </row>
    <row r="474" spans="1:28" ht="25.5">
      <c r="A474" s="15">
        <v>473</v>
      </c>
      <c r="B474" s="9" t="s">
        <v>207</v>
      </c>
      <c r="C474" s="15"/>
      <c r="D474" s="10" t="s">
        <v>1749</v>
      </c>
      <c r="E474" s="21" t="s">
        <v>2046</v>
      </c>
      <c r="F474" s="22"/>
      <c r="G474" s="12" t="s">
        <v>2047</v>
      </c>
      <c r="H474" s="13">
        <v>-0.23300000000000001</v>
      </c>
      <c r="I474" s="14" t="s">
        <v>1797</v>
      </c>
      <c r="J474" s="22" t="s">
        <v>1798</v>
      </c>
      <c r="K474" s="9">
        <v>1</v>
      </c>
      <c r="L474" s="15" t="s">
        <v>1479</v>
      </c>
      <c r="M474" s="16" t="s">
        <v>74</v>
      </c>
      <c r="N474" s="14"/>
      <c r="O474" s="15" t="s">
        <v>65</v>
      </c>
      <c r="P474" s="22" t="s">
        <v>1765</v>
      </c>
      <c r="Q474" s="15"/>
      <c r="R474" s="17" t="s">
        <v>74</v>
      </c>
      <c r="S474" s="18"/>
      <c r="T474" s="22" t="str">
        <f>IF(R474="維持",J474,IF(R474="排除","無關新聞事件",IFERROR(INDEX(事件規則!$B$2:$B$53,MATCH(S474,事件規則!$A$2:$A$53,0)),"")))</f>
        <v>無關新聞事件</v>
      </c>
      <c r="U474" s="9">
        <f>IF(R474="維持",K474,IF(R474="排除",0,IFERROR(INDEX(事件規則!$C$2:$C$53,MATCH(S474,事件規則!$A$2:$A$53,0)),"")))</f>
        <v>0</v>
      </c>
      <c r="V474" s="19"/>
      <c r="W474" s="20"/>
      <c r="X474" s="10" t="str">
        <f t="shared" si="7"/>
        <v/>
      </c>
      <c r="Y474" s="19"/>
      <c r="Z474" s="20"/>
      <c r="AA474" s="12" t="s">
        <v>2048</v>
      </c>
      <c r="AB474" s="23"/>
    </row>
    <row r="475" spans="1:28" ht="25.5">
      <c r="A475" s="15">
        <v>474</v>
      </c>
      <c r="B475" s="9" t="s">
        <v>207</v>
      </c>
      <c r="C475" s="15"/>
      <c r="D475" s="10" t="s">
        <v>1733</v>
      </c>
      <c r="E475" s="21" t="s">
        <v>2049</v>
      </c>
      <c r="F475" s="22"/>
      <c r="G475" s="12" t="s">
        <v>2050</v>
      </c>
      <c r="H475" s="13">
        <v>-0.92400000000000004</v>
      </c>
      <c r="I475" s="14" t="s">
        <v>1797</v>
      </c>
      <c r="J475" s="22" t="s">
        <v>1798</v>
      </c>
      <c r="K475" s="9">
        <v>1</v>
      </c>
      <c r="L475" s="15" t="s">
        <v>1479</v>
      </c>
      <c r="M475" s="16" t="s">
        <v>74</v>
      </c>
      <c r="N475" s="14"/>
      <c r="O475" s="15" t="s">
        <v>65</v>
      </c>
      <c r="P475" s="22" t="s">
        <v>1765</v>
      </c>
      <c r="Q475" s="15"/>
      <c r="R475" s="17" t="s">
        <v>74</v>
      </c>
      <c r="S475" s="18"/>
      <c r="T475" s="22" t="str">
        <f>IF(R475="維持",J475,IF(R475="排除","無關新聞事件",IFERROR(INDEX(事件規則!$B$2:$B$53,MATCH(S475,事件規則!$A$2:$A$53,0)),"")))</f>
        <v>無關新聞事件</v>
      </c>
      <c r="U475" s="9">
        <f>IF(R475="維持",K475,IF(R475="排除",0,IFERROR(INDEX(事件規則!$C$2:$C$53,MATCH(S475,事件規則!$A$2:$A$53,0)),"")))</f>
        <v>0</v>
      </c>
      <c r="V475" s="19"/>
      <c r="W475" s="20"/>
      <c r="X475" s="10" t="str">
        <f t="shared" si="7"/>
        <v/>
      </c>
      <c r="Y475" s="19"/>
      <c r="Z475" s="20"/>
      <c r="AA475" s="12" t="s">
        <v>2051</v>
      </c>
      <c r="AB475" s="23"/>
    </row>
    <row r="476" spans="1:28" ht="25.5">
      <c r="A476" s="15">
        <v>475</v>
      </c>
      <c r="B476" s="9" t="s">
        <v>207</v>
      </c>
      <c r="C476" s="15"/>
      <c r="D476" s="10" t="s">
        <v>1518</v>
      </c>
      <c r="E476" s="21" t="s">
        <v>2052</v>
      </c>
      <c r="F476" s="22"/>
      <c r="G476" s="12" t="s">
        <v>2053</v>
      </c>
      <c r="H476" s="13">
        <v>-3.2000000000000001E-2</v>
      </c>
      <c r="I476" s="14" t="s">
        <v>1797</v>
      </c>
      <c r="J476" s="22" t="s">
        <v>1798</v>
      </c>
      <c r="K476" s="9">
        <v>1</v>
      </c>
      <c r="L476" s="15" t="s">
        <v>1479</v>
      </c>
      <c r="M476" s="16" t="s">
        <v>74</v>
      </c>
      <c r="N476" s="14"/>
      <c r="O476" s="15" t="s">
        <v>65</v>
      </c>
      <c r="P476" s="22" t="s">
        <v>1765</v>
      </c>
      <c r="Q476" s="15"/>
      <c r="R476" s="17" t="s">
        <v>74</v>
      </c>
      <c r="S476" s="18"/>
      <c r="T476" s="22" t="str">
        <f>IF(R476="維持",J476,IF(R476="排除","無關新聞事件",IFERROR(INDEX(事件規則!$B$2:$B$53,MATCH(S476,事件規則!$A$2:$A$53,0)),"")))</f>
        <v>無關新聞事件</v>
      </c>
      <c r="U476" s="9">
        <f>IF(R476="維持",K476,IF(R476="排除",0,IFERROR(INDEX(事件規則!$C$2:$C$53,MATCH(S476,事件規則!$A$2:$A$53,0)),"")))</f>
        <v>0</v>
      </c>
      <c r="V476" s="19"/>
      <c r="W476" s="20"/>
      <c r="X476" s="10" t="str">
        <f t="shared" si="7"/>
        <v/>
      </c>
      <c r="Y476" s="19"/>
      <c r="Z476" s="20"/>
      <c r="AA476" s="12" t="s">
        <v>2054</v>
      </c>
      <c r="AB476" s="23"/>
    </row>
    <row r="477" spans="1:28" ht="25.5">
      <c r="A477" s="15">
        <v>476</v>
      </c>
      <c r="B477" s="9" t="s">
        <v>207</v>
      </c>
      <c r="C477" s="15"/>
      <c r="D477" s="10" t="s">
        <v>654</v>
      </c>
      <c r="E477" s="21" t="s">
        <v>2055</v>
      </c>
      <c r="F477" s="22"/>
      <c r="G477" s="12" t="s">
        <v>2056</v>
      </c>
      <c r="H477" s="13">
        <v>-0.90900000000000003</v>
      </c>
      <c r="I477" s="14" t="s">
        <v>1797</v>
      </c>
      <c r="J477" s="22" t="s">
        <v>1798</v>
      </c>
      <c r="K477" s="9">
        <v>1</v>
      </c>
      <c r="L477" s="15" t="s">
        <v>1479</v>
      </c>
      <c r="M477" s="16" t="s">
        <v>74</v>
      </c>
      <c r="N477" s="14"/>
      <c r="O477" s="15" t="s">
        <v>65</v>
      </c>
      <c r="P477" s="22" t="s">
        <v>1765</v>
      </c>
      <c r="Q477" s="15"/>
      <c r="R477" s="17" t="s">
        <v>74</v>
      </c>
      <c r="S477" s="18"/>
      <c r="T477" s="22" t="str">
        <f>IF(R477="維持",J477,IF(R477="排除","無關新聞事件",IFERROR(INDEX(事件規則!$B$2:$B$53,MATCH(S477,事件規則!$A$2:$A$53,0)),"")))</f>
        <v>無關新聞事件</v>
      </c>
      <c r="U477" s="9">
        <f>IF(R477="維持",K477,IF(R477="排除",0,IFERROR(INDEX(事件規則!$C$2:$C$53,MATCH(S477,事件規則!$A$2:$A$53,0)),"")))</f>
        <v>0</v>
      </c>
      <c r="V477" s="19"/>
      <c r="W477" s="20"/>
      <c r="X477" s="10" t="str">
        <f t="shared" si="7"/>
        <v/>
      </c>
      <c r="Y477" s="19"/>
      <c r="Z477" s="20"/>
      <c r="AA477" s="12" t="s">
        <v>2057</v>
      </c>
      <c r="AB477" s="23"/>
    </row>
    <row r="478" spans="1:28" ht="25.5">
      <c r="A478" s="15">
        <v>477</v>
      </c>
      <c r="B478" s="9" t="s">
        <v>207</v>
      </c>
      <c r="C478" s="15"/>
      <c r="D478" s="10" t="s">
        <v>654</v>
      </c>
      <c r="E478" s="21" t="s">
        <v>2058</v>
      </c>
      <c r="F478" s="22"/>
      <c r="G478" s="12" t="s">
        <v>2059</v>
      </c>
      <c r="H478" s="13">
        <v>3.6999999999999998E-2</v>
      </c>
      <c r="I478" s="14" t="s">
        <v>1797</v>
      </c>
      <c r="J478" s="22" t="s">
        <v>1798</v>
      </c>
      <c r="K478" s="9">
        <v>1</v>
      </c>
      <c r="L478" s="15" t="s">
        <v>1479</v>
      </c>
      <c r="M478" s="16" t="s">
        <v>74</v>
      </c>
      <c r="N478" s="14"/>
      <c r="O478" s="15" t="s">
        <v>65</v>
      </c>
      <c r="P478" s="22" t="s">
        <v>1765</v>
      </c>
      <c r="Q478" s="15"/>
      <c r="R478" s="17" t="s">
        <v>74</v>
      </c>
      <c r="S478" s="18"/>
      <c r="T478" s="22" t="str">
        <f>IF(R478="維持",J478,IF(R478="排除","無關新聞事件",IFERROR(INDEX(事件規則!$B$2:$B$53,MATCH(S478,事件規則!$A$2:$A$53,0)),"")))</f>
        <v>無關新聞事件</v>
      </c>
      <c r="U478" s="9">
        <f>IF(R478="維持",K478,IF(R478="排除",0,IFERROR(INDEX(事件規則!$C$2:$C$53,MATCH(S478,事件規則!$A$2:$A$53,0)),"")))</f>
        <v>0</v>
      </c>
      <c r="V478" s="19"/>
      <c r="W478" s="20"/>
      <c r="X478" s="10" t="str">
        <f t="shared" si="7"/>
        <v/>
      </c>
      <c r="Y478" s="19"/>
      <c r="Z478" s="20"/>
      <c r="AA478" s="12" t="s">
        <v>2060</v>
      </c>
      <c r="AB478" s="23"/>
    </row>
    <row r="479" spans="1:28" ht="63.75">
      <c r="A479" s="15">
        <v>478</v>
      </c>
      <c r="B479" s="9" t="s">
        <v>207</v>
      </c>
      <c r="C479" s="15"/>
      <c r="D479" s="10" t="s">
        <v>2061</v>
      </c>
      <c r="E479" s="21" t="s">
        <v>2062</v>
      </c>
      <c r="F479" s="22"/>
      <c r="G479" s="12" t="s">
        <v>1823</v>
      </c>
      <c r="H479" s="13">
        <v>-0.23300000000000001</v>
      </c>
      <c r="I479" s="14" t="s">
        <v>1797</v>
      </c>
      <c r="J479" s="22" t="s">
        <v>1798</v>
      </c>
      <c r="K479" s="9">
        <v>1</v>
      </c>
      <c r="L479" s="15" t="s">
        <v>1479</v>
      </c>
      <c r="M479" s="16" t="s">
        <v>74</v>
      </c>
      <c r="N479" s="14"/>
      <c r="O479" s="15" t="s">
        <v>65</v>
      </c>
      <c r="P479" s="22" t="s">
        <v>1765</v>
      </c>
      <c r="Q479" s="15"/>
      <c r="R479" s="17" t="s">
        <v>74</v>
      </c>
      <c r="S479" s="18"/>
      <c r="T479" s="22" t="str">
        <f>IF(R479="維持",J479,IF(R479="排除","無關新聞事件",IFERROR(INDEX(事件規則!$B$2:$B$53,MATCH(S479,事件規則!$A$2:$A$53,0)),"")))</f>
        <v>無關新聞事件</v>
      </c>
      <c r="U479" s="9">
        <f>IF(R479="維持",K479,IF(R479="排除",0,IFERROR(INDEX(事件規則!$C$2:$C$53,MATCH(S479,事件規則!$A$2:$A$53,0)),"")))</f>
        <v>0</v>
      </c>
      <c r="V479" s="19"/>
      <c r="W479" s="20"/>
      <c r="X479" s="10" t="str">
        <f t="shared" si="7"/>
        <v/>
      </c>
      <c r="Y479" s="19"/>
      <c r="Z479" s="20"/>
      <c r="AA479" s="12" t="s">
        <v>2063</v>
      </c>
      <c r="AB479" s="23"/>
    </row>
    <row r="480" spans="1:28" ht="25.5">
      <c r="A480" s="15">
        <v>479</v>
      </c>
      <c r="B480" s="9" t="s">
        <v>207</v>
      </c>
      <c r="C480" s="15"/>
      <c r="D480" s="10" t="s">
        <v>654</v>
      </c>
      <c r="E480" s="21" t="s">
        <v>2064</v>
      </c>
      <c r="F480" s="22"/>
      <c r="G480" s="12" t="s">
        <v>2065</v>
      </c>
      <c r="H480" s="13">
        <v>-0.84899999999999998</v>
      </c>
      <c r="I480" s="14" t="s">
        <v>1797</v>
      </c>
      <c r="J480" s="22" t="s">
        <v>1798</v>
      </c>
      <c r="K480" s="9">
        <v>1</v>
      </c>
      <c r="L480" s="15" t="s">
        <v>1479</v>
      </c>
      <c r="M480" s="16" t="s">
        <v>74</v>
      </c>
      <c r="N480" s="14"/>
      <c r="O480" s="15" t="s">
        <v>65</v>
      </c>
      <c r="P480" s="22" t="s">
        <v>1765</v>
      </c>
      <c r="Q480" s="15"/>
      <c r="R480" s="17" t="s">
        <v>74</v>
      </c>
      <c r="S480" s="18"/>
      <c r="T480" s="22" t="str">
        <f>IF(R480="維持",J480,IF(R480="排除","無關新聞事件",IFERROR(INDEX(事件規則!$B$2:$B$53,MATCH(S480,事件規則!$A$2:$A$53,0)),"")))</f>
        <v>無關新聞事件</v>
      </c>
      <c r="U480" s="9">
        <f>IF(R480="維持",K480,IF(R480="排除",0,IFERROR(INDEX(事件規則!$C$2:$C$53,MATCH(S480,事件規則!$A$2:$A$53,0)),"")))</f>
        <v>0</v>
      </c>
      <c r="V480" s="19"/>
      <c r="W480" s="20"/>
      <c r="X480" s="10" t="str">
        <f t="shared" si="7"/>
        <v/>
      </c>
      <c r="Y480" s="19"/>
      <c r="Z480" s="20"/>
      <c r="AA480" s="12" t="s">
        <v>2066</v>
      </c>
      <c r="AB480" s="23"/>
    </row>
    <row r="481" spans="1:28" ht="25.5">
      <c r="A481" s="15">
        <v>480</v>
      </c>
      <c r="B481" s="9" t="s">
        <v>218</v>
      </c>
      <c r="C481" s="15"/>
      <c r="D481" s="10" t="s">
        <v>1953</v>
      </c>
      <c r="E481" s="21" t="s">
        <v>2067</v>
      </c>
      <c r="F481" s="22"/>
      <c r="G481" s="12" t="s">
        <v>2068</v>
      </c>
      <c r="H481" s="13">
        <v>-0.86599999999999999</v>
      </c>
      <c r="I481" s="14" t="s">
        <v>1797</v>
      </c>
      <c r="J481" s="22" t="s">
        <v>1798</v>
      </c>
      <c r="K481" s="9">
        <v>1</v>
      </c>
      <c r="L481" s="15" t="s">
        <v>1479</v>
      </c>
      <c r="M481" s="16" t="s">
        <v>74</v>
      </c>
      <c r="N481" s="14"/>
      <c r="O481" s="15" t="s">
        <v>65</v>
      </c>
      <c r="P481" s="22" t="s">
        <v>1765</v>
      </c>
      <c r="Q481" s="15"/>
      <c r="R481" s="17" t="s">
        <v>74</v>
      </c>
      <c r="S481" s="18"/>
      <c r="T481" s="22" t="str">
        <f>IF(R481="維持",J481,IF(R481="排除","無關新聞事件",IFERROR(INDEX(事件規則!$B$2:$B$53,MATCH(S481,事件規則!$A$2:$A$53,0)),"")))</f>
        <v>無關新聞事件</v>
      </c>
      <c r="U481" s="9">
        <f>IF(R481="維持",K481,IF(R481="排除",0,IFERROR(INDEX(事件規則!$C$2:$C$53,MATCH(S481,事件規則!$A$2:$A$53,0)),"")))</f>
        <v>0</v>
      </c>
      <c r="V481" s="19"/>
      <c r="W481" s="20"/>
      <c r="X481" s="10" t="str">
        <f t="shared" si="7"/>
        <v/>
      </c>
      <c r="Y481" s="19"/>
      <c r="Z481" s="20"/>
      <c r="AA481" s="12" t="s">
        <v>2069</v>
      </c>
      <c r="AB481" s="23"/>
    </row>
    <row r="482" spans="1:28" ht="25.5">
      <c r="A482" s="15">
        <v>481</v>
      </c>
      <c r="B482" s="9" t="s">
        <v>494</v>
      </c>
      <c r="C482" s="15"/>
      <c r="D482" s="10" t="s">
        <v>1953</v>
      </c>
      <c r="E482" s="21" t="s">
        <v>2070</v>
      </c>
      <c r="F482" s="22"/>
      <c r="G482" s="12" t="s">
        <v>2071</v>
      </c>
      <c r="H482" s="13">
        <v>-0.22900000000000001</v>
      </c>
      <c r="I482" s="14" t="s">
        <v>1797</v>
      </c>
      <c r="J482" s="22" t="s">
        <v>1798</v>
      </c>
      <c r="K482" s="9">
        <v>1</v>
      </c>
      <c r="L482" s="15" t="s">
        <v>1479</v>
      </c>
      <c r="M482" s="16" t="s">
        <v>74</v>
      </c>
      <c r="N482" s="14"/>
      <c r="O482" s="15" t="s">
        <v>65</v>
      </c>
      <c r="P482" s="22" t="s">
        <v>1765</v>
      </c>
      <c r="Q482" s="15"/>
      <c r="R482" s="17" t="s">
        <v>74</v>
      </c>
      <c r="S482" s="18"/>
      <c r="T482" s="22" t="str">
        <f>IF(R482="維持",J482,IF(R482="排除","無關新聞事件",IFERROR(INDEX(事件規則!$B$2:$B$53,MATCH(S482,事件規則!$A$2:$A$53,0)),"")))</f>
        <v>無關新聞事件</v>
      </c>
      <c r="U482" s="9">
        <f>IF(R482="維持",K482,IF(R482="排除",0,IFERROR(INDEX(事件規則!$C$2:$C$53,MATCH(S482,事件規則!$A$2:$A$53,0)),"")))</f>
        <v>0</v>
      </c>
      <c r="V482" s="19"/>
      <c r="W482" s="20"/>
      <c r="X482" s="10" t="str">
        <f t="shared" si="7"/>
        <v/>
      </c>
      <c r="Y482" s="19"/>
      <c r="Z482" s="20"/>
      <c r="AA482" s="12" t="s">
        <v>2072</v>
      </c>
      <c r="AB482" s="23"/>
    </row>
    <row r="483" spans="1:28" ht="38.25">
      <c r="A483" s="15">
        <v>482</v>
      </c>
      <c r="B483" s="9" t="s">
        <v>494</v>
      </c>
      <c r="C483" s="15"/>
      <c r="D483" s="10" t="s">
        <v>654</v>
      </c>
      <c r="E483" s="21" t="s">
        <v>2073</v>
      </c>
      <c r="F483" s="22"/>
      <c r="G483" s="12" t="s">
        <v>2074</v>
      </c>
      <c r="H483" s="13">
        <v>-0.57899999999999996</v>
      </c>
      <c r="I483" s="14" t="s">
        <v>1797</v>
      </c>
      <c r="J483" s="22" t="s">
        <v>1798</v>
      </c>
      <c r="K483" s="9">
        <v>1</v>
      </c>
      <c r="L483" s="15" t="s">
        <v>1479</v>
      </c>
      <c r="M483" s="16" t="s">
        <v>74</v>
      </c>
      <c r="N483" s="14"/>
      <c r="O483" s="15" t="s">
        <v>65</v>
      </c>
      <c r="P483" s="22" t="s">
        <v>1765</v>
      </c>
      <c r="Q483" s="15"/>
      <c r="R483" s="17" t="s">
        <v>74</v>
      </c>
      <c r="S483" s="18"/>
      <c r="T483" s="22" t="str">
        <f>IF(R483="維持",J483,IF(R483="排除","無關新聞事件",IFERROR(INDEX(事件規則!$B$2:$B$53,MATCH(S483,事件規則!$A$2:$A$53,0)),"")))</f>
        <v>無關新聞事件</v>
      </c>
      <c r="U483" s="9">
        <f>IF(R483="維持",K483,IF(R483="排除",0,IFERROR(INDEX(事件規則!$C$2:$C$53,MATCH(S483,事件規則!$A$2:$A$53,0)),"")))</f>
        <v>0</v>
      </c>
      <c r="V483" s="19"/>
      <c r="W483" s="20"/>
      <c r="X483" s="10" t="str">
        <f t="shared" si="7"/>
        <v/>
      </c>
      <c r="Y483" s="19"/>
      <c r="Z483" s="20"/>
      <c r="AA483" s="12" t="s">
        <v>2075</v>
      </c>
      <c r="AB483" s="23"/>
    </row>
    <row r="484" spans="1:28" ht="25.5">
      <c r="A484" s="15">
        <v>483</v>
      </c>
      <c r="B484" s="9" t="s">
        <v>581</v>
      </c>
      <c r="C484" s="15"/>
      <c r="D484" s="10" t="s">
        <v>1953</v>
      </c>
      <c r="E484" s="21" t="s">
        <v>2076</v>
      </c>
      <c r="F484" s="22"/>
      <c r="G484" s="12" t="s">
        <v>2077</v>
      </c>
      <c r="H484" s="13">
        <v>-0.53500000000000003</v>
      </c>
      <c r="I484" s="14" t="s">
        <v>1797</v>
      </c>
      <c r="J484" s="22" t="s">
        <v>1798</v>
      </c>
      <c r="K484" s="9">
        <v>1</v>
      </c>
      <c r="L484" s="15" t="s">
        <v>1479</v>
      </c>
      <c r="M484" s="16" t="s">
        <v>74</v>
      </c>
      <c r="N484" s="14"/>
      <c r="O484" s="15" t="s">
        <v>65</v>
      </c>
      <c r="P484" s="22" t="s">
        <v>1765</v>
      </c>
      <c r="Q484" s="15"/>
      <c r="R484" s="17" t="s">
        <v>74</v>
      </c>
      <c r="S484" s="18"/>
      <c r="T484" s="22" t="str">
        <f>IF(R484="維持",J484,IF(R484="排除","無關新聞事件",IFERROR(INDEX(事件規則!$B$2:$B$53,MATCH(S484,事件規則!$A$2:$A$53,0)),"")))</f>
        <v>無關新聞事件</v>
      </c>
      <c r="U484" s="9">
        <f>IF(R484="維持",K484,IF(R484="排除",0,IFERROR(INDEX(事件規則!$C$2:$C$53,MATCH(S484,事件規則!$A$2:$A$53,0)),"")))</f>
        <v>0</v>
      </c>
      <c r="V484" s="19"/>
      <c r="W484" s="20"/>
      <c r="X484" s="10" t="str">
        <f t="shared" si="7"/>
        <v/>
      </c>
      <c r="Y484" s="19"/>
      <c r="Z484" s="20"/>
      <c r="AA484" s="12" t="s">
        <v>2078</v>
      </c>
      <c r="AB484" s="23"/>
    </row>
    <row r="485" spans="1:28" ht="25.5">
      <c r="A485" s="15">
        <v>484</v>
      </c>
      <c r="B485" s="9" t="s">
        <v>1207</v>
      </c>
      <c r="C485" s="15"/>
      <c r="D485" s="10" t="s">
        <v>1669</v>
      </c>
      <c r="E485" s="21" t="s">
        <v>2079</v>
      </c>
      <c r="F485" s="22"/>
      <c r="G485" s="12" t="s">
        <v>2080</v>
      </c>
      <c r="H485" s="13">
        <v>2.7E-2</v>
      </c>
      <c r="I485" s="14" t="s">
        <v>1797</v>
      </c>
      <c r="J485" s="22" t="s">
        <v>1798</v>
      </c>
      <c r="K485" s="9">
        <v>1</v>
      </c>
      <c r="L485" s="15" t="s">
        <v>1479</v>
      </c>
      <c r="M485" s="16" t="s">
        <v>74</v>
      </c>
      <c r="N485" s="14"/>
      <c r="O485" s="15" t="s">
        <v>65</v>
      </c>
      <c r="P485" s="22" t="s">
        <v>1765</v>
      </c>
      <c r="Q485" s="15"/>
      <c r="R485" s="17" t="s">
        <v>74</v>
      </c>
      <c r="S485" s="18"/>
      <c r="T485" s="22" t="str">
        <f>IF(R485="維持",J485,IF(R485="排除","無關新聞事件",IFERROR(INDEX(事件規則!$B$2:$B$53,MATCH(S485,事件規則!$A$2:$A$53,0)),"")))</f>
        <v>無關新聞事件</v>
      </c>
      <c r="U485" s="9">
        <f>IF(R485="維持",K485,IF(R485="排除",0,IFERROR(INDEX(事件規則!$C$2:$C$53,MATCH(S485,事件規則!$A$2:$A$53,0)),"")))</f>
        <v>0</v>
      </c>
      <c r="V485" s="19"/>
      <c r="W485" s="20"/>
      <c r="X485" s="10" t="str">
        <f t="shared" si="7"/>
        <v/>
      </c>
      <c r="Y485" s="19"/>
      <c r="Z485" s="20"/>
      <c r="AA485" s="12" t="s">
        <v>2081</v>
      </c>
      <c r="AB485" s="23"/>
    </row>
    <row r="486" spans="1:28" ht="25.5">
      <c r="A486" s="15">
        <v>485</v>
      </c>
      <c r="B486" s="9" t="s">
        <v>773</v>
      </c>
      <c r="C486" s="15"/>
      <c r="D486" s="10" t="s">
        <v>1683</v>
      </c>
      <c r="E486" s="21" t="s">
        <v>2082</v>
      </c>
      <c r="F486" s="22"/>
      <c r="G486" s="12" t="s">
        <v>2083</v>
      </c>
      <c r="H486" s="13">
        <v>2.1000000000000001E-2</v>
      </c>
      <c r="I486" s="14" t="s">
        <v>1797</v>
      </c>
      <c r="J486" s="22" t="s">
        <v>1798</v>
      </c>
      <c r="K486" s="9">
        <v>1</v>
      </c>
      <c r="L486" s="15" t="s">
        <v>1479</v>
      </c>
      <c r="M486" s="16" t="s">
        <v>74</v>
      </c>
      <c r="N486" s="14"/>
      <c r="O486" s="15" t="s">
        <v>65</v>
      </c>
      <c r="P486" s="22" t="s">
        <v>1765</v>
      </c>
      <c r="Q486" s="15"/>
      <c r="R486" s="17" t="s">
        <v>74</v>
      </c>
      <c r="S486" s="18"/>
      <c r="T486" s="22" t="str">
        <f>IF(R486="維持",J486,IF(R486="排除","無關新聞事件",IFERROR(INDEX(事件規則!$B$2:$B$53,MATCH(S486,事件規則!$A$2:$A$53,0)),"")))</f>
        <v>無關新聞事件</v>
      </c>
      <c r="U486" s="9">
        <f>IF(R486="維持",K486,IF(R486="排除",0,IFERROR(INDEX(事件規則!$C$2:$C$53,MATCH(S486,事件規則!$A$2:$A$53,0)),"")))</f>
        <v>0</v>
      </c>
      <c r="V486" s="19"/>
      <c r="W486" s="20"/>
      <c r="X486" s="10" t="str">
        <f t="shared" si="7"/>
        <v/>
      </c>
      <c r="Y486" s="19"/>
      <c r="Z486" s="20"/>
      <c r="AA486" s="12" t="s">
        <v>2084</v>
      </c>
      <c r="AB486" s="23"/>
    </row>
    <row r="487" spans="1:28" ht="25.5">
      <c r="A487" s="15">
        <v>486</v>
      </c>
      <c r="B487" s="9" t="s">
        <v>1772</v>
      </c>
      <c r="C487" s="15"/>
      <c r="D487" s="10" t="s">
        <v>1642</v>
      </c>
      <c r="E487" s="21" t="s">
        <v>2085</v>
      </c>
      <c r="F487" s="22"/>
      <c r="G487" s="12" t="s">
        <v>2086</v>
      </c>
      <c r="H487" s="13">
        <v>-3.3000000000000002E-2</v>
      </c>
      <c r="I487" s="14" t="s">
        <v>1797</v>
      </c>
      <c r="J487" s="22" t="s">
        <v>1798</v>
      </c>
      <c r="K487" s="9">
        <v>1</v>
      </c>
      <c r="L487" s="15" t="s">
        <v>1479</v>
      </c>
      <c r="M487" s="16" t="s">
        <v>74</v>
      </c>
      <c r="N487" s="14"/>
      <c r="O487" s="15" t="s">
        <v>65</v>
      </c>
      <c r="P487" s="22" t="s">
        <v>1765</v>
      </c>
      <c r="Q487" s="15"/>
      <c r="R487" s="17" t="s">
        <v>74</v>
      </c>
      <c r="S487" s="18"/>
      <c r="T487" s="22" t="str">
        <f>IF(R487="維持",J487,IF(R487="排除","無關新聞事件",IFERROR(INDEX(事件規則!$B$2:$B$53,MATCH(S487,事件規則!$A$2:$A$53,0)),"")))</f>
        <v>無關新聞事件</v>
      </c>
      <c r="U487" s="9">
        <f>IF(R487="維持",K487,IF(R487="排除",0,IFERROR(INDEX(事件規則!$C$2:$C$53,MATCH(S487,事件規則!$A$2:$A$53,0)),"")))</f>
        <v>0</v>
      </c>
      <c r="V487" s="19"/>
      <c r="W487" s="20"/>
      <c r="X487" s="10" t="str">
        <f t="shared" si="7"/>
        <v/>
      </c>
      <c r="Y487" s="19"/>
      <c r="Z487" s="20"/>
      <c r="AA487" s="12" t="s">
        <v>2087</v>
      </c>
      <c r="AB487" s="23"/>
    </row>
    <row r="488" spans="1:28" ht="25.5">
      <c r="A488" s="15">
        <v>487</v>
      </c>
      <c r="B488" s="9" t="s">
        <v>1772</v>
      </c>
      <c r="C488" s="15"/>
      <c r="D488" s="10" t="s">
        <v>1953</v>
      </c>
      <c r="E488" s="21" t="s">
        <v>2088</v>
      </c>
      <c r="F488" s="22"/>
      <c r="G488" s="12" t="s">
        <v>2089</v>
      </c>
      <c r="H488" s="13">
        <v>-0.64900000000000002</v>
      </c>
      <c r="I488" s="14" t="s">
        <v>1797</v>
      </c>
      <c r="J488" s="22" t="s">
        <v>1798</v>
      </c>
      <c r="K488" s="9">
        <v>1</v>
      </c>
      <c r="L488" s="15" t="s">
        <v>1479</v>
      </c>
      <c r="M488" s="16" t="s">
        <v>74</v>
      </c>
      <c r="N488" s="14"/>
      <c r="O488" s="15" t="s">
        <v>65</v>
      </c>
      <c r="P488" s="22" t="s">
        <v>1765</v>
      </c>
      <c r="Q488" s="15"/>
      <c r="R488" s="17" t="s">
        <v>74</v>
      </c>
      <c r="S488" s="18"/>
      <c r="T488" s="22" t="str">
        <f>IF(R488="維持",J488,IF(R488="排除","無關新聞事件",IFERROR(INDEX(事件規則!$B$2:$B$53,MATCH(S488,事件規則!$A$2:$A$53,0)),"")))</f>
        <v>無關新聞事件</v>
      </c>
      <c r="U488" s="9">
        <f>IF(R488="維持",K488,IF(R488="排除",0,IFERROR(INDEX(事件規則!$C$2:$C$53,MATCH(S488,事件規則!$A$2:$A$53,0)),"")))</f>
        <v>0</v>
      </c>
      <c r="V488" s="19"/>
      <c r="W488" s="20"/>
      <c r="X488" s="10" t="str">
        <f t="shared" si="7"/>
        <v/>
      </c>
      <c r="Y488" s="19"/>
      <c r="Z488" s="20"/>
      <c r="AA488" s="12" t="s">
        <v>2090</v>
      </c>
      <c r="AB488" s="23"/>
    </row>
    <row r="489" spans="1:28" ht="25.5">
      <c r="A489" s="15">
        <v>488</v>
      </c>
      <c r="B489" s="9" t="s">
        <v>1772</v>
      </c>
      <c r="C489" s="15"/>
      <c r="D489" s="10" t="s">
        <v>1675</v>
      </c>
      <c r="E489" s="21" t="s">
        <v>2091</v>
      </c>
      <c r="F489" s="22"/>
      <c r="G489" s="12" t="s">
        <v>1978</v>
      </c>
      <c r="H489" s="13">
        <v>0.20899999999999999</v>
      </c>
      <c r="I489" s="14" t="s">
        <v>1797</v>
      </c>
      <c r="J489" s="22" t="s">
        <v>1798</v>
      </c>
      <c r="K489" s="9">
        <v>1</v>
      </c>
      <c r="L489" s="15" t="s">
        <v>1479</v>
      </c>
      <c r="M489" s="16" t="s">
        <v>74</v>
      </c>
      <c r="N489" s="14"/>
      <c r="O489" s="15" t="s">
        <v>65</v>
      </c>
      <c r="P489" s="22" t="s">
        <v>1765</v>
      </c>
      <c r="Q489" s="15"/>
      <c r="R489" s="17" t="s">
        <v>74</v>
      </c>
      <c r="S489" s="18"/>
      <c r="T489" s="22" t="str">
        <f>IF(R489="維持",J489,IF(R489="排除","無關新聞事件",IFERROR(INDEX(事件規則!$B$2:$B$53,MATCH(S489,事件規則!$A$2:$A$53,0)),"")))</f>
        <v>無關新聞事件</v>
      </c>
      <c r="U489" s="9">
        <f>IF(R489="維持",K489,IF(R489="排除",0,IFERROR(INDEX(事件規則!$C$2:$C$53,MATCH(S489,事件規則!$A$2:$A$53,0)),"")))</f>
        <v>0</v>
      </c>
      <c r="V489" s="19"/>
      <c r="W489" s="20"/>
      <c r="X489" s="10" t="str">
        <f t="shared" si="7"/>
        <v/>
      </c>
      <c r="Y489" s="19"/>
      <c r="Z489" s="20"/>
      <c r="AA489" s="12" t="s">
        <v>2092</v>
      </c>
      <c r="AB489" s="23"/>
    </row>
    <row r="490" spans="1:28" ht="38.25">
      <c r="A490" s="15">
        <v>489</v>
      </c>
      <c r="B490" s="9" t="s">
        <v>591</v>
      </c>
      <c r="C490" s="15"/>
      <c r="D490" s="10" t="s">
        <v>2093</v>
      </c>
      <c r="E490" s="21" t="s">
        <v>2094</v>
      </c>
      <c r="F490" s="22"/>
      <c r="G490" s="12" t="s">
        <v>2095</v>
      </c>
      <c r="H490" s="13">
        <v>-0.622</v>
      </c>
      <c r="I490" s="14" t="s">
        <v>1797</v>
      </c>
      <c r="J490" s="22" t="s">
        <v>1798</v>
      </c>
      <c r="K490" s="9">
        <v>1</v>
      </c>
      <c r="L490" s="15" t="s">
        <v>1479</v>
      </c>
      <c r="M490" s="16" t="s">
        <v>74</v>
      </c>
      <c r="N490" s="14"/>
      <c r="O490" s="15" t="s">
        <v>65</v>
      </c>
      <c r="P490" s="22" t="s">
        <v>1765</v>
      </c>
      <c r="Q490" s="15"/>
      <c r="R490" s="17" t="s">
        <v>74</v>
      </c>
      <c r="S490" s="18"/>
      <c r="T490" s="22" t="str">
        <f>IF(R490="維持",J490,IF(R490="排除","無關新聞事件",IFERROR(INDEX(事件規則!$B$2:$B$53,MATCH(S490,事件規則!$A$2:$A$53,0)),"")))</f>
        <v>無關新聞事件</v>
      </c>
      <c r="U490" s="9">
        <f>IF(R490="維持",K490,IF(R490="排除",0,IFERROR(INDEX(事件規則!$C$2:$C$53,MATCH(S490,事件規則!$A$2:$A$53,0)),"")))</f>
        <v>0</v>
      </c>
      <c r="V490" s="19"/>
      <c r="W490" s="20"/>
      <c r="X490" s="10" t="str">
        <f t="shared" si="7"/>
        <v/>
      </c>
      <c r="Y490" s="19"/>
      <c r="Z490" s="20"/>
      <c r="AA490" s="12" t="s">
        <v>2096</v>
      </c>
      <c r="AB490" s="23"/>
    </row>
    <row r="491" spans="1:28" ht="25.5">
      <c r="A491" s="15">
        <v>490</v>
      </c>
      <c r="B491" s="9" t="s">
        <v>591</v>
      </c>
      <c r="C491" s="15"/>
      <c r="D491" s="10" t="s">
        <v>1953</v>
      </c>
      <c r="E491" s="21" t="s">
        <v>2097</v>
      </c>
      <c r="F491" s="22"/>
      <c r="G491" s="12" t="s">
        <v>2098</v>
      </c>
      <c r="H491" s="13">
        <v>-0.39100000000000001</v>
      </c>
      <c r="I491" s="14" t="s">
        <v>1797</v>
      </c>
      <c r="J491" s="22" t="s">
        <v>1798</v>
      </c>
      <c r="K491" s="9">
        <v>1</v>
      </c>
      <c r="L491" s="15" t="s">
        <v>1479</v>
      </c>
      <c r="M491" s="16" t="s">
        <v>74</v>
      </c>
      <c r="N491" s="14"/>
      <c r="O491" s="15" t="s">
        <v>65</v>
      </c>
      <c r="P491" s="22" t="s">
        <v>1765</v>
      </c>
      <c r="Q491" s="15"/>
      <c r="R491" s="17" t="s">
        <v>74</v>
      </c>
      <c r="S491" s="18"/>
      <c r="T491" s="22" t="str">
        <f>IF(R491="維持",J491,IF(R491="排除","無關新聞事件",IFERROR(INDEX(事件規則!$B$2:$B$53,MATCH(S491,事件規則!$A$2:$A$53,0)),"")))</f>
        <v>無關新聞事件</v>
      </c>
      <c r="U491" s="9">
        <f>IF(R491="維持",K491,IF(R491="排除",0,IFERROR(INDEX(事件規則!$C$2:$C$53,MATCH(S491,事件規則!$A$2:$A$53,0)),"")))</f>
        <v>0</v>
      </c>
      <c r="V491" s="19"/>
      <c r="W491" s="20"/>
      <c r="X491" s="10" t="str">
        <f t="shared" si="7"/>
        <v/>
      </c>
      <c r="Y491" s="19"/>
      <c r="Z491" s="20"/>
      <c r="AA491" s="12" t="s">
        <v>2099</v>
      </c>
      <c r="AB491" s="23"/>
    </row>
    <row r="492" spans="1:28" ht="25.5">
      <c r="A492" s="15">
        <v>491</v>
      </c>
      <c r="B492" s="9" t="s">
        <v>591</v>
      </c>
      <c r="C492" s="15"/>
      <c r="D492" s="10" t="s">
        <v>1889</v>
      </c>
      <c r="E492" s="21" t="s">
        <v>2100</v>
      </c>
      <c r="F492" s="22"/>
      <c r="G492" s="12" t="s">
        <v>252</v>
      </c>
      <c r="H492" s="13">
        <v>-0.71499999999999997</v>
      </c>
      <c r="I492" s="14" t="s">
        <v>1797</v>
      </c>
      <c r="J492" s="22" t="s">
        <v>1798</v>
      </c>
      <c r="K492" s="9">
        <v>1</v>
      </c>
      <c r="L492" s="15" t="s">
        <v>1479</v>
      </c>
      <c r="M492" s="16" t="s">
        <v>74</v>
      </c>
      <c r="N492" s="14"/>
      <c r="O492" s="15" t="s">
        <v>65</v>
      </c>
      <c r="P492" s="22" t="s">
        <v>1765</v>
      </c>
      <c r="Q492" s="15"/>
      <c r="R492" s="17" t="s">
        <v>74</v>
      </c>
      <c r="S492" s="18"/>
      <c r="T492" s="22" t="str">
        <f>IF(R492="維持",J492,IF(R492="排除","無關新聞事件",IFERROR(INDEX(事件規則!$B$2:$B$53,MATCH(S492,事件規則!$A$2:$A$53,0)),"")))</f>
        <v>無關新聞事件</v>
      </c>
      <c r="U492" s="9">
        <f>IF(R492="維持",K492,IF(R492="排除",0,IFERROR(INDEX(事件規則!$C$2:$C$53,MATCH(S492,事件規則!$A$2:$A$53,0)),"")))</f>
        <v>0</v>
      </c>
      <c r="V492" s="19"/>
      <c r="W492" s="20"/>
      <c r="X492" s="10" t="str">
        <f t="shared" si="7"/>
        <v/>
      </c>
      <c r="Y492" s="19"/>
      <c r="Z492" s="20"/>
      <c r="AA492" s="12" t="s">
        <v>2101</v>
      </c>
      <c r="AB492" s="23"/>
    </row>
    <row r="493" spans="1:28" ht="25.5">
      <c r="A493" s="15">
        <v>492</v>
      </c>
      <c r="B493" s="9" t="s">
        <v>113</v>
      </c>
      <c r="C493" s="15"/>
      <c r="D493" s="10" t="s">
        <v>1889</v>
      </c>
      <c r="E493" s="21" t="s">
        <v>2102</v>
      </c>
      <c r="F493" s="22"/>
      <c r="G493" s="12" t="s">
        <v>2103</v>
      </c>
      <c r="H493" s="13">
        <v>-0.28399999999999997</v>
      </c>
      <c r="I493" s="14" t="s">
        <v>1797</v>
      </c>
      <c r="J493" s="22" t="s">
        <v>1798</v>
      </c>
      <c r="K493" s="9">
        <v>1</v>
      </c>
      <c r="L493" s="15" t="s">
        <v>1479</v>
      </c>
      <c r="M493" s="16" t="s">
        <v>74</v>
      </c>
      <c r="N493" s="14"/>
      <c r="O493" s="15" t="s">
        <v>65</v>
      </c>
      <c r="P493" s="22" t="s">
        <v>1765</v>
      </c>
      <c r="Q493" s="15"/>
      <c r="R493" s="17" t="s">
        <v>74</v>
      </c>
      <c r="S493" s="18"/>
      <c r="T493" s="22" t="str">
        <f>IF(R493="維持",J493,IF(R493="排除","無關新聞事件",IFERROR(INDEX(事件規則!$B$2:$B$53,MATCH(S493,事件規則!$A$2:$A$53,0)),"")))</f>
        <v>無關新聞事件</v>
      </c>
      <c r="U493" s="9">
        <f>IF(R493="維持",K493,IF(R493="排除",0,IFERROR(INDEX(事件規則!$C$2:$C$53,MATCH(S493,事件規則!$A$2:$A$53,0)),"")))</f>
        <v>0</v>
      </c>
      <c r="V493" s="19"/>
      <c r="W493" s="20"/>
      <c r="X493" s="10" t="str">
        <f t="shared" si="7"/>
        <v/>
      </c>
      <c r="Y493" s="19"/>
      <c r="Z493" s="20"/>
      <c r="AA493" s="12" t="s">
        <v>2104</v>
      </c>
      <c r="AB493" s="23"/>
    </row>
    <row r="494" spans="1:28" ht="25.5">
      <c r="A494" s="15">
        <v>493</v>
      </c>
      <c r="B494" s="9" t="s">
        <v>113</v>
      </c>
      <c r="C494" s="15"/>
      <c r="D494" s="10" t="s">
        <v>1889</v>
      </c>
      <c r="E494" s="21" t="s">
        <v>2105</v>
      </c>
      <c r="F494" s="22"/>
      <c r="G494" s="12" t="s">
        <v>2106</v>
      </c>
      <c r="H494" s="13">
        <v>-0.93700000000000006</v>
      </c>
      <c r="I494" s="14" t="s">
        <v>1797</v>
      </c>
      <c r="J494" s="22" t="s">
        <v>1798</v>
      </c>
      <c r="K494" s="9">
        <v>1</v>
      </c>
      <c r="L494" s="15" t="s">
        <v>1479</v>
      </c>
      <c r="M494" s="16" t="s">
        <v>74</v>
      </c>
      <c r="N494" s="14"/>
      <c r="O494" s="15" t="s">
        <v>65</v>
      </c>
      <c r="P494" s="22" t="s">
        <v>1765</v>
      </c>
      <c r="Q494" s="15"/>
      <c r="R494" s="17" t="s">
        <v>74</v>
      </c>
      <c r="S494" s="18"/>
      <c r="T494" s="22" t="str">
        <f>IF(R494="維持",J494,IF(R494="排除","無關新聞事件",IFERROR(INDEX(事件規則!$B$2:$B$53,MATCH(S494,事件規則!$A$2:$A$53,0)),"")))</f>
        <v>無關新聞事件</v>
      </c>
      <c r="U494" s="9">
        <f>IF(R494="維持",K494,IF(R494="排除",0,IFERROR(INDEX(事件規則!$C$2:$C$53,MATCH(S494,事件規則!$A$2:$A$53,0)),"")))</f>
        <v>0</v>
      </c>
      <c r="V494" s="19"/>
      <c r="W494" s="20"/>
      <c r="X494" s="10" t="str">
        <f t="shared" si="7"/>
        <v/>
      </c>
      <c r="Y494" s="19"/>
      <c r="Z494" s="20"/>
      <c r="AA494" s="12" t="s">
        <v>2107</v>
      </c>
      <c r="AB494" s="23"/>
    </row>
    <row r="495" spans="1:28" ht="25.5">
      <c r="A495" s="15">
        <v>494</v>
      </c>
      <c r="B495" s="9" t="s">
        <v>113</v>
      </c>
      <c r="C495" s="15"/>
      <c r="D495" s="10" t="s">
        <v>1889</v>
      </c>
      <c r="E495" s="21" t="s">
        <v>2108</v>
      </c>
      <c r="F495" s="22"/>
      <c r="G495" s="12" t="s">
        <v>2109</v>
      </c>
      <c r="H495" s="13">
        <v>-0.70599999999999996</v>
      </c>
      <c r="I495" s="14" t="s">
        <v>1797</v>
      </c>
      <c r="J495" s="22" t="s">
        <v>1798</v>
      </c>
      <c r="K495" s="9">
        <v>1</v>
      </c>
      <c r="L495" s="15" t="s">
        <v>1479</v>
      </c>
      <c r="M495" s="16" t="s">
        <v>74</v>
      </c>
      <c r="N495" s="14"/>
      <c r="O495" s="15" t="s">
        <v>65</v>
      </c>
      <c r="P495" s="22" t="s">
        <v>1765</v>
      </c>
      <c r="Q495" s="15"/>
      <c r="R495" s="17" t="s">
        <v>74</v>
      </c>
      <c r="S495" s="18"/>
      <c r="T495" s="22" t="str">
        <f>IF(R495="維持",J495,IF(R495="排除","無關新聞事件",IFERROR(INDEX(事件規則!$B$2:$B$53,MATCH(S495,事件規則!$A$2:$A$53,0)),"")))</f>
        <v>無關新聞事件</v>
      </c>
      <c r="U495" s="9">
        <f>IF(R495="維持",K495,IF(R495="排除",0,IFERROR(INDEX(事件規則!$C$2:$C$53,MATCH(S495,事件規則!$A$2:$A$53,0)),"")))</f>
        <v>0</v>
      </c>
      <c r="V495" s="19"/>
      <c r="W495" s="20"/>
      <c r="X495" s="10" t="str">
        <f t="shared" si="7"/>
        <v/>
      </c>
      <c r="Y495" s="19"/>
      <c r="Z495" s="20"/>
      <c r="AA495" s="12" t="s">
        <v>2110</v>
      </c>
      <c r="AB495" s="23"/>
    </row>
    <row r="496" spans="1:28" ht="25.5">
      <c r="A496" s="15">
        <v>495</v>
      </c>
      <c r="B496" s="9" t="s">
        <v>113</v>
      </c>
      <c r="C496" s="15"/>
      <c r="D496" s="10" t="s">
        <v>2111</v>
      </c>
      <c r="E496" s="21" t="s">
        <v>2112</v>
      </c>
      <c r="F496" s="22"/>
      <c r="G496" s="12" t="s">
        <v>2113</v>
      </c>
      <c r="H496" s="13">
        <v>-0.71299999999999997</v>
      </c>
      <c r="I496" s="14" t="s">
        <v>1797</v>
      </c>
      <c r="J496" s="22" t="s">
        <v>1798</v>
      </c>
      <c r="K496" s="9">
        <v>1</v>
      </c>
      <c r="L496" s="15" t="s">
        <v>1479</v>
      </c>
      <c r="M496" s="16" t="s">
        <v>74</v>
      </c>
      <c r="N496" s="14"/>
      <c r="O496" s="15" t="s">
        <v>65</v>
      </c>
      <c r="P496" s="22" t="s">
        <v>1765</v>
      </c>
      <c r="Q496" s="15"/>
      <c r="R496" s="17" t="s">
        <v>74</v>
      </c>
      <c r="S496" s="18"/>
      <c r="T496" s="22" t="str">
        <f>IF(R496="維持",J496,IF(R496="排除","無關新聞事件",IFERROR(INDEX(事件規則!$B$2:$B$53,MATCH(S496,事件規則!$A$2:$A$53,0)),"")))</f>
        <v>無關新聞事件</v>
      </c>
      <c r="U496" s="9">
        <f>IF(R496="維持",K496,IF(R496="排除",0,IFERROR(INDEX(事件規則!$C$2:$C$53,MATCH(S496,事件規則!$A$2:$A$53,0)),"")))</f>
        <v>0</v>
      </c>
      <c r="V496" s="19"/>
      <c r="W496" s="20"/>
      <c r="X496" s="10" t="str">
        <f t="shared" si="7"/>
        <v/>
      </c>
      <c r="Y496" s="19"/>
      <c r="Z496" s="20"/>
      <c r="AA496" s="12" t="s">
        <v>2114</v>
      </c>
      <c r="AB496" s="23"/>
    </row>
    <row r="497" spans="1:28" ht="25.5">
      <c r="A497" s="15">
        <v>496</v>
      </c>
      <c r="B497" s="9" t="s">
        <v>113</v>
      </c>
      <c r="C497" s="15"/>
      <c r="D497" s="10" t="s">
        <v>1773</v>
      </c>
      <c r="E497" s="21" t="s">
        <v>2115</v>
      </c>
      <c r="F497" s="22"/>
      <c r="G497" s="12" t="s">
        <v>2116</v>
      </c>
      <c r="H497" s="13">
        <v>0.17699999999999999</v>
      </c>
      <c r="I497" s="14" t="s">
        <v>1797</v>
      </c>
      <c r="J497" s="22" t="s">
        <v>1798</v>
      </c>
      <c r="K497" s="9">
        <v>1</v>
      </c>
      <c r="L497" s="15" t="s">
        <v>1479</v>
      </c>
      <c r="M497" s="16" t="s">
        <v>74</v>
      </c>
      <c r="N497" s="14"/>
      <c r="O497" s="15" t="s">
        <v>65</v>
      </c>
      <c r="P497" s="22" t="s">
        <v>1765</v>
      </c>
      <c r="Q497" s="15"/>
      <c r="R497" s="17" t="s">
        <v>74</v>
      </c>
      <c r="S497" s="18"/>
      <c r="T497" s="22" t="str">
        <f>IF(R497="維持",J497,IF(R497="排除","無關新聞事件",IFERROR(INDEX(事件規則!$B$2:$B$53,MATCH(S497,事件規則!$A$2:$A$53,0)),"")))</f>
        <v>無關新聞事件</v>
      </c>
      <c r="U497" s="9">
        <f>IF(R497="維持",K497,IF(R497="排除",0,IFERROR(INDEX(事件規則!$C$2:$C$53,MATCH(S497,事件規則!$A$2:$A$53,0)),"")))</f>
        <v>0</v>
      </c>
      <c r="V497" s="19"/>
      <c r="W497" s="20"/>
      <c r="X497" s="10" t="str">
        <f t="shared" si="7"/>
        <v/>
      </c>
      <c r="Y497" s="19"/>
      <c r="Z497" s="20"/>
      <c r="AA497" s="12" t="s">
        <v>2117</v>
      </c>
      <c r="AB497" s="23"/>
    </row>
    <row r="498" spans="1:28" ht="38.25">
      <c r="A498" s="15">
        <v>497</v>
      </c>
      <c r="B498" s="9" t="s">
        <v>113</v>
      </c>
      <c r="C498" s="15"/>
      <c r="D498" s="10" t="s">
        <v>1500</v>
      </c>
      <c r="E498" s="21" t="s">
        <v>2118</v>
      </c>
      <c r="F498" s="22"/>
      <c r="G498" s="12" t="s">
        <v>2119</v>
      </c>
      <c r="H498" s="13">
        <v>0.11799999999999999</v>
      </c>
      <c r="I498" s="14" t="s">
        <v>1797</v>
      </c>
      <c r="J498" s="22" t="s">
        <v>1798</v>
      </c>
      <c r="K498" s="9">
        <v>1</v>
      </c>
      <c r="L498" s="15" t="s">
        <v>1479</v>
      </c>
      <c r="M498" s="16" t="s">
        <v>74</v>
      </c>
      <c r="N498" s="14"/>
      <c r="O498" s="15" t="s">
        <v>65</v>
      </c>
      <c r="P498" s="22" t="s">
        <v>1765</v>
      </c>
      <c r="Q498" s="15"/>
      <c r="R498" s="17" t="s">
        <v>74</v>
      </c>
      <c r="S498" s="18"/>
      <c r="T498" s="22" t="str">
        <f>IF(R498="維持",J498,IF(R498="排除","無關新聞事件",IFERROR(INDEX(事件規則!$B$2:$B$53,MATCH(S498,事件規則!$A$2:$A$53,0)),"")))</f>
        <v>無關新聞事件</v>
      </c>
      <c r="U498" s="9">
        <f>IF(R498="維持",K498,IF(R498="排除",0,IFERROR(INDEX(事件規則!$C$2:$C$53,MATCH(S498,事件規則!$A$2:$A$53,0)),"")))</f>
        <v>0</v>
      </c>
      <c r="V498" s="19"/>
      <c r="W498" s="20"/>
      <c r="X498" s="10" t="str">
        <f t="shared" si="7"/>
        <v/>
      </c>
      <c r="Y498" s="19"/>
      <c r="Z498" s="20"/>
      <c r="AA498" s="12" t="s">
        <v>2120</v>
      </c>
      <c r="AB498" s="23"/>
    </row>
    <row r="499" spans="1:28" ht="25.5">
      <c r="A499" s="15">
        <v>498</v>
      </c>
      <c r="B499" s="9" t="s">
        <v>113</v>
      </c>
      <c r="C499" s="15"/>
      <c r="D499" s="10" t="s">
        <v>1637</v>
      </c>
      <c r="E499" s="21" t="s">
        <v>2121</v>
      </c>
      <c r="F499" s="22"/>
      <c r="G499" s="12" t="s">
        <v>992</v>
      </c>
      <c r="H499" s="13">
        <v>-7.1999999999999995E-2</v>
      </c>
      <c r="I499" s="14" t="s">
        <v>1797</v>
      </c>
      <c r="J499" s="22" t="s">
        <v>1798</v>
      </c>
      <c r="K499" s="9">
        <v>1</v>
      </c>
      <c r="L499" s="15" t="s">
        <v>1479</v>
      </c>
      <c r="M499" s="16" t="s">
        <v>74</v>
      </c>
      <c r="N499" s="14"/>
      <c r="O499" s="15" t="s">
        <v>65</v>
      </c>
      <c r="P499" s="22" t="s">
        <v>1765</v>
      </c>
      <c r="Q499" s="15"/>
      <c r="R499" s="17" t="s">
        <v>74</v>
      </c>
      <c r="S499" s="18"/>
      <c r="T499" s="22" t="str">
        <f>IF(R499="維持",J499,IF(R499="排除","無關新聞事件",IFERROR(INDEX(事件規則!$B$2:$B$53,MATCH(S499,事件規則!$A$2:$A$53,0)),"")))</f>
        <v>無關新聞事件</v>
      </c>
      <c r="U499" s="9">
        <f>IF(R499="維持",K499,IF(R499="排除",0,IFERROR(INDEX(事件規則!$C$2:$C$53,MATCH(S499,事件規則!$A$2:$A$53,0)),"")))</f>
        <v>0</v>
      </c>
      <c r="V499" s="19"/>
      <c r="W499" s="20"/>
      <c r="X499" s="10" t="str">
        <f t="shared" si="7"/>
        <v/>
      </c>
      <c r="Y499" s="19"/>
      <c r="Z499" s="20"/>
      <c r="AA499" s="12" t="s">
        <v>2122</v>
      </c>
      <c r="AB499" s="23"/>
    </row>
    <row r="500" spans="1:28" ht="25.5">
      <c r="A500" s="15">
        <v>499</v>
      </c>
      <c r="B500" s="9" t="s">
        <v>113</v>
      </c>
      <c r="C500" s="15"/>
      <c r="D500" s="10" t="s">
        <v>1733</v>
      </c>
      <c r="E500" s="21" t="s">
        <v>2121</v>
      </c>
      <c r="F500" s="22"/>
      <c r="G500" s="12" t="s">
        <v>992</v>
      </c>
      <c r="H500" s="13">
        <v>-7.1999999999999995E-2</v>
      </c>
      <c r="I500" s="14" t="s">
        <v>1797</v>
      </c>
      <c r="J500" s="22" t="s">
        <v>1798</v>
      </c>
      <c r="K500" s="9">
        <v>1</v>
      </c>
      <c r="L500" s="15" t="s">
        <v>1479</v>
      </c>
      <c r="M500" s="16" t="s">
        <v>74</v>
      </c>
      <c r="N500" s="14"/>
      <c r="O500" s="15" t="s">
        <v>65</v>
      </c>
      <c r="P500" s="22" t="s">
        <v>1765</v>
      </c>
      <c r="Q500" s="15"/>
      <c r="R500" s="17" t="s">
        <v>74</v>
      </c>
      <c r="S500" s="18"/>
      <c r="T500" s="22" t="str">
        <f>IF(R500="維持",J500,IF(R500="排除","無關新聞事件",IFERROR(INDEX(事件規則!$B$2:$B$53,MATCH(S500,事件規則!$A$2:$A$53,0)),"")))</f>
        <v>無關新聞事件</v>
      </c>
      <c r="U500" s="9">
        <f>IF(R500="維持",K500,IF(R500="排除",0,IFERROR(INDEX(事件規則!$C$2:$C$53,MATCH(S500,事件規則!$A$2:$A$53,0)),"")))</f>
        <v>0</v>
      </c>
      <c r="V500" s="19"/>
      <c r="W500" s="20"/>
      <c r="X500" s="10" t="str">
        <f t="shared" si="7"/>
        <v/>
      </c>
      <c r="Y500" s="19"/>
      <c r="Z500" s="20"/>
      <c r="AA500" s="12" t="s">
        <v>2123</v>
      </c>
      <c r="AB500" s="23"/>
    </row>
    <row r="501" spans="1:28" ht="25.5">
      <c r="A501" s="15">
        <v>500</v>
      </c>
      <c r="B501" s="9" t="s">
        <v>225</v>
      </c>
      <c r="C501" s="15"/>
      <c r="D501" s="10" t="s">
        <v>1889</v>
      </c>
      <c r="E501" s="21" t="s">
        <v>2124</v>
      </c>
      <c r="F501" s="22"/>
      <c r="G501" s="12" t="s">
        <v>1130</v>
      </c>
      <c r="H501" s="13">
        <v>-5.0000000000000001E-3</v>
      </c>
      <c r="I501" s="14" t="s">
        <v>1797</v>
      </c>
      <c r="J501" s="22" t="s">
        <v>1798</v>
      </c>
      <c r="K501" s="9">
        <v>1</v>
      </c>
      <c r="L501" s="15" t="s">
        <v>1479</v>
      </c>
      <c r="M501" s="16" t="s">
        <v>74</v>
      </c>
      <c r="N501" s="14"/>
      <c r="O501" s="15" t="s">
        <v>65</v>
      </c>
      <c r="P501" s="22" t="s">
        <v>1765</v>
      </c>
      <c r="Q501" s="15"/>
      <c r="R501" s="17" t="s">
        <v>74</v>
      </c>
      <c r="S501" s="18"/>
      <c r="T501" s="22" t="str">
        <f>IF(R501="維持",J501,IF(R501="排除","無關新聞事件",IFERROR(INDEX(事件規則!$B$2:$B$53,MATCH(S501,事件規則!$A$2:$A$53,0)),"")))</f>
        <v>無關新聞事件</v>
      </c>
      <c r="U501" s="9">
        <f>IF(R501="維持",K501,IF(R501="排除",0,IFERROR(INDEX(事件規則!$C$2:$C$53,MATCH(S501,事件規則!$A$2:$A$53,0)),"")))</f>
        <v>0</v>
      </c>
      <c r="V501" s="19"/>
      <c r="W501" s="20"/>
      <c r="X501" s="10" t="str">
        <f t="shared" si="7"/>
        <v/>
      </c>
      <c r="Y501" s="19"/>
      <c r="Z501" s="20"/>
      <c r="AA501" s="12" t="s">
        <v>2125</v>
      </c>
      <c r="AB501" s="23"/>
    </row>
    <row r="502" spans="1:28" ht="25.5">
      <c r="A502" s="15">
        <v>501</v>
      </c>
      <c r="B502" s="9" t="s">
        <v>225</v>
      </c>
      <c r="C502" s="15"/>
      <c r="D502" s="10" t="s">
        <v>1889</v>
      </c>
      <c r="E502" s="21" t="s">
        <v>2126</v>
      </c>
      <c r="F502" s="22"/>
      <c r="G502" s="12" t="s">
        <v>1130</v>
      </c>
      <c r="H502" s="13">
        <v>1.7000000000000001E-2</v>
      </c>
      <c r="I502" s="14" t="s">
        <v>1797</v>
      </c>
      <c r="J502" s="22" t="s">
        <v>1798</v>
      </c>
      <c r="K502" s="9">
        <v>1</v>
      </c>
      <c r="L502" s="15" t="s">
        <v>1479</v>
      </c>
      <c r="M502" s="16" t="s">
        <v>74</v>
      </c>
      <c r="N502" s="14"/>
      <c r="O502" s="15" t="s">
        <v>65</v>
      </c>
      <c r="P502" s="22" t="s">
        <v>1765</v>
      </c>
      <c r="Q502" s="15"/>
      <c r="R502" s="17" t="s">
        <v>74</v>
      </c>
      <c r="S502" s="18"/>
      <c r="T502" s="22" t="str">
        <f>IF(R502="維持",J502,IF(R502="排除","無關新聞事件",IFERROR(INDEX(事件規則!$B$2:$B$53,MATCH(S502,事件規則!$A$2:$A$53,0)),"")))</f>
        <v>無關新聞事件</v>
      </c>
      <c r="U502" s="9">
        <f>IF(R502="維持",K502,IF(R502="排除",0,IFERROR(INDEX(事件規則!$C$2:$C$53,MATCH(S502,事件規則!$A$2:$A$53,0)),"")))</f>
        <v>0</v>
      </c>
      <c r="V502" s="19"/>
      <c r="W502" s="20"/>
      <c r="X502" s="10" t="str">
        <f t="shared" si="7"/>
        <v/>
      </c>
      <c r="Y502" s="19"/>
      <c r="Z502" s="20"/>
      <c r="AA502" s="12" t="s">
        <v>2127</v>
      </c>
      <c r="AB502" s="23"/>
    </row>
    <row r="503" spans="1:28" ht="25.5">
      <c r="A503" s="15">
        <v>502</v>
      </c>
      <c r="B503" s="9" t="s">
        <v>225</v>
      </c>
      <c r="C503" s="15"/>
      <c r="D503" s="10" t="s">
        <v>1773</v>
      </c>
      <c r="E503" s="21" t="s">
        <v>2128</v>
      </c>
      <c r="F503" s="22"/>
      <c r="G503" s="12" t="s">
        <v>2129</v>
      </c>
      <c r="H503" s="13">
        <v>-7.0000000000000001E-3</v>
      </c>
      <c r="I503" s="14" t="s">
        <v>1797</v>
      </c>
      <c r="J503" s="22" t="s">
        <v>1798</v>
      </c>
      <c r="K503" s="9">
        <v>1</v>
      </c>
      <c r="L503" s="15" t="s">
        <v>1479</v>
      </c>
      <c r="M503" s="16" t="s">
        <v>74</v>
      </c>
      <c r="N503" s="14"/>
      <c r="O503" s="15" t="s">
        <v>65</v>
      </c>
      <c r="P503" s="22" t="s">
        <v>1765</v>
      </c>
      <c r="Q503" s="15"/>
      <c r="R503" s="17" t="s">
        <v>74</v>
      </c>
      <c r="S503" s="18"/>
      <c r="T503" s="22" t="str">
        <f>IF(R503="維持",J503,IF(R503="排除","無關新聞事件",IFERROR(INDEX(事件規則!$B$2:$B$53,MATCH(S503,事件規則!$A$2:$A$53,0)),"")))</f>
        <v>無關新聞事件</v>
      </c>
      <c r="U503" s="9">
        <f>IF(R503="維持",K503,IF(R503="排除",0,IFERROR(INDEX(事件規則!$C$2:$C$53,MATCH(S503,事件規則!$A$2:$A$53,0)),"")))</f>
        <v>0</v>
      </c>
      <c r="V503" s="19"/>
      <c r="W503" s="20"/>
      <c r="X503" s="10" t="str">
        <f t="shared" si="7"/>
        <v/>
      </c>
      <c r="Y503" s="19"/>
      <c r="Z503" s="20"/>
      <c r="AA503" s="12" t="s">
        <v>2130</v>
      </c>
      <c r="AB503" s="23"/>
    </row>
    <row r="504" spans="1:28" ht="25.5">
      <c r="A504" s="15">
        <v>503</v>
      </c>
      <c r="B504" s="9" t="s">
        <v>225</v>
      </c>
      <c r="C504" s="15"/>
      <c r="D504" s="10" t="s">
        <v>1889</v>
      </c>
      <c r="E504" s="21" t="s">
        <v>2131</v>
      </c>
      <c r="F504" s="22"/>
      <c r="G504" s="12" t="s">
        <v>2132</v>
      </c>
      <c r="H504" s="13">
        <v>-0.91300000000000003</v>
      </c>
      <c r="I504" s="14" t="s">
        <v>1797</v>
      </c>
      <c r="J504" s="22" t="s">
        <v>1798</v>
      </c>
      <c r="K504" s="9">
        <v>1</v>
      </c>
      <c r="L504" s="15" t="s">
        <v>1479</v>
      </c>
      <c r="M504" s="16" t="s">
        <v>74</v>
      </c>
      <c r="N504" s="14"/>
      <c r="O504" s="15" t="s">
        <v>65</v>
      </c>
      <c r="P504" s="22" t="s">
        <v>1765</v>
      </c>
      <c r="Q504" s="15"/>
      <c r="R504" s="17" t="s">
        <v>74</v>
      </c>
      <c r="S504" s="18"/>
      <c r="T504" s="22" t="str">
        <f>IF(R504="維持",J504,IF(R504="排除","無關新聞事件",IFERROR(INDEX(事件規則!$B$2:$B$53,MATCH(S504,事件規則!$A$2:$A$53,0)),"")))</f>
        <v>無關新聞事件</v>
      </c>
      <c r="U504" s="9">
        <f>IF(R504="維持",K504,IF(R504="排除",0,IFERROR(INDEX(事件規則!$C$2:$C$53,MATCH(S504,事件規則!$A$2:$A$53,0)),"")))</f>
        <v>0</v>
      </c>
      <c r="V504" s="19"/>
      <c r="W504" s="20"/>
      <c r="X504" s="10" t="str">
        <f t="shared" si="7"/>
        <v/>
      </c>
      <c r="Y504" s="19"/>
      <c r="Z504" s="20"/>
      <c r="AA504" s="12" t="s">
        <v>2133</v>
      </c>
      <c r="AB504" s="23"/>
    </row>
    <row r="505" spans="1:28" ht="38.25">
      <c r="A505" s="15">
        <v>504</v>
      </c>
      <c r="B505" s="9" t="s">
        <v>225</v>
      </c>
      <c r="C505" s="15"/>
      <c r="D505" s="10" t="s">
        <v>1889</v>
      </c>
      <c r="E505" s="21" t="s">
        <v>2134</v>
      </c>
      <c r="F505" s="22"/>
      <c r="G505" s="12" t="s">
        <v>2135</v>
      </c>
      <c r="H505" s="13">
        <v>-1.0999999999999999E-2</v>
      </c>
      <c r="I505" s="14" t="s">
        <v>1797</v>
      </c>
      <c r="J505" s="22" t="s">
        <v>1798</v>
      </c>
      <c r="K505" s="9">
        <v>1</v>
      </c>
      <c r="L505" s="15" t="s">
        <v>1479</v>
      </c>
      <c r="M505" s="16" t="s">
        <v>74</v>
      </c>
      <c r="N505" s="14"/>
      <c r="O505" s="15" t="s">
        <v>65</v>
      </c>
      <c r="P505" s="22" t="s">
        <v>1765</v>
      </c>
      <c r="Q505" s="15"/>
      <c r="R505" s="17" t="s">
        <v>74</v>
      </c>
      <c r="S505" s="18"/>
      <c r="T505" s="22" t="str">
        <f>IF(R505="維持",J505,IF(R505="排除","無關新聞事件",IFERROR(INDEX(事件規則!$B$2:$B$53,MATCH(S505,事件規則!$A$2:$A$53,0)),"")))</f>
        <v>無關新聞事件</v>
      </c>
      <c r="U505" s="9">
        <f>IF(R505="維持",K505,IF(R505="排除",0,IFERROR(INDEX(事件規則!$C$2:$C$53,MATCH(S505,事件規則!$A$2:$A$53,0)),"")))</f>
        <v>0</v>
      </c>
      <c r="V505" s="19"/>
      <c r="W505" s="20"/>
      <c r="X505" s="10" t="str">
        <f t="shared" si="7"/>
        <v/>
      </c>
      <c r="Y505" s="19"/>
      <c r="Z505" s="20"/>
      <c r="AA505" s="12" t="s">
        <v>2136</v>
      </c>
      <c r="AB505" s="23"/>
    </row>
    <row r="506" spans="1:28" ht="25.5">
      <c r="A506" s="15">
        <v>505</v>
      </c>
      <c r="B506" s="9" t="s">
        <v>225</v>
      </c>
      <c r="C506" s="15"/>
      <c r="D506" s="10" t="s">
        <v>1889</v>
      </c>
      <c r="E506" s="21" t="s">
        <v>2137</v>
      </c>
      <c r="F506" s="22"/>
      <c r="G506" s="12" t="s">
        <v>2138</v>
      </c>
      <c r="H506" s="13">
        <v>-0.92500000000000004</v>
      </c>
      <c r="I506" s="14" t="s">
        <v>1797</v>
      </c>
      <c r="J506" s="22" t="s">
        <v>1798</v>
      </c>
      <c r="K506" s="9">
        <v>1</v>
      </c>
      <c r="L506" s="15" t="s">
        <v>1479</v>
      </c>
      <c r="M506" s="16" t="s">
        <v>74</v>
      </c>
      <c r="N506" s="14"/>
      <c r="O506" s="15" t="s">
        <v>65</v>
      </c>
      <c r="P506" s="22" t="s">
        <v>1765</v>
      </c>
      <c r="Q506" s="15"/>
      <c r="R506" s="17" t="s">
        <v>74</v>
      </c>
      <c r="S506" s="18"/>
      <c r="T506" s="22" t="str">
        <f>IF(R506="維持",J506,IF(R506="排除","無關新聞事件",IFERROR(INDEX(事件規則!$B$2:$B$53,MATCH(S506,事件規則!$A$2:$A$53,0)),"")))</f>
        <v>無關新聞事件</v>
      </c>
      <c r="U506" s="9">
        <f>IF(R506="維持",K506,IF(R506="排除",0,IFERROR(INDEX(事件規則!$C$2:$C$53,MATCH(S506,事件規則!$A$2:$A$53,0)),"")))</f>
        <v>0</v>
      </c>
      <c r="V506" s="19"/>
      <c r="W506" s="20"/>
      <c r="X506" s="10" t="str">
        <f t="shared" si="7"/>
        <v/>
      </c>
      <c r="Y506" s="19"/>
      <c r="Z506" s="20"/>
      <c r="AA506" s="12" t="s">
        <v>2139</v>
      </c>
      <c r="AB506" s="23"/>
    </row>
    <row r="507" spans="1:28" ht="25.5">
      <c r="A507" s="15">
        <v>506</v>
      </c>
      <c r="B507" s="9" t="s">
        <v>1389</v>
      </c>
      <c r="C507" s="15"/>
      <c r="D507" s="10" t="s">
        <v>2140</v>
      </c>
      <c r="E507" s="21" t="s">
        <v>2141</v>
      </c>
      <c r="F507" s="10" t="s">
        <v>2142</v>
      </c>
      <c r="G507" s="12" t="s">
        <v>64</v>
      </c>
      <c r="H507" s="13">
        <v>-0.93700000000000006</v>
      </c>
      <c r="I507" s="14" t="s">
        <v>1797</v>
      </c>
      <c r="J507" s="22" t="s">
        <v>1798</v>
      </c>
      <c r="K507" s="9">
        <v>1</v>
      </c>
      <c r="L507" s="15" t="s">
        <v>1479</v>
      </c>
      <c r="M507" s="16" t="s">
        <v>74</v>
      </c>
      <c r="N507" s="14"/>
      <c r="O507" s="15" t="s">
        <v>65</v>
      </c>
      <c r="P507" s="22" t="s">
        <v>1765</v>
      </c>
      <c r="Q507" s="15"/>
      <c r="R507" s="17" t="s">
        <v>74</v>
      </c>
      <c r="S507" s="18"/>
      <c r="T507" s="22" t="str">
        <f>IF(R507="維持",J507,IF(R507="排除","無關新聞事件",IFERROR(INDEX(事件規則!$B$2:$B$53,MATCH(S507,事件規則!$A$2:$A$53,0)),"")))</f>
        <v>無關新聞事件</v>
      </c>
      <c r="U507" s="9">
        <f>IF(R507="維持",K507,IF(R507="排除",0,IFERROR(INDEX(事件規則!$C$2:$C$53,MATCH(S507,事件規則!$A$2:$A$53,0)),"")))</f>
        <v>0</v>
      </c>
      <c r="V507" s="19"/>
      <c r="W507" s="20"/>
      <c r="X507" s="10" t="str">
        <f t="shared" si="7"/>
        <v/>
      </c>
      <c r="Y507" s="19"/>
      <c r="Z507" s="20"/>
      <c r="AA507" s="12" t="s">
        <v>2143</v>
      </c>
      <c r="AB507" s="23"/>
    </row>
    <row r="508" spans="1:28" ht="25.5">
      <c r="A508" s="15">
        <v>507</v>
      </c>
      <c r="B508" s="9" t="s">
        <v>87</v>
      </c>
      <c r="C508" s="15"/>
      <c r="D508" s="10" t="s">
        <v>2144</v>
      </c>
      <c r="E508" s="21" t="s">
        <v>2145</v>
      </c>
      <c r="F508" s="10" t="s">
        <v>2146</v>
      </c>
      <c r="G508" s="12" t="s">
        <v>64</v>
      </c>
      <c r="H508" s="13"/>
      <c r="I508" s="14" t="s">
        <v>1780</v>
      </c>
      <c r="J508" s="22" t="s">
        <v>2147</v>
      </c>
      <c r="K508" s="9">
        <v>1</v>
      </c>
      <c r="L508" s="15" t="s">
        <v>1479</v>
      </c>
      <c r="M508" s="16" t="s">
        <v>74</v>
      </c>
      <c r="N508" s="14"/>
      <c r="O508" s="15" t="s">
        <v>65</v>
      </c>
      <c r="P508" s="22" t="s">
        <v>1765</v>
      </c>
      <c r="Q508" s="15"/>
      <c r="R508" s="17" t="s">
        <v>74</v>
      </c>
      <c r="S508" s="18"/>
      <c r="T508" s="22" t="str">
        <f>IF(R508="維持",J508,IF(R508="排除","無關新聞事件",IFERROR(INDEX(事件規則!$B$2:$B$53,MATCH(S508,事件規則!$A$2:$A$53,0)),"")))</f>
        <v>無關新聞事件</v>
      </c>
      <c r="U508" s="9">
        <f>IF(R508="維持",K508,IF(R508="排除",0,IFERROR(INDEX(事件規則!$C$2:$C$53,MATCH(S508,事件規則!$A$2:$A$53,0)),"")))</f>
        <v>0</v>
      </c>
      <c r="V508" s="19"/>
      <c r="W508" s="20"/>
      <c r="X508" s="10" t="str">
        <f t="shared" si="7"/>
        <v/>
      </c>
      <c r="Y508" s="19"/>
      <c r="Z508" s="20"/>
      <c r="AA508" s="12" t="s">
        <v>2148</v>
      </c>
      <c r="AB508" s="23"/>
    </row>
    <row r="509" spans="1:28" ht="25.5">
      <c r="A509" s="15">
        <v>508</v>
      </c>
      <c r="B509" s="9" t="s">
        <v>149</v>
      </c>
      <c r="C509" s="15"/>
      <c r="D509" s="10" t="s">
        <v>127</v>
      </c>
      <c r="E509" s="21" t="s">
        <v>2149</v>
      </c>
      <c r="F509" s="10" t="s">
        <v>2150</v>
      </c>
      <c r="G509" s="12" t="s">
        <v>64</v>
      </c>
      <c r="H509" s="13"/>
      <c r="I509" s="14" t="s">
        <v>1780</v>
      </c>
      <c r="J509" s="22" t="s">
        <v>2147</v>
      </c>
      <c r="K509" s="9">
        <v>1</v>
      </c>
      <c r="L509" s="15" t="s">
        <v>1479</v>
      </c>
      <c r="M509" s="16" t="s">
        <v>74</v>
      </c>
      <c r="N509" s="14"/>
      <c r="O509" s="15" t="s">
        <v>65</v>
      </c>
      <c r="P509" s="22" t="s">
        <v>1765</v>
      </c>
      <c r="Q509" s="15"/>
      <c r="R509" s="17" t="s">
        <v>74</v>
      </c>
      <c r="S509" s="18"/>
      <c r="T509" s="22" t="str">
        <f>IF(R509="維持",J509,IF(R509="排除","無關新聞事件",IFERROR(INDEX(事件規則!$B$2:$B$53,MATCH(S509,事件規則!$A$2:$A$53,0)),"")))</f>
        <v>無關新聞事件</v>
      </c>
      <c r="U509" s="9">
        <f>IF(R509="維持",K509,IF(R509="排除",0,IFERROR(INDEX(事件規則!$C$2:$C$53,MATCH(S509,事件規則!$A$2:$A$53,0)),"")))</f>
        <v>0</v>
      </c>
      <c r="V509" s="19"/>
      <c r="W509" s="20"/>
      <c r="X509" s="10" t="str">
        <f t="shared" si="7"/>
        <v/>
      </c>
      <c r="Y509" s="19"/>
      <c r="Z509" s="20"/>
      <c r="AA509" s="12" t="s">
        <v>2151</v>
      </c>
      <c r="AB509" s="23"/>
    </row>
    <row r="510" spans="1:28" ht="25.5">
      <c r="A510" s="15">
        <v>509</v>
      </c>
      <c r="B510" s="9" t="s">
        <v>149</v>
      </c>
      <c r="C510" s="15"/>
      <c r="D510" s="10" t="s">
        <v>127</v>
      </c>
      <c r="E510" s="11" t="s">
        <v>2152</v>
      </c>
      <c r="F510" s="22" t="s">
        <v>2153</v>
      </c>
      <c r="G510" s="12" t="s">
        <v>64</v>
      </c>
      <c r="H510" s="13"/>
      <c r="I510" s="14" t="s">
        <v>1780</v>
      </c>
      <c r="J510" s="22" t="s">
        <v>2147</v>
      </c>
      <c r="K510" s="9">
        <v>1</v>
      </c>
      <c r="L510" s="15" t="s">
        <v>1479</v>
      </c>
      <c r="M510" s="16" t="s">
        <v>54</v>
      </c>
      <c r="N510" s="14"/>
      <c r="O510" s="15" t="s">
        <v>65</v>
      </c>
      <c r="P510" s="22" t="s">
        <v>2154</v>
      </c>
      <c r="Q510" s="15"/>
      <c r="R510" s="17" t="s">
        <v>54</v>
      </c>
      <c r="S510" s="18"/>
      <c r="T510" s="22" t="str">
        <f>IF(R510="維持",J510,IF(R510="排除","無關新聞事件",IFERROR(INDEX(事件規則!$B$2:$B$53,MATCH(S510,事件規則!$A$2:$A$53,0)),"")))</f>
        <v>股價下跌</v>
      </c>
      <c r="U510" s="9">
        <f>IF(R510="維持",K510,IF(R510="排除",0,IFERROR(INDEX(事件規則!$C$2:$C$53,MATCH(S510,事件規則!$A$2:$A$53,0)),"")))</f>
        <v>1</v>
      </c>
      <c r="V510" s="19"/>
      <c r="W510" s="20" t="s">
        <v>126</v>
      </c>
      <c r="X510" s="10" t="str">
        <f t="shared" si="7"/>
        <v/>
      </c>
      <c r="Y510" s="19"/>
      <c r="Z510" s="20"/>
      <c r="AA510" s="12" t="s">
        <v>2155</v>
      </c>
      <c r="AB510" s="23"/>
    </row>
    <row r="511" spans="1:28" ht="25.5">
      <c r="A511" s="15">
        <v>510</v>
      </c>
      <c r="B511" s="9" t="s">
        <v>159</v>
      </c>
      <c r="C511" s="15"/>
      <c r="D511" s="10" t="s">
        <v>1687</v>
      </c>
      <c r="E511" s="11" t="s">
        <v>2156</v>
      </c>
      <c r="F511" s="22" t="s">
        <v>2156</v>
      </c>
      <c r="G511" s="12" t="s">
        <v>64</v>
      </c>
      <c r="H511" s="13"/>
      <c r="I511" s="14" t="s">
        <v>1780</v>
      </c>
      <c r="J511" s="22" t="s">
        <v>2147</v>
      </c>
      <c r="K511" s="9">
        <v>1</v>
      </c>
      <c r="L511" s="15" t="s">
        <v>1479</v>
      </c>
      <c r="M511" s="16" t="s">
        <v>74</v>
      </c>
      <c r="N511" s="14"/>
      <c r="O511" s="15" t="s">
        <v>65</v>
      </c>
      <c r="P511" s="22" t="s">
        <v>1765</v>
      </c>
      <c r="Q511" s="15"/>
      <c r="R511" s="17" t="s">
        <v>74</v>
      </c>
      <c r="S511" s="18"/>
      <c r="T511" s="22" t="str">
        <f>IF(R511="維持",J511,IF(R511="排除","無關新聞事件",IFERROR(INDEX(事件規則!$B$2:$B$53,MATCH(S511,事件規則!$A$2:$A$53,0)),"")))</f>
        <v>無關新聞事件</v>
      </c>
      <c r="U511" s="9">
        <f>IF(R511="維持",K511,IF(R511="排除",0,IFERROR(INDEX(事件規則!$C$2:$C$53,MATCH(S511,事件規則!$A$2:$A$53,0)),"")))</f>
        <v>0</v>
      </c>
      <c r="V511" s="19"/>
      <c r="W511" s="20"/>
      <c r="X511" s="10" t="str">
        <f t="shared" si="7"/>
        <v/>
      </c>
      <c r="Y511" s="19"/>
      <c r="Z511" s="20"/>
      <c r="AA511" s="12" t="s">
        <v>2157</v>
      </c>
      <c r="AB511" s="23"/>
    </row>
    <row r="512" spans="1:28" ht="25.5">
      <c r="A512" s="15">
        <v>511</v>
      </c>
      <c r="B512" s="9" t="s">
        <v>159</v>
      </c>
      <c r="C512" s="15"/>
      <c r="D512" s="10" t="s">
        <v>2158</v>
      </c>
      <c r="E512" s="11" t="s">
        <v>2159</v>
      </c>
      <c r="F512" s="22" t="s">
        <v>2159</v>
      </c>
      <c r="G512" s="12" t="s">
        <v>64</v>
      </c>
      <c r="H512" s="13"/>
      <c r="I512" s="14" t="s">
        <v>1780</v>
      </c>
      <c r="J512" s="22" t="s">
        <v>2147</v>
      </c>
      <c r="K512" s="9">
        <v>1</v>
      </c>
      <c r="L512" s="15" t="s">
        <v>1479</v>
      </c>
      <c r="M512" s="16" t="s">
        <v>74</v>
      </c>
      <c r="N512" s="14"/>
      <c r="O512" s="15" t="s">
        <v>65</v>
      </c>
      <c r="P512" s="22" t="s">
        <v>1765</v>
      </c>
      <c r="Q512" s="15"/>
      <c r="R512" s="17" t="s">
        <v>74</v>
      </c>
      <c r="S512" s="18"/>
      <c r="T512" s="22" t="str">
        <f>IF(R512="維持",J512,IF(R512="排除","無關新聞事件",IFERROR(INDEX(事件規則!$B$2:$B$53,MATCH(S512,事件規則!$A$2:$A$53,0)),"")))</f>
        <v>無關新聞事件</v>
      </c>
      <c r="U512" s="9">
        <f>IF(R512="維持",K512,IF(R512="排除",0,IFERROR(INDEX(事件規則!$C$2:$C$53,MATCH(S512,事件規則!$A$2:$A$53,0)),"")))</f>
        <v>0</v>
      </c>
      <c r="V512" s="19"/>
      <c r="W512" s="20"/>
      <c r="X512" s="10" t="str">
        <f t="shared" si="7"/>
        <v/>
      </c>
      <c r="Y512" s="19"/>
      <c r="Z512" s="20"/>
      <c r="AA512" s="12" t="s">
        <v>2160</v>
      </c>
      <c r="AB512" s="23"/>
    </row>
    <row r="513" spans="1:28" ht="25.5">
      <c r="A513" s="15">
        <v>512</v>
      </c>
      <c r="B513" s="9" t="s">
        <v>159</v>
      </c>
      <c r="C513" s="15"/>
      <c r="D513" s="10" t="s">
        <v>2161</v>
      </c>
      <c r="E513" s="11" t="s">
        <v>2159</v>
      </c>
      <c r="F513" s="22" t="s">
        <v>2159</v>
      </c>
      <c r="G513" s="12" t="s">
        <v>64</v>
      </c>
      <c r="H513" s="13"/>
      <c r="I513" s="14" t="s">
        <v>1780</v>
      </c>
      <c r="J513" s="22" t="s">
        <v>2147</v>
      </c>
      <c r="K513" s="9">
        <v>1</v>
      </c>
      <c r="L513" s="15" t="s">
        <v>1479</v>
      </c>
      <c r="M513" s="16" t="s">
        <v>74</v>
      </c>
      <c r="N513" s="14"/>
      <c r="O513" s="15" t="s">
        <v>65</v>
      </c>
      <c r="P513" s="22" t="s">
        <v>1765</v>
      </c>
      <c r="Q513" s="15"/>
      <c r="R513" s="17" t="s">
        <v>74</v>
      </c>
      <c r="S513" s="18"/>
      <c r="T513" s="22" t="str">
        <f>IF(R513="維持",J513,IF(R513="排除","無關新聞事件",IFERROR(INDEX(事件規則!$B$2:$B$53,MATCH(S513,事件規則!$A$2:$A$53,0)),"")))</f>
        <v>無關新聞事件</v>
      </c>
      <c r="U513" s="9">
        <f>IF(R513="維持",K513,IF(R513="排除",0,IFERROR(INDEX(事件規則!$C$2:$C$53,MATCH(S513,事件規則!$A$2:$A$53,0)),"")))</f>
        <v>0</v>
      </c>
      <c r="V513" s="19"/>
      <c r="W513" s="20"/>
      <c r="X513" s="10" t="str">
        <f t="shared" si="7"/>
        <v/>
      </c>
      <c r="Y513" s="19"/>
      <c r="Z513" s="20"/>
      <c r="AA513" s="12" t="s">
        <v>2162</v>
      </c>
      <c r="AB513" s="23"/>
    </row>
    <row r="514" spans="1:28" ht="25.5">
      <c r="A514" s="15">
        <v>513</v>
      </c>
      <c r="B514" s="9" t="s">
        <v>225</v>
      </c>
      <c r="C514" s="15"/>
      <c r="D514" s="10" t="s">
        <v>2163</v>
      </c>
      <c r="E514" s="11" t="s">
        <v>2164</v>
      </c>
      <c r="F514" s="22"/>
      <c r="G514" s="12" t="s">
        <v>64</v>
      </c>
      <c r="H514" s="13"/>
      <c r="I514" s="14" t="s">
        <v>1780</v>
      </c>
      <c r="J514" s="22" t="s">
        <v>2147</v>
      </c>
      <c r="K514" s="9">
        <v>1</v>
      </c>
      <c r="L514" s="15" t="s">
        <v>1479</v>
      </c>
      <c r="M514" s="16" t="s">
        <v>74</v>
      </c>
      <c r="N514" s="14"/>
      <c r="O514" s="15" t="s">
        <v>65</v>
      </c>
      <c r="P514" s="22" t="s">
        <v>1765</v>
      </c>
      <c r="Q514" s="15"/>
      <c r="R514" s="17" t="s">
        <v>74</v>
      </c>
      <c r="S514" s="18"/>
      <c r="T514" s="22" t="str">
        <f>IF(R514="維持",J514,IF(R514="排除","無關新聞事件",IFERROR(INDEX(事件規則!$B$2:$B$53,MATCH(S514,事件規則!$A$2:$A$53,0)),"")))</f>
        <v>無關新聞事件</v>
      </c>
      <c r="U514" s="9">
        <f>IF(R514="維持",K514,IF(R514="排除",0,IFERROR(INDEX(事件規則!$C$2:$C$53,MATCH(S514,事件規則!$A$2:$A$53,0)),"")))</f>
        <v>0</v>
      </c>
      <c r="V514" s="19"/>
      <c r="W514" s="20"/>
      <c r="X514" s="10" t="str">
        <f t="shared" ref="X514:X577" si="8">IF(AND(R514="修改",S514=""),"請選新事件代碼",IF(AND(R514&lt;&gt;"修改",S514&lt;&gt;""),"只有「修改」才需填代碼",""))</f>
        <v/>
      </c>
      <c r="Y514" s="19"/>
      <c r="Z514" s="20"/>
      <c r="AA514" s="12" t="s">
        <v>2165</v>
      </c>
      <c r="AB514" s="23"/>
    </row>
    <row r="515" spans="1:28" ht="25.5">
      <c r="A515" s="15">
        <v>514</v>
      </c>
      <c r="B515" s="9" t="s">
        <v>1383</v>
      </c>
      <c r="C515" s="15"/>
      <c r="D515" s="10" t="s">
        <v>2166</v>
      </c>
      <c r="E515" s="21" t="s">
        <v>2167</v>
      </c>
      <c r="F515" s="22" t="s">
        <v>2168</v>
      </c>
      <c r="G515" s="12" t="s">
        <v>64</v>
      </c>
      <c r="H515" s="13">
        <v>-0.96299999999999997</v>
      </c>
      <c r="I515" s="14" t="s">
        <v>1780</v>
      </c>
      <c r="J515" s="22" t="s">
        <v>2147</v>
      </c>
      <c r="K515" s="9">
        <v>1</v>
      </c>
      <c r="L515" s="15" t="s">
        <v>1479</v>
      </c>
      <c r="M515" s="16" t="s">
        <v>74</v>
      </c>
      <c r="N515" s="14"/>
      <c r="O515" s="15" t="s">
        <v>65</v>
      </c>
      <c r="P515" s="22" t="s">
        <v>1765</v>
      </c>
      <c r="Q515" s="15"/>
      <c r="R515" s="17" t="s">
        <v>74</v>
      </c>
      <c r="S515" s="18"/>
      <c r="T515" s="22" t="str">
        <f>IF(R515="維持",J515,IF(R515="排除","無關新聞事件",IFERROR(INDEX(事件規則!$B$2:$B$53,MATCH(S515,事件規則!$A$2:$A$53,0)),"")))</f>
        <v>無關新聞事件</v>
      </c>
      <c r="U515" s="9">
        <f>IF(R515="維持",K515,IF(R515="排除",0,IFERROR(INDEX(事件規則!$C$2:$C$53,MATCH(S515,事件規則!$A$2:$A$53,0)),"")))</f>
        <v>0</v>
      </c>
      <c r="V515" s="19"/>
      <c r="W515" s="20"/>
      <c r="X515" s="10" t="str">
        <f t="shared" si="8"/>
        <v/>
      </c>
      <c r="Y515" s="19"/>
      <c r="Z515" s="20"/>
      <c r="AA515" s="12" t="s">
        <v>2169</v>
      </c>
      <c r="AB515" s="23"/>
    </row>
    <row r="516" spans="1:28" ht="25.5">
      <c r="A516" s="15">
        <v>515</v>
      </c>
      <c r="B516" s="9" t="s">
        <v>468</v>
      </c>
      <c r="C516" s="9" t="s">
        <v>288</v>
      </c>
      <c r="D516" s="10" t="s">
        <v>289</v>
      </c>
      <c r="E516" s="11" t="s">
        <v>2170</v>
      </c>
      <c r="F516" s="10" t="s">
        <v>2171</v>
      </c>
      <c r="G516" s="23" t="s">
        <v>2172</v>
      </c>
      <c r="H516" s="13"/>
      <c r="I516" s="14" t="s">
        <v>1780</v>
      </c>
      <c r="J516" s="22" t="s">
        <v>2147</v>
      </c>
      <c r="K516" s="9">
        <v>1</v>
      </c>
      <c r="L516" s="15" t="s">
        <v>1479</v>
      </c>
      <c r="M516" s="16" t="s">
        <v>54</v>
      </c>
      <c r="N516" s="14"/>
      <c r="O516" s="15" t="s">
        <v>65</v>
      </c>
      <c r="P516" s="10" t="s">
        <v>2173</v>
      </c>
      <c r="Q516" s="15"/>
      <c r="R516" s="17" t="s">
        <v>54</v>
      </c>
      <c r="S516" s="18"/>
      <c r="T516" s="22" t="str">
        <f>IF(R516="維持",J516,IF(R516="排除","無關新聞事件",IFERROR(INDEX(事件規則!$B$2:$B$53,MATCH(S516,事件規則!$A$2:$A$53,0)),"")))</f>
        <v>股價下跌</v>
      </c>
      <c r="U516" s="9">
        <f>IF(R516="維持",K516,IF(R516="排除",0,IFERROR(INDEX(事件規則!$C$2:$C$53,MATCH(S516,事件規則!$A$2:$A$53,0)),"")))</f>
        <v>1</v>
      </c>
      <c r="V516" s="19"/>
      <c r="W516" s="20"/>
      <c r="X516" s="10" t="str">
        <f t="shared" si="8"/>
        <v/>
      </c>
      <c r="Y516" s="19"/>
      <c r="Z516" s="20"/>
      <c r="AA516" s="12" t="s">
        <v>2174</v>
      </c>
      <c r="AB516" s="23"/>
    </row>
    <row r="517" spans="1:28" ht="25.5">
      <c r="A517" s="15">
        <v>516</v>
      </c>
      <c r="B517" s="9" t="s">
        <v>45</v>
      </c>
      <c r="C517" s="9" t="s">
        <v>2175</v>
      </c>
      <c r="D517" s="10" t="s">
        <v>2176</v>
      </c>
      <c r="E517" s="21" t="s">
        <v>2177</v>
      </c>
      <c r="F517" s="10" t="s">
        <v>2178</v>
      </c>
      <c r="G517" s="12" t="s">
        <v>1568</v>
      </c>
      <c r="H517" s="13">
        <v>-0.95499999999999996</v>
      </c>
      <c r="I517" s="14" t="s">
        <v>1780</v>
      </c>
      <c r="J517" s="22" t="s">
        <v>2147</v>
      </c>
      <c r="K517" s="9">
        <v>1</v>
      </c>
      <c r="L517" s="15" t="s">
        <v>1479</v>
      </c>
      <c r="M517" s="16" t="s">
        <v>54</v>
      </c>
      <c r="N517" s="14"/>
      <c r="O517" s="15" t="s">
        <v>55</v>
      </c>
      <c r="P517" s="10" t="s">
        <v>2179</v>
      </c>
      <c r="Q517" s="15"/>
      <c r="R517" s="17" t="s">
        <v>54</v>
      </c>
      <c r="S517" s="18"/>
      <c r="T517" s="22" t="str">
        <f>IF(R517="維持",J517,IF(R517="排除","無關新聞事件",IFERROR(INDEX(事件規則!$B$2:$B$53,MATCH(S517,事件規則!$A$2:$A$53,0)),"")))</f>
        <v>股價下跌</v>
      </c>
      <c r="U517" s="9">
        <f>IF(R517="維持",K517,IF(R517="排除",0,IFERROR(INDEX(事件規則!$C$2:$C$53,MATCH(S517,事件規則!$A$2:$A$53,0)),"")))</f>
        <v>1</v>
      </c>
      <c r="V517" s="19"/>
      <c r="W517" s="20"/>
      <c r="X517" s="10" t="str">
        <f t="shared" si="8"/>
        <v/>
      </c>
      <c r="Y517" s="19"/>
      <c r="Z517" s="20"/>
      <c r="AA517" s="12" t="s">
        <v>2180</v>
      </c>
      <c r="AB517" s="23"/>
    </row>
    <row r="518" spans="1:28" ht="25.5">
      <c r="A518" s="15">
        <v>517</v>
      </c>
      <c r="B518" s="9" t="s">
        <v>516</v>
      </c>
      <c r="C518" s="9" t="s">
        <v>2175</v>
      </c>
      <c r="D518" s="10" t="s">
        <v>2176</v>
      </c>
      <c r="E518" s="21" t="s">
        <v>2181</v>
      </c>
      <c r="F518" s="10" t="s">
        <v>2182</v>
      </c>
      <c r="G518" s="12" t="s">
        <v>1568</v>
      </c>
      <c r="H518" s="13">
        <v>-0.65100000000000002</v>
      </c>
      <c r="I518" s="14" t="s">
        <v>1780</v>
      </c>
      <c r="J518" s="22" t="s">
        <v>2147</v>
      </c>
      <c r="K518" s="9">
        <v>1</v>
      </c>
      <c r="L518" s="15" t="s">
        <v>1479</v>
      </c>
      <c r="M518" s="16" t="s">
        <v>54</v>
      </c>
      <c r="N518" s="14"/>
      <c r="O518" s="15" t="s">
        <v>55</v>
      </c>
      <c r="P518" s="10" t="s">
        <v>2179</v>
      </c>
      <c r="Q518" s="15"/>
      <c r="R518" s="17" t="s">
        <v>54</v>
      </c>
      <c r="S518" s="18"/>
      <c r="T518" s="22" t="str">
        <f>IF(R518="維持",J518,IF(R518="排除","無關新聞事件",IFERROR(INDEX(事件規則!$B$2:$B$53,MATCH(S518,事件規則!$A$2:$A$53,0)),"")))</f>
        <v>股價下跌</v>
      </c>
      <c r="U518" s="9">
        <f>IF(R518="維持",K518,IF(R518="排除",0,IFERROR(INDEX(事件規則!$C$2:$C$53,MATCH(S518,事件規則!$A$2:$A$53,0)),"")))</f>
        <v>1</v>
      </c>
      <c r="V518" s="19"/>
      <c r="W518" s="20"/>
      <c r="X518" s="10" t="str">
        <f t="shared" si="8"/>
        <v/>
      </c>
      <c r="Y518" s="19"/>
      <c r="Z518" s="20"/>
      <c r="AA518" s="12" t="s">
        <v>2183</v>
      </c>
      <c r="AB518" s="23"/>
    </row>
    <row r="519" spans="1:28" ht="38.25">
      <c r="A519" s="15">
        <v>518</v>
      </c>
      <c r="B519" s="9" t="s">
        <v>68</v>
      </c>
      <c r="C519" s="9" t="s">
        <v>2184</v>
      </c>
      <c r="D519" s="10" t="s">
        <v>2185</v>
      </c>
      <c r="E519" s="21" t="s">
        <v>2186</v>
      </c>
      <c r="F519" s="10" t="s">
        <v>2187</v>
      </c>
      <c r="G519" s="12" t="s">
        <v>351</v>
      </c>
      <c r="H519" s="13">
        <v>-0.89400000000000002</v>
      </c>
      <c r="I519" s="14" t="s">
        <v>1780</v>
      </c>
      <c r="J519" s="22" t="s">
        <v>2147</v>
      </c>
      <c r="K519" s="9">
        <v>1</v>
      </c>
      <c r="L519" s="15" t="s">
        <v>1479</v>
      </c>
      <c r="M519" s="16" t="s">
        <v>54</v>
      </c>
      <c r="N519" s="14"/>
      <c r="O519" s="15" t="s">
        <v>65</v>
      </c>
      <c r="P519" s="10" t="s">
        <v>2188</v>
      </c>
      <c r="Q519" s="15"/>
      <c r="R519" s="17" t="s">
        <v>54</v>
      </c>
      <c r="S519" s="18"/>
      <c r="T519" s="22" t="str">
        <f>IF(R519="維持",J519,IF(R519="排除","無關新聞事件",IFERROR(INDEX(事件規則!$B$2:$B$53,MATCH(S519,事件規則!$A$2:$A$53,0)),"")))</f>
        <v>股價下跌</v>
      </c>
      <c r="U519" s="9">
        <f>IF(R519="維持",K519,IF(R519="排除",0,IFERROR(INDEX(事件規則!$C$2:$C$53,MATCH(S519,事件規則!$A$2:$A$53,0)),"")))</f>
        <v>1</v>
      </c>
      <c r="V519" s="19"/>
      <c r="W519" s="20"/>
      <c r="X519" s="10" t="str">
        <f t="shared" si="8"/>
        <v/>
      </c>
      <c r="Y519" s="19"/>
      <c r="Z519" s="20"/>
      <c r="AA519" s="12" t="s">
        <v>2189</v>
      </c>
      <c r="AB519" s="23"/>
    </row>
    <row r="520" spans="1:28" ht="25.5">
      <c r="A520" s="15">
        <v>519</v>
      </c>
      <c r="B520" s="9" t="s">
        <v>68</v>
      </c>
      <c r="C520" s="9" t="s">
        <v>2175</v>
      </c>
      <c r="D520" s="10" t="s">
        <v>2176</v>
      </c>
      <c r="E520" s="21" t="s">
        <v>2190</v>
      </c>
      <c r="F520" s="10" t="s">
        <v>2191</v>
      </c>
      <c r="G520" s="12" t="s">
        <v>699</v>
      </c>
      <c r="H520" s="13">
        <v>-0.95799999999999996</v>
      </c>
      <c r="I520" s="14" t="s">
        <v>1780</v>
      </c>
      <c r="J520" s="22" t="s">
        <v>2147</v>
      </c>
      <c r="K520" s="9">
        <v>1</v>
      </c>
      <c r="L520" s="15" t="s">
        <v>1479</v>
      </c>
      <c r="M520" s="16" t="s">
        <v>54</v>
      </c>
      <c r="N520" s="14"/>
      <c r="O520" s="15" t="s">
        <v>55</v>
      </c>
      <c r="P520" s="10" t="s">
        <v>2179</v>
      </c>
      <c r="Q520" s="15"/>
      <c r="R520" s="17" t="s">
        <v>54</v>
      </c>
      <c r="S520" s="18"/>
      <c r="T520" s="22" t="str">
        <f>IF(R520="維持",J520,IF(R520="排除","無關新聞事件",IFERROR(INDEX(事件規則!$B$2:$B$53,MATCH(S520,事件規則!$A$2:$A$53,0)),"")))</f>
        <v>股價下跌</v>
      </c>
      <c r="U520" s="9">
        <f>IF(R520="維持",K520,IF(R520="排除",0,IFERROR(INDEX(事件規則!$C$2:$C$53,MATCH(S520,事件規則!$A$2:$A$53,0)),"")))</f>
        <v>1</v>
      </c>
      <c r="V520" s="19"/>
      <c r="W520" s="20"/>
      <c r="X520" s="10" t="str">
        <f t="shared" si="8"/>
        <v/>
      </c>
      <c r="Y520" s="19"/>
      <c r="Z520" s="20"/>
      <c r="AA520" s="12" t="s">
        <v>2192</v>
      </c>
      <c r="AB520" s="23"/>
    </row>
    <row r="521" spans="1:28" ht="25.5">
      <c r="A521" s="15">
        <v>520</v>
      </c>
      <c r="B521" s="9" t="s">
        <v>1470</v>
      </c>
      <c r="C521" s="9" t="s">
        <v>2193</v>
      </c>
      <c r="D521" s="10" t="s">
        <v>2161</v>
      </c>
      <c r="E521" s="21" t="s">
        <v>2194</v>
      </c>
      <c r="F521" s="10" t="s">
        <v>2195</v>
      </c>
      <c r="G521" s="12" t="s">
        <v>466</v>
      </c>
      <c r="H521" s="13">
        <v>-0.95899999999999996</v>
      </c>
      <c r="I521" s="14" t="s">
        <v>1780</v>
      </c>
      <c r="J521" s="22" t="s">
        <v>2147</v>
      </c>
      <c r="K521" s="9">
        <v>1</v>
      </c>
      <c r="L521" s="15" t="s">
        <v>1479</v>
      </c>
      <c r="M521" s="16" t="s">
        <v>54</v>
      </c>
      <c r="N521" s="14"/>
      <c r="O521" s="15" t="s">
        <v>65</v>
      </c>
      <c r="P521" s="10" t="s">
        <v>2196</v>
      </c>
      <c r="Q521" s="15" t="s">
        <v>213</v>
      </c>
      <c r="R521" s="17" t="s">
        <v>54</v>
      </c>
      <c r="S521" s="18"/>
      <c r="T521" s="22" t="str">
        <f>IF(R521="維持",J521,IF(R521="排除","無關新聞事件",IFERROR(INDEX(事件規則!$B$2:$B$53,MATCH(S521,事件規則!$A$2:$A$53,0)),"")))</f>
        <v>股價下跌</v>
      </c>
      <c r="U521" s="9">
        <f>IF(R521="維持",K521,IF(R521="排除",0,IFERROR(INDEX(事件規則!$C$2:$C$53,MATCH(S521,事件規則!$A$2:$A$53,0)),"")))</f>
        <v>1</v>
      </c>
      <c r="V521" s="19"/>
      <c r="W521" s="20"/>
      <c r="X521" s="10" t="str">
        <f t="shared" si="8"/>
        <v/>
      </c>
      <c r="Y521" s="19"/>
      <c r="Z521" s="20"/>
      <c r="AA521" s="12" t="s">
        <v>2197</v>
      </c>
      <c r="AB521" s="23"/>
    </row>
    <row r="522" spans="1:28" ht="51">
      <c r="A522" s="15">
        <v>521</v>
      </c>
      <c r="B522" s="9" t="s">
        <v>2198</v>
      </c>
      <c r="C522" s="9" t="s">
        <v>1374</v>
      </c>
      <c r="D522" s="10" t="s">
        <v>1375</v>
      </c>
      <c r="E522" s="21" t="s">
        <v>2199</v>
      </c>
      <c r="F522" s="22" t="s">
        <v>2200</v>
      </c>
      <c r="G522" s="12" t="s">
        <v>299</v>
      </c>
      <c r="H522" s="13"/>
      <c r="I522" s="14"/>
      <c r="J522" s="22"/>
      <c r="K522" s="9"/>
      <c r="L522" s="15" t="s">
        <v>1479</v>
      </c>
      <c r="M522" s="16" t="s">
        <v>74</v>
      </c>
      <c r="N522" s="14"/>
      <c r="O522" s="15" t="s">
        <v>65</v>
      </c>
      <c r="P522" s="22" t="s">
        <v>2201</v>
      </c>
      <c r="Q522" s="15"/>
      <c r="R522" s="17" t="s">
        <v>74</v>
      </c>
      <c r="S522" s="18"/>
      <c r="T522" s="22" t="str">
        <f>IF(R522="維持",J522,IF(R522="排除","無關新聞事件",IFERROR(INDEX(事件規則!$B$2:$B$53,MATCH(S522,事件規則!$A$2:$A$53,0)),"")))</f>
        <v>無關新聞事件</v>
      </c>
      <c r="U522" s="9">
        <f>IF(R522="維持",K522,IF(R522="排除",0,IFERROR(INDEX(事件規則!$C$2:$C$53,MATCH(S522,事件規則!$A$2:$A$53,0)),"")))</f>
        <v>0</v>
      </c>
      <c r="V522" s="19"/>
      <c r="W522" s="20"/>
      <c r="X522" s="10" t="str">
        <f t="shared" si="8"/>
        <v/>
      </c>
      <c r="Y522" s="19"/>
      <c r="Z522" s="20"/>
      <c r="AA522" s="12" t="s">
        <v>2202</v>
      </c>
      <c r="AB522" s="23"/>
    </row>
    <row r="523" spans="1:28" ht="38.25">
      <c r="A523" s="15">
        <v>522</v>
      </c>
      <c r="B523" s="9" t="s">
        <v>468</v>
      </c>
      <c r="C523" s="15"/>
      <c r="D523" s="22"/>
      <c r="E523" s="21" t="s">
        <v>2203</v>
      </c>
      <c r="F523" s="22" t="s">
        <v>2204</v>
      </c>
      <c r="G523" s="12" t="s">
        <v>2205</v>
      </c>
      <c r="H523" s="13"/>
      <c r="I523" s="14"/>
      <c r="J523" s="22"/>
      <c r="K523" s="9"/>
      <c r="L523" s="15" t="s">
        <v>1479</v>
      </c>
      <c r="M523" s="16" t="s">
        <v>74</v>
      </c>
      <c r="N523" s="14"/>
      <c r="O523" s="15" t="s">
        <v>65</v>
      </c>
      <c r="P523" s="22" t="s">
        <v>2201</v>
      </c>
      <c r="Q523" s="15"/>
      <c r="R523" s="17" t="s">
        <v>74</v>
      </c>
      <c r="S523" s="18"/>
      <c r="T523" s="22" t="str">
        <f>IF(R523="維持",J523,IF(R523="排除","無關新聞事件",IFERROR(INDEX(事件規則!$B$2:$B$53,MATCH(S523,事件規則!$A$2:$A$53,0)),"")))</f>
        <v>無關新聞事件</v>
      </c>
      <c r="U523" s="9">
        <f>IF(R523="維持",K523,IF(R523="排除",0,IFERROR(INDEX(事件規則!$C$2:$C$53,MATCH(S523,事件規則!$A$2:$A$53,0)),"")))</f>
        <v>0</v>
      </c>
      <c r="V523" s="19"/>
      <c r="W523" s="20"/>
      <c r="X523" s="10" t="str">
        <f t="shared" si="8"/>
        <v/>
      </c>
      <c r="Y523" s="19"/>
      <c r="Z523" s="20"/>
      <c r="AA523" s="12" t="s">
        <v>2206</v>
      </c>
      <c r="AB523" s="23"/>
    </row>
    <row r="524" spans="1:28" ht="51">
      <c r="A524" s="15">
        <v>523</v>
      </c>
      <c r="B524" s="9" t="s">
        <v>468</v>
      </c>
      <c r="C524" s="9" t="s">
        <v>288</v>
      </c>
      <c r="D524" s="10" t="s">
        <v>289</v>
      </c>
      <c r="E524" s="21" t="s">
        <v>2207</v>
      </c>
      <c r="F524" s="10" t="s">
        <v>2208</v>
      </c>
      <c r="G524" s="12" t="s">
        <v>2209</v>
      </c>
      <c r="H524" s="13"/>
      <c r="I524" s="14"/>
      <c r="J524" s="22"/>
      <c r="K524" s="9"/>
      <c r="L524" s="15" t="s">
        <v>1479</v>
      </c>
      <c r="M524" s="16" t="s">
        <v>130</v>
      </c>
      <c r="N524" s="14" t="s">
        <v>1780</v>
      </c>
      <c r="O524" s="15" t="s">
        <v>65</v>
      </c>
      <c r="P524" s="10" t="s">
        <v>2210</v>
      </c>
      <c r="Q524" s="15"/>
      <c r="R524" s="17" t="s">
        <v>130</v>
      </c>
      <c r="S524" s="18" t="s">
        <v>1780</v>
      </c>
      <c r="T524" s="22" t="str">
        <f>IF(R524="維持",J524,IF(R524="排除","無關新聞事件",IFERROR(INDEX(事件規則!$B$2:$B$53,MATCH(S524,事件規則!$A$2:$A$53,0)),"")))</f>
        <v>股價下跌</v>
      </c>
      <c r="U524" s="9">
        <f>IF(R524="維持",K524,IF(R524="排除",0,IFERROR(INDEX(事件規則!$C$2:$C$53,MATCH(S524,事件規則!$A$2:$A$53,0)),"")))</f>
        <v>1</v>
      </c>
      <c r="V524" s="19"/>
      <c r="W524" s="20"/>
      <c r="X524" s="10" t="str">
        <f t="shared" si="8"/>
        <v/>
      </c>
      <c r="Y524" s="19"/>
      <c r="Z524" s="20"/>
      <c r="AA524" s="12" t="s">
        <v>2211</v>
      </c>
      <c r="AB524" s="23"/>
    </row>
    <row r="525" spans="1:28" ht="25.5">
      <c r="A525" s="15">
        <v>524</v>
      </c>
      <c r="B525" s="9" t="s">
        <v>468</v>
      </c>
      <c r="C525" s="15"/>
      <c r="D525" s="22"/>
      <c r="E525" s="21" t="s">
        <v>2212</v>
      </c>
      <c r="F525" s="22" t="s">
        <v>2204</v>
      </c>
      <c r="G525" s="12" t="s">
        <v>2213</v>
      </c>
      <c r="H525" s="13"/>
      <c r="I525" s="14"/>
      <c r="J525" s="22"/>
      <c r="K525" s="9"/>
      <c r="L525" s="15" t="s">
        <v>1479</v>
      </c>
      <c r="M525" s="16" t="s">
        <v>74</v>
      </c>
      <c r="N525" s="14"/>
      <c r="O525" s="15" t="s">
        <v>65</v>
      </c>
      <c r="P525" s="22" t="s">
        <v>2201</v>
      </c>
      <c r="Q525" s="15"/>
      <c r="R525" s="17" t="s">
        <v>74</v>
      </c>
      <c r="S525" s="18"/>
      <c r="T525" s="22" t="str">
        <f>IF(R525="維持",J525,IF(R525="排除","無關新聞事件",IFERROR(INDEX(事件規則!$B$2:$B$53,MATCH(S525,事件規則!$A$2:$A$53,0)),"")))</f>
        <v>無關新聞事件</v>
      </c>
      <c r="U525" s="9">
        <f>IF(R525="維持",K525,IF(R525="排除",0,IFERROR(INDEX(事件規則!$C$2:$C$53,MATCH(S525,事件規則!$A$2:$A$53,0)),"")))</f>
        <v>0</v>
      </c>
      <c r="V525" s="19"/>
      <c r="W525" s="20"/>
      <c r="X525" s="10" t="str">
        <f t="shared" si="8"/>
        <v/>
      </c>
      <c r="Y525" s="19"/>
      <c r="Z525" s="20"/>
      <c r="AA525" s="12" t="s">
        <v>2214</v>
      </c>
      <c r="AB525" s="23"/>
    </row>
    <row r="526" spans="1:28" ht="51">
      <c r="A526" s="15">
        <v>525</v>
      </c>
      <c r="B526" s="9" t="s">
        <v>468</v>
      </c>
      <c r="C526" s="9" t="s">
        <v>2215</v>
      </c>
      <c r="D526" s="10" t="s">
        <v>2216</v>
      </c>
      <c r="E526" s="21" t="s">
        <v>2217</v>
      </c>
      <c r="F526" s="22" t="s">
        <v>2218</v>
      </c>
      <c r="G526" s="12" t="s">
        <v>172</v>
      </c>
      <c r="H526" s="13"/>
      <c r="I526" s="14"/>
      <c r="J526" s="22"/>
      <c r="K526" s="9"/>
      <c r="L526" s="15" t="s">
        <v>1479</v>
      </c>
      <c r="M526" s="16" t="s">
        <v>130</v>
      </c>
      <c r="N526" s="14" t="s">
        <v>2219</v>
      </c>
      <c r="O526" s="15" t="s">
        <v>65</v>
      </c>
      <c r="P526" s="22" t="s">
        <v>2220</v>
      </c>
      <c r="Q526" s="15"/>
      <c r="R526" s="17" t="s">
        <v>130</v>
      </c>
      <c r="S526" s="18" t="s">
        <v>2219</v>
      </c>
      <c r="T526" s="22" t="str">
        <f>IF(R526="維持",J526,IF(R526="排除","無關新聞事件",IFERROR(INDEX(事件規則!$B$2:$B$53,MATCH(S526,事件規則!$A$2:$A$53,0)),"")))</f>
        <v>重大訴訟</v>
      </c>
      <c r="U526" s="9">
        <f>IF(R526="維持",K526,IF(R526="排除",0,IFERROR(INDEX(事件規則!$C$2:$C$53,MATCH(S526,事件規則!$A$2:$A$53,0)),"")))</f>
        <v>4</v>
      </c>
      <c r="V526" s="19"/>
      <c r="W526" s="20"/>
      <c r="X526" s="10" t="str">
        <f t="shared" si="8"/>
        <v/>
      </c>
      <c r="Y526" s="19"/>
      <c r="Z526" s="20"/>
      <c r="AA526" s="12" t="s">
        <v>2221</v>
      </c>
      <c r="AB526" s="23"/>
    </row>
    <row r="527" spans="1:28" ht="25.5">
      <c r="A527" s="15">
        <v>526</v>
      </c>
      <c r="B527" s="9" t="s">
        <v>468</v>
      </c>
      <c r="C527" s="15"/>
      <c r="D527" s="22"/>
      <c r="E527" s="11" t="s">
        <v>2222</v>
      </c>
      <c r="F527" s="22" t="s">
        <v>2223</v>
      </c>
      <c r="G527" s="23" t="s">
        <v>2224</v>
      </c>
      <c r="H527" s="13"/>
      <c r="I527" s="14"/>
      <c r="J527" s="22"/>
      <c r="K527" s="9"/>
      <c r="L527" s="15" t="s">
        <v>1479</v>
      </c>
      <c r="M527" s="16" t="s">
        <v>74</v>
      </c>
      <c r="N527" s="14"/>
      <c r="O527" s="15" t="s">
        <v>65</v>
      </c>
      <c r="P527" s="22" t="s">
        <v>2201</v>
      </c>
      <c r="Q527" s="15"/>
      <c r="R527" s="17" t="s">
        <v>74</v>
      </c>
      <c r="S527" s="18"/>
      <c r="T527" s="22" t="str">
        <f>IF(R527="維持",J527,IF(R527="排除","無關新聞事件",IFERROR(INDEX(事件規則!$B$2:$B$53,MATCH(S527,事件規則!$A$2:$A$53,0)),"")))</f>
        <v>無關新聞事件</v>
      </c>
      <c r="U527" s="9">
        <f>IF(R527="維持",K527,IF(R527="排除",0,IFERROR(INDEX(事件規則!$C$2:$C$53,MATCH(S527,事件規則!$A$2:$A$53,0)),"")))</f>
        <v>0</v>
      </c>
      <c r="V527" s="19"/>
      <c r="W527" s="20"/>
      <c r="X527" s="10" t="str">
        <f t="shared" si="8"/>
        <v/>
      </c>
      <c r="Y527" s="19"/>
      <c r="Z527" s="20"/>
      <c r="AA527" s="12" t="s">
        <v>2225</v>
      </c>
      <c r="AB527" s="23"/>
    </row>
    <row r="528" spans="1:28" ht="38.25">
      <c r="A528" s="15">
        <v>527</v>
      </c>
      <c r="B528" s="9" t="s">
        <v>45</v>
      </c>
      <c r="C528" s="9" t="s">
        <v>288</v>
      </c>
      <c r="D528" s="10" t="s">
        <v>517</v>
      </c>
      <c r="E528" s="21" t="s">
        <v>2226</v>
      </c>
      <c r="F528" s="22" t="s">
        <v>2227</v>
      </c>
      <c r="G528" s="12" t="s">
        <v>299</v>
      </c>
      <c r="H528" s="13">
        <v>0.93300000000000005</v>
      </c>
      <c r="I528" s="14"/>
      <c r="J528" s="22"/>
      <c r="K528" s="9"/>
      <c r="L528" s="15" t="s">
        <v>1479</v>
      </c>
      <c r="M528" s="16" t="s">
        <v>74</v>
      </c>
      <c r="N528" s="14"/>
      <c r="O528" s="15" t="s">
        <v>65</v>
      </c>
      <c r="P528" s="22" t="s">
        <v>2201</v>
      </c>
      <c r="Q528" s="15"/>
      <c r="R528" s="17" t="s">
        <v>74</v>
      </c>
      <c r="S528" s="18"/>
      <c r="T528" s="22" t="str">
        <f>IF(R528="維持",J528,IF(R528="排除","無關新聞事件",IFERROR(INDEX(事件規則!$B$2:$B$53,MATCH(S528,事件規則!$A$2:$A$53,0)),"")))</f>
        <v>無關新聞事件</v>
      </c>
      <c r="U528" s="9">
        <f>IF(R528="維持",K528,IF(R528="排除",0,IFERROR(INDEX(事件規則!$C$2:$C$53,MATCH(S528,事件規則!$A$2:$A$53,0)),"")))</f>
        <v>0</v>
      </c>
      <c r="V528" s="19"/>
      <c r="W528" s="20"/>
      <c r="X528" s="10" t="str">
        <f t="shared" si="8"/>
        <v/>
      </c>
      <c r="Y528" s="19"/>
      <c r="Z528" s="20"/>
      <c r="AA528" s="12" t="s">
        <v>2228</v>
      </c>
      <c r="AB528" s="23"/>
    </row>
    <row r="529" spans="1:28" ht="25.5">
      <c r="A529" s="15">
        <v>528</v>
      </c>
      <c r="B529" s="9" t="s">
        <v>45</v>
      </c>
      <c r="C529" s="9" t="s">
        <v>288</v>
      </c>
      <c r="D529" s="10" t="s">
        <v>517</v>
      </c>
      <c r="E529" s="21" t="s">
        <v>2229</v>
      </c>
      <c r="F529" s="22" t="s">
        <v>2230</v>
      </c>
      <c r="G529" s="12" t="s">
        <v>416</v>
      </c>
      <c r="H529" s="13">
        <v>2.4E-2</v>
      </c>
      <c r="I529" s="14"/>
      <c r="J529" s="22"/>
      <c r="K529" s="9"/>
      <c r="L529" s="15" t="s">
        <v>1479</v>
      </c>
      <c r="M529" s="16" t="s">
        <v>74</v>
      </c>
      <c r="N529" s="14"/>
      <c r="O529" s="15" t="s">
        <v>65</v>
      </c>
      <c r="P529" s="22" t="s">
        <v>2201</v>
      </c>
      <c r="Q529" s="15"/>
      <c r="R529" s="17" t="s">
        <v>74</v>
      </c>
      <c r="S529" s="18"/>
      <c r="T529" s="22" t="str">
        <f>IF(R529="維持",J529,IF(R529="排除","無關新聞事件",IFERROR(INDEX(事件規則!$B$2:$B$53,MATCH(S529,事件規則!$A$2:$A$53,0)),"")))</f>
        <v>無關新聞事件</v>
      </c>
      <c r="U529" s="9">
        <f>IF(R529="維持",K529,IF(R529="排除",0,IFERROR(INDEX(事件規則!$C$2:$C$53,MATCH(S529,事件規則!$A$2:$A$53,0)),"")))</f>
        <v>0</v>
      </c>
      <c r="V529" s="19"/>
      <c r="W529" s="20"/>
      <c r="X529" s="10" t="str">
        <f t="shared" si="8"/>
        <v/>
      </c>
      <c r="Y529" s="19"/>
      <c r="Z529" s="20"/>
      <c r="AA529" s="12" t="s">
        <v>2231</v>
      </c>
      <c r="AB529" s="23"/>
    </row>
    <row r="530" spans="1:28" ht="25.5">
      <c r="A530" s="15">
        <v>529</v>
      </c>
      <c r="B530" s="9" t="s">
        <v>45</v>
      </c>
      <c r="C530" s="9" t="s">
        <v>288</v>
      </c>
      <c r="D530" s="10" t="s">
        <v>517</v>
      </c>
      <c r="E530" s="21" t="s">
        <v>2232</v>
      </c>
      <c r="F530" s="22" t="s">
        <v>2233</v>
      </c>
      <c r="G530" s="12" t="s">
        <v>416</v>
      </c>
      <c r="H530" s="13">
        <v>1.0999999999999999E-2</v>
      </c>
      <c r="I530" s="14"/>
      <c r="J530" s="22"/>
      <c r="K530" s="9"/>
      <c r="L530" s="15" t="s">
        <v>1479</v>
      </c>
      <c r="M530" s="16" t="s">
        <v>74</v>
      </c>
      <c r="N530" s="14"/>
      <c r="O530" s="15" t="s">
        <v>65</v>
      </c>
      <c r="P530" s="22" t="s">
        <v>2201</v>
      </c>
      <c r="Q530" s="15"/>
      <c r="R530" s="17" t="s">
        <v>74</v>
      </c>
      <c r="S530" s="18"/>
      <c r="T530" s="22" t="str">
        <f>IF(R530="維持",J530,IF(R530="排除","無關新聞事件",IFERROR(INDEX(事件規則!$B$2:$B$53,MATCH(S530,事件規則!$A$2:$A$53,0)),"")))</f>
        <v>無關新聞事件</v>
      </c>
      <c r="U530" s="9">
        <f>IF(R530="維持",K530,IF(R530="排除",0,IFERROR(INDEX(事件規則!$C$2:$C$53,MATCH(S530,事件規則!$A$2:$A$53,0)),"")))</f>
        <v>0</v>
      </c>
      <c r="V530" s="19"/>
      <c r="W530" s="20"/>
      <c r="X530" s="10" t="str">
        <f t="shared" si="8"/>
        <v/>
      </c>
      <c r="Y530" s="19"/>
      <c r="Z530" s="20"/>
      <c r="AA530" s="12" t="s">
        <v>2234</v>
      </c>
      <c r="AB530" s="23"/>
    </row>
    <row r="531" spans="1:28" ht="38.25">
      <c r="A531" s="15">
        <v>530</v>
      </c>
      <c r="B531" s="9" t="s">
        <v>45</v>
      </c>
      <c r="C531" s="9" t="s">
        <v>288</v>
      </c>
      <c r="D531" s="10" t="s">
        <v>517</v>
      </c>
      <c r="E531" s="21" t="s">
        <v>2235</v>
      </c>
      <c r="F531" s="10" t="s">
        <v>2236</v>
      </c>
      <c r="G531" s="12" t="s">
        <v>2237</v>
      </c>
      <c r="H531" s="13">
        <v>7.9000000000000001E-2</v>
      </c>
      <c r="I531" s="14"/>
      <c r="J531" s="22"/>
      <c r="K531" s="9"/>
      <c r="L531" s="15" t="s">
        <v>1479</v>
      </c>
      <c r="M531" s="16" t="s">
        <v>74</v>
      </c>
      <c r="N531" s="14"/>
      <c r="O531" s="15" t="s">
        <v>65</v>
      </c>
      <c r="P531" s="22" t="s">
        <v>2201</v>
      </c>
      <c r="Q531" s="15"/>
      <c r="R531" s="17" t="s">
        <v>74</v>
      </c>
      <c r="S531" s="18"/>
      <c r="T531" s="22" t="str">
        <f>IF(R531="維持",J531,IF(R531="排除","無關新聞事件",IFERROR(INDEX(事件規則!$B$2:$B$53,MATCH(S531,事件規則!$A$2:$A$53,0)),"")))</f>
        <v>無關新聞事件</v>
      </c>
      <c r="U531" s="9">
        <f>IF(R531="維持",K531,IF(R531="排除",0,IFERROR(INDEX(事件規則!$C$2:$C$53,MATCH(S531,事件規則!$A$2:$A$53,0)),"")))</f>
        <v>0</v>
      </c>
      <c r="V531" s="19"/>
      <c r="W531" s="20"/>
      <c r="X531" s="10" t="str">
        <f t="shared" si="8"/>
        <v/>
      </c>
      <c r="Y531" s="19"/>
      <c r="Z531" s="20"/>
      <c r="AA531" s="12" t="s">
        <v>2238</v>
      </c>
      <c r="AB531" s="23"/>
    </row>
    <row r="532" spans="1:28" ht="25.5">
      <c r="A532" s="15">
        <v>531</v>
      </c>
      <c r="B532" s="9" t="s">
        <v>45</v>
      </c>
      <c r="C532" s="9" t="s">
        <v>288</v>
      </c>
      <c r="D532" s="10" t="s">
        <v>517</v>
      </c>
      <c r="E532" s="21" t="s">
        <v>2239</v>
      </c>
      <c r="F532" s="22" t="s">
        <v>2230</v>
      </c>
      <c r="G532" s="12" t="s">
        <v>416</v>
      </c>
      <c r="H532" s="13">
        <v>-0.95399999999999996</v>
      </c>
      <c r="I532" s="14"/>
      <c r="J532" s="22"/>
      <c r="K532" s="9"/>
      <c r="L532" s="15" t="s">
        <v>1479</v>
      </c>
      <c r="M532" s="16" t="s">
        <v>74</v>
      </c>
      <c r="N532" s="14"/>
      <c r="O532" s="15" t="s">
        <v>65</v>
      </c>
      <c r="P532" s="22" t="s">
        <v>2201</v>
      </c>
      <c r="Q532" s="15"/>
      <c r="R532" s="17" t="s">
        <v>74</v>
      </c>
      <c r="S532" s="18"/>
      <c r="T532" s="22" t="str">
        <f>IF(R532="維持",J532,IF(R532="排除","無關新聞事件",IFERROR(INDEX(事件規則!$B$2:$B$53,MATCH(S532,事件規則!$A$2:$A$53,0)),"")))</f>
        <v>無關新聞事件</v>
      </c>
      <c r="U532" s="9">
        <f>IF(R532="維持",K532,IF(R532="排除",0,IFERROR(INDEX(事件規則!$C$2:$C$53,MATCH(S532,事件規則!$A$2:$A$53,0)),"")))</f>
        <v>0</v>
      </c>
      <c r="V532" s="19"/>
      <c r="W532" s="20"/>
      <c r="X532" s="10" t="str">
        <f t="shared" si="8"/>
        <v/>
      </c>
      <c r="Y532" s="19"/>
      <c r="Z532" s="20"/>
      <c r="AA532" s="12" t="s">
        <v>2240</v>
      </c>
      <c r="AB532" s="23"/>
    </row>
    <row r="533" spans="1:28" ht="25.5">
      <c r="A533" s="15">
        <v>532</v>
      </c>
      <c r="B533" s="9" t="s">
        <v>45</v>
      </c>
      <c r="C533" s="15"/>
      <c r="D533" s="22"/>
      <c r="E533" s="11" t="s">
        <v>2241</v>
      </c>
      <c r="F533" s="22" t="s">
        <v>2242</v>
      </c>
      <c r="G533" s="12" t="s">
        <v>2243</v>
      </c>
      <c r="H533" s="13"/>
      <c r="I533" s="14"/>
      <c r="J533" s="22"/>
      <c r="K533" s="9"/>
      <c r="L533" s="15" t="s">
        <v>1479</v>
      </c>
      <c r="M533" s="16" t="s">
        <v>74</v>
      </c>
      <c r="N533" s="14"/>
      <c r="O533" s="15" t="s">
        <v>65</v>
      </c>
      <c r="P533" s="22" t="s">
        <v>2201</v>
      </c>
      <c r="Q533" s="15"/>
      <c r="R533" s="17" t="s">
        <v>74</v>
      </c>
      <c r="S533" s="18"/>
      <c r="T533" s="22" t="str">
        <f>IF(R533="維持",J533,IF(R533="排除","無關新聞事件",IFERROR(INDEX(事件規則!$B$2:$B$53,MATCH(S533,事件規則!$A$2:$A$53,0)),"")))</f>
        <v>無關新聞事件</v>
      </c>
      <c r="U533" s="9">
        <f>IF(R533="維持",K533,IF(R533="排除",0,IFERROR(INDEX(事件規則!$C$2:$C$53,MATCH(S533,事件規則!$A$2:$A$53,0)),"")))</f>
        <v>0</v>
      </c>
      <c r="V533" s="19"/>
      <c r="W533" s="20"/>
      <c r="X533" s="10" t="str">
        <f t="shared" si="8"/>
        <v/>
      </c>
      <c r="Y533" s="19"/>
      <c r="Z533" s="20"/>
      <c r="AA533" s="12" t="s">
        <v>2244</v>
      </c>
      <c r="AB533" s="23"/>
    </row>
    <row r="534" spans="1:28" ht="25.5">
      <c r="A534" s="15">
        <v>533</v>
      </c>
      <c r="B534" s="9" t="s">
        <v>45</v>
      </c>
      <c r="C534" s="9" t="s">
        <v>288</v>
      </c>
      <c r="D534" s="10" t="s">
        <v>517</v>
      </c>
      <c r="E534" s="21" t="s">
        <v>2245</v>
      </c>
      <c r="F534" s="22" t="s">
        <v>2246</v>
      </c>
      <c r="G534" s="12" t="s">
        <v>299</v>
      </c>
      <c r="H534" s="13">
        <v>0.89900000000000002</v>
      </c>
      <c r="I534" s="14"/>
      <c r="J534" s="22"/>
      <c r="K534" s="9"/>
      <c r="L534" s="15" t="s">
        <v>1479</v>
      </c>
      <c r="M534" s="16" t="s">
        <v>74</v>
      </c>
      <c r="N534" s="14"/>
      <c r="O534" s="15" t="s">
        <v>65</v>
      </c>
      <c r="P534" s="22" t="s">
        <v>2201</v>
      </c>
      <c r="Q534" s="15"/>
      <c r="R534" s="17" t="s">
        <v>74</v>
      </c>
      <c r="S534" s="18"/>
      <c r="T534" s="22" t="str">
        <f>IF(R534="維持",J534,IF(R534="排除","無關新聞事件",IFERROR(INDEX(事件規則!$B$2:$B$53,MATCH(S534,事件規則!$A$2:$A$53,0)),"")))</f>
        <v>無關新聞事件</v>
      </c>
      <c r="U534" s="9">
        <f>IF(R534="維持",K534,IF(R534="排除",0,IFERROR(INDEX(事件規則!$C$2:$C$53,MATCH(S534,事件規則!$A$2:$A$53,0)),"")))</f>
        <v>0</v>
      </c>
      <c r="V534" s="19"/>
      <c r="W534" s="20"/>
      <c r="X534" s="10" t="str">
        <f t="shared" si="8"/>
        <v/>
      </c>
      <c r="Y534" s="19"/>
      <c r="Z534" s="20"/>
      <c r="AA534" s="12" t="s">
        <v>2247</v>
      </c>
      <c r="AB534" s="23"/>
    </row>
    <row r="535" spans="1:28" ht="25.5">
      <c r="A535" s="15">
        <v>534</v>
      </c>
      <c r="B535" s="9" t="s">
        <v>45</v>
      </c>
      <c r="C535" s="9" t="s">
        <v>288</v>
      </c>
      <c r="D535" s="10" t="s">
        <v>517</v>
      </c>
      <c r="E535" s="11" t="s">
        <v>2248</v>
      </c>
      <c r="F535" s="22" t="s">
        <v>2249</v>
      </c>
      <c r="G535" s="12" t="s">
        <v>64</v>
      </c>
      <c r="H535" s="13">
        <v>-0.82399999999999995</v>
      </c>
      <c r="I535" s="14"/>
      <c r="J535" s="22"/>
      <c r="K535" s="9"/>
      <c r="L535" s="15" t="s">
        <v>1479</v>
      </c>
      <c r="M535" s="16" t="s">
        <v>74</v>
      </c>
      <c r="N535" s="14"/>
      <c r="O535" s="15" t="s">
        <v>65</v>
      </c>
      <c r="P535" s="22" t="s">
        <v>2201</v>
      </c>
      <c r="Q535" s="15"/>
      <c r="R535" s="17" t="s">
        <v>74</v>
      </c>
      <c r="S535" s="18"/>
      <c r="T535" s="22" t="str">
        <f>IF(R535="維持",J535,IF(R535="排除","無關新聞事件",IFERROR(INDEX(事件規則!$B$2:$B$53,MATCH(S535,事件規則!$A$2:$A$53,0)),"")))</f>
        <v>無關新聞事件</v>
      </c>
      <c r="U535" s="9">
        <f>IF(R535="維持",K535,IF(R535="排除",0,IFERROR(INDEX(事件規則!$C$2:$C$53,MATCH(S535,事件規則!$A$2:$A$53,0)),"")))</f>
        <v>0</v>
      </c>
      <c r="V535" s="19"/>
      <c r="W535" s="20"/>
      <c r="X535" s="10" t="str">
        <f t="shared" si="8"/>
        <v/>
      </c>
      <c r="Y535" s="19"/>
      <c r="Z535" s="20"/>
      <c r="AA535" s="12" t="s">
        <v>2250</v>
      </c>
      <c r="AB535" s="23"/>
    </row>
    <row r="536" spans="1:28" ht="25.5">
      <c r="A536" s="15">
        <v>535</v>
      </c>
      <c r="B536" s="9" t="s">
        <v>45</v>
      </c>
      <c r="C536" s="9" t="s">
        <v>288</v>
      </c>
      <c r="D536" s="10" t="s">
        <v>517</v>
      </c>
      <c r="E536" s="21" t="s">
        <v>2251</v>
      </c>
      <c r="F536" s="22" t="s">
        <v>2252</v>
      </c>
      <c r="G536" s="12" t="s">
        <v>60</v>
      </c>
      <c r="H536" s="13">
        <v>0.14799999999999999</v>
      </c>
      <c r="I536" s="14"/>
      <c r="J536" s="22"/>
      <c r="K536" s="9"/>
      <c r="L536" s="15" t="s">
        <v>1479</v>
      </c>
      <c r="M536" s="16" t="s">
        <v>74</v>
      </c>
      <c r="N536" s="14"/>
      <c r="O536" s="15" t="s">
        <v>65</v>
      </c>
      <c r="P536" s="22" t="s">
        <v>2201</v>
      </c>
      <c r="Q536" s="15"/>
      <c r="R536" s="17" t="s">
        <v>74</v>
      </c>
      <c r="S536" s="18"/>
      <c r="T536" s="22" t="str">
        <f>IF(R536="維持",J536,IF(R536="排除","無關新聞事件",IFERROR(INDEX(事件規則!$B$2:$B$53,MATCH(S536,事件規則!$A$2:$A$53,0)),"")))</f>
        <v>無關新聞事件</v>
      </c>
      <c r="U536" s="9">
        <f>IF(R536="維持",K536,IF(R536="排除",0,IFERROR(INDEX(事件規則!$C$2:$C$53,MATCH(S536,事件規則!$A$2:$A$53,0)),"")))</f>
        <v>0</v>
      </c>
      <c r="V536" s="19"/>
      <c r="W536" s="20"/>
      <c r="X536" s="10" t="str">
        <f t="shared" si="8"/>
        <v/>
      </c>
      <c r="Y536" s="19"/>
      <c r="Z536" s="20"/>
      <c r="AA536" s="12" t="s">
        <v>2253</v>
      </c>
      <c r="AB536" s="23"/>
    </row>
    <row r="537" spans="1:28" ht="38.25">
      <c r="A537" s="15">
        <v>536</v>
      </c>
      <c r="B537" s="9" t="s">
        <v>45</v>
      </c>
      <c r="C537" s="15"/>
      <c r="D537" s="10" t="s">
        <v>2254</v>
      </c>
      <c r="E537" s="21" t="s">
        <v>2255</v>
      </c>
      <c r="F537" s="10" t="s">
        <v>2256</v>
      </c>
      <c r="G537" s="12" t="s">
        <v>2257</v>
      </c>
      <c r="H537" s="13"/>
      <c r="I537" s="14"/>
      <c r="J537" s="22"/>
      <c r="K537" s="9"/>
      <c r="L537" s="15" t="s">
        <v>1479</v>
      </c>
      <c r="M537" s="16" t="s">
        <v>130</v>
      </c>
      <c r="N537" s="14" t="s">
        <v>155</v>
      </c>
      <c r="O537" s="15" t="s">
        <v>55</v>
      </c>
      <c r="P537" s="10" t="s">
        <v>2258</v>
      </c>
      <c r="Q537" s="15"/>
      <c r="R537" s="17" t="s">
        <v>130</v>
      </c>
      <c r="S537" s="18" t="s">
        <v>155</v>
      </c>
      <c r="T537" s="22" t="str">
        <f>IF(R537="維持",J537,IF(R537="排除","無關新聞事件",IFERROR(INDEX(事件規則!$B$2:$B$53,MATCH(S537,事件規則!$A$2:$A$53,0)),"")))</f>
        <v>資料外洩</v>
      </c>
      <c r="U537" s="9">
        <f>IF(R537="維持",K537,IF(R537="排除",0,IFERROR(INDEX(事件規則!$C$2:$C$53,MATCH(S537,事件規則!$A$2:$A$53,0)),"")))</f>
        <v>3</v>
      </c>
      <c r="V537" s="19"/>
      <c r="W537" s="20"/>
      <c r="X537" s="10" t="str">
        <f t="shared" si="8"/>
        <v/>
      </c>
      <c r="Y537" s="19"/>
      <c r="Z537" s="20"/>
      <c r="AA537" s="12" t="s">
        <v>2259</v>
      </c>
      <c r="AB537" s="23"/>
    </row>
    <row r="538" spans="1:28" ht="25.5">
      <c r="A538" s="15">
        <v>537</v>
      </c>
      <c r="B538" s="9" t="s">
        <v>45</v>
      </c>
      <c r="C538" s="9" t="s">
        <v>288</v>
      </c>
      <c r="D538" s="10" t="s">
        <v>517</v>
      </c>
      <c r="E538" s="21" t="s">
        <v>2260</v>
      </c>
      <c r="F538" s="22" t="s">
        <v>2261</v>
      </c>
      <c r="G538" s="12" t="s">
        <v>1285</v>
      </c>
      <c r="H538" s="13">
        <v>2.4E-2</v>
      </c>
      <c r="I538" s="14"/>
      <c r="J538" s="22"/>
      <c r="K538" s="9"/>
      <c r="L538" s="15" t="s">
        <v>1479</v>
      </c>
      <c r="M538" s="16" t="s">
        <v>74</v>
      </c>
      <c r="N538" s="14"/>
      <c r="O538" s="15" t="s">
        <v>65</v>
      </c>
      <c r="P538" s="22" t="s">
        <v>2201</v>
      </c>
      <c r="Q538" s="15"/>
      <c r="R538" s="17" t="s">
        <v>74</v>
      </c>
      <c r="S538" s="18"/>
      <c r="T538" s="22" t="str">
        <f>IF(R538="維持",J538,IF(R538="排除","無關新聞事件",IFERROR(INDEX(事件規則!$B$2:$B$53,MATCH(S538,事件規則!$A$2:$A$53,0)),"")))</f>
        <v>無關新聞事件</v>
      </c>
      <c r="U538" s="9">
        <f>IF(R538="維持",K538,IF(R538="排除",0,IFERROR(INDEX(事件規則!$C$2:$C$53,MATCH(S538,事件規則!$A$2:$A$53,0)),"")))</f>
        <v>0</v>
      </c>
      <c r="V538" s="19"/>
      <c r="W538" s="20"/>
      <c r="X538" s="10" t="str">
        <f t="shared" si="8"/>
        <v/>
      </c>
      <c r="Y538" s="19"/>
      <c r="Z538" s="20"/>
      <c r="AA538" s="12" t="s">
        <v>2262</v>
      </c>
      <c r="AB538" s="23"/>
    </row>
    <row r="539" spans="1:28" ht="38.25">
      <c r="A539" s="15">
        <v>538</v>
      </c>
      <c r="B539" s="9" t="s">
        <v>45</v>
      </c>
      <c r="C539" s="9" t="s">
        <v>46</v>
      </c>
      <c r="D539" s="10" t="s">
        <v>47</v>
      </c>
      <c r="E539" s="21" t="s">
        <v>2263</v>
      </c>
      <c r="F539" s="22" t="s">
        <v>2264</v>
      </c>
      <c r="G539" s="12" t="s">
        <v>2265</v>
      </c>
      <c r="H539" s="13"/>
      <c r="I539" s="14"/>
      <c r="J539" s="22"/>
      <c r="K539" s="9"/>
      <c r="L539" s="15" t="s">
        <v>1479</v>
      </c>
      <c r="M539" s="16" t="s">
        <v>130</v>
      </c>
      <c r="N539" s="14" t="s">
        <v>51</v>
      </c>
      <c r="O539" s="15" t="s">
        <v>65</v>
      </c>
      <c r="P539" s="10" t="s">
        <v>2266</v>
      </c>
      <c r="Q539" s="15"/>
      <c r="R539" s="17" t="s">
        <v>130</v>
      </c>
      <c r="S539" s="18" t="s">
        <v>51</v>
      </c>
      <c r="T539" s="22" t="str">
        <f>IF(R539="維持",J539,IF(R539="排除","無關新聞事件",IFERROR(INDEX(事件規則!$B$2:$B$53,MATCH(S539,事件規則!$A$2:$A$53,0)),"")))</f>
        <v>CDS利差擴大／信用風險升高</v>
      </c>
      <c r="U539" s="9">
        <f>IF(R539="維持",K539,IF(R539="排除",0,IFERROR(INDEX(事件規則!$C$2:$C$53,MATCH(S539,事件規則!$A$2:$A$53,0)),"")))</f>
        <v>3</v>
      </c>
      <c r="V539" s="19"/>
      <c r="W539" s="20"/>
      <c r="X539" s="10" t="str">
        <f t="shared" si="8"/>
        <v/>
      </c>
      <c r="Y539" s="19"/>
      <c r="Z539" s="20"/>
      <c r="AA539" s="12" t="s">
        <v>2267</v>
      </c>
      <c r="AB539" s="23"/>
    </row>
    <row r="540" spans="1:28" ht="38.25">
      <c r="A540" s="15">
        <v>539</v>
      </c>
      <c r="B540" s="9" t="s">
        <v>45</v>
      </c>
      <c r="C540" s="15"/>
      <c r="D540" s="10" t="s">
        <v>2268</v>
      </c>
      <c r="E540" s="21" t="s">
        <v>2269</v>
      </c>
      <c r="F540" s="22" t="s">
        <v>2270</v>
      </c>
      <c r="G540" s="12" t="s">
        <v>850</v>
      </c>
      <c r="H540" s="13"/>
      <c r="I540" s="14"/>
      <c r="J540" s="22"/>
      <c r="K540" s="9"/>
      <c r="L540" s="15" t="s">
        <v>1479</v>
      </c>
      <c r="M540" s="16" t="s">
        <v>74</v>
      </c>
      <c r="N540" s="14"/>
      <c r="O540" s="15" t="s">
        <v>65</v>
      </c>
      <c r="P540" s="22" t="s">
        <v>2201</v>
      </c>
      <c r="Q540" s="15"/>
      <c r="R540" s="17" t="s">
        <v>74</v>
      </c>
      <c r="S540" s="18"/>
      <c r="T540" s="22" t="str">
        <f>IF(R540="維持",J540,IF(R540="排除","無關新聞事件",IFERROR(INDEX(事件規則!$B$2:$B$53,MATCH(S540,事件規則!$A$2:$A$53,0)),"")))</f>
        <v>無關新聞事件</v>
      </c>
      <c r="U540" s="9">
        <f>IF(R540="維持",K540,IF(R540="排除",0,IFERROR(INDEX(事件規則!$C$2:$C$53,MATCH(S540,事件規則!$A$2:$A$53,0)),"")))</f>
        <v>0</v>
      </c>
      <c r="V540" s="19"/>
      <c r="W540" s="20"/>
      <c r="X540" s="10" t="str">
        <f t="shared" si="8"/>
        <v/>
      </c>
      <c r="Y540" s="19"/>
      <c r="Z540" s="20"/>
      <c r="AA540" s="12" t="s">
        <v>2271</v>
      </c>
      <c r="AB540" s="23"/>
    </row>
    <row r="541" spans="1:28" ht="25.5">
      <c r="A541" s="15">
        <v>540</v>
      </c>
      <c r="B541" s="9" t="s">
        <v>45</v>
      </c>
      <c r="C541" s="9" t="s">
        <v>288</v>
      </c>
      <c r="D541" s="10" t="s">
        <v>517</v>
      </c>
      <c r="E541" s="21" t="s">
        <v>2272</v>
      </c>
      <c r="F541" s="10" t="s">
        <v>2273</v>
      </c>
      <c r="G541" s="12" t="s">
        <v>299</v>
      </c>
      <c r="H541" s="13">
        <v>-0.93300000000000005</v>
      </c>
      <c r="I541" s="14"/>
      <c r="J541" s="22"/>
      <c r="K541" s="9"/>
      <c r="L541" s="15" t="s">
        <v>1479</v>
      </c>
      <c r="M541" s="16" t="s">
        <v>130</v>
      </c>
      <c r="N541" s="14" t="s">
        <v>1780</v>
      </c>
      <c r="O541" s="15" t="s">
        <v>65</v>
      </c>
      <c r="P541" s="10" t="s">
        <v>2210</v>
      </c>
      <c r="Q541" s="15"/>
      <c r="R541" s="17" t="s">
        <v>130</v>
      </c>
      <c r="S541" s="18" t="s">
        <v>1780</v>
      </c>
      <c r="T541" s="22" t="str">
        <f>IF(R541="維持",J541,IF(R541="排除","無關新聞事件",IFERROR(INDEX(事件規則!$B$2:$B$53,MATCH(S541,事件規則!$A$2:$A$53,0)),"")))</f>
        <v>股價下跌</v>
      </c>
      <c r="U541" s="9">
        <f>IF(R541="維持",K541,IF(R541="排除",0,IFERROR(INDEX(事件規則!$C$2:$C$53,MATCH(S541,事件規則!$A$2:$A$53,0)),"")))</f>
        <v>1</v>
      </c>
      <c r="V541" s="19"/>
      <c r="W541" s="20"/>
      <c r="X541" s="10" t="str">
        <f t="shared" si="8"/>
        <v/>
      </c>
      <c r="Y541" s="19"/>
      <c r="Z541" s="20"/>
      <c r="AA541" s="12" t="s">
        <v>2274</v>
      </c>
      <c r="AB541" s="23"/>
    </row>
    <row r="542" spans="1:28" ht="25.5">
      <c r="A542" s="15">
        <v>541</v>
      </c>
      <c r="B542" s="9" t="s">
        <v>45</v>
      </c>
      <c r="C542" s="9" t="s">
        <v>288</v>
      </c>
      <c r="D542" s="10" t="s">
        <v>517</v>
      </c>
      <c r="E542" s="21" t="s">
        <v>2275</v>
      </c>
      <c r="F542" s="22" t="s">
        <v>2276</v>
      </c>
      <c r="G542" s="12" t="s">
        <v>299</v>
      </c>
      <c r="H542" s="13">
        <v>8.9999999999999993E-3</v>
      </c>
      <c r="I542" s="14"/>
      <c r="J542" s="22"/>
      <c r="K542" s="9"/>
      <c r="L542" s="15" t="s">
        <v>1479</v>
      </c>
      <c r="M542" s="16" t="s">
        <v>74</v>
      </c>
      <c r="N542" s="14"/>
      <c r="O542" s="15" t="s">
        <v>65</v>
      </c>
      <c r="P542" s="22" t="s">
        <v>2201</v>
      </c>
      <c r="Q542" s="15"/>
      <c r="R542" s="17" t="s">
        <v>74</v>
      </c>
      <c r="S542" s="18"/>
      <c r="T542" s="22" t="str">
        <f>IF(R542="維持",J542,IF(R542="排除","無關新聞事件",IFERROR(INDEX(事件規則!$B$2:$B$53,MATCH(S542,事件規則!$A$2:$A$53,0)),"")))</f>
        <v>無關新聞事件</v>
      </c>
      <c r="U542" s="9">
        <f>IF(R542="維持",K542,IF(R542="排除",0,IFERROR(INDEX(事件規則!$C$2:$C$53,MATCH(S542,事件規則!$A$2:$A$53,0)),"")))</f>
        <v>0</v>
      </c>
      <c r="V542" s="19"/>
      <c r="W542" s="20"/>
      <c r="X542" s="10" t="str">
        <f t="shared" si="8"/>
        <v/>
      </c>
      <c r="Y542" s="19"/>
      <c r="Z542" s="20"/>
      <c r="AA542" s="12" t="s">
        <v>2277</v>
      </c>
      <c r="AB542" s="23"/>
    </row>
    <row r="543" spans="1:28" ht="25.5">
      <c r="A543" s="15">
        <v>542</v>
      </c>
      <c r="B543" s="9" t="s">
        <v>45</v>
      </c>
      <c r="C543" s="9" t="s">
        <v>288</v>
      </c>
      <c r="D543" s="10" t="s">
        <v>517</v>
      </c>
      <c r="E543" s="21" t="s">
        <v>2278</v>
      </c>
      <c r="F543" s="22" t="s">
        <v>2279</v>
      </c>
      <c r="G543" s="12" t="s">
        <v>299</v>
      </c>
      <c r="H543" s="13">
        <v>7.9000000000000001E-2</v>
      </c>
      <c r="I543" s="14"/>
      <c r="J543" s="22"/>
      <c r="K543" s="9"/>
      <c r="L543" s="15" t="s">
        <v>1479</v>
      </c>
      <c r="M543" s="16" t="s">
        <v>74</v>
      </c>
      <c r="N543" s="14"/>
      <c r="O543" s="15" t="s">
        <v>65</v>
      </c>
      <c r="P543" s="22" t="s">
        <v>2201</v>
      </c>
      <c r="Q543" s="15"/>
      <c r="R543" s="17" t="s">
        <v>74</v>
      </c>
      <c r="S543" s="18"/>
      <c r="T543" s="22" t="str">
        <f>IF(R543="維持",J543,IF(R543="排除","無關新聞事件",IFERROR(INDEX(事件規則!$B$2:$B$53,MATCH(S543,事件規則!$A$2:$A$53,0)),"")))</f>
        <v>無關新聞事件</v>
      </c>
      <c r="U543" s="9">
        <f>IF(R543="維持",K543,IF(R543="排除",0,IFERROR(INDEX(事件規則!$C$2:$C$53,MATCH(S543,事件規則!$A$2:$A$53,0)),"")))</f>
        <v>0</v>
      </c>
      <c r="V543" s="19"/>
      <c r="W543" s="20"/>
      <c r="X543" s="10" t="str">
        <f t="shared" si="8"/>
        <v/>
      </c>
      <c r="Y543" s="19"/>
      <c r="Z543" s="20"/>
      <c r="AA543" s="12" t="s">
        <v>2280</v>
      </c>
      <c r="AB543" s="23"/>
    </row>
    <row r="544" spans="1:28" ht="38.25">
      <c r="A544" s="15">
        <v>543</v>
      </c>
      <c r="B544" s="9" t="s">
        <v>45</v>
      </c>
      <c r="C544" s="9" t="s">
        <v>288</v>
      </c>
      <c r="D544" s="10" t="s">
        <v>517</v>
      </c>
      <c r="E544" s="21" t="s">
        <v>2281</v>
      </c>
      <c r="F544" s="22" t="s">
        <v>2282</v>
      </c>
      <c r="G544" s="12" t="s">
        <v>299</v>
      </c>
      <c r="H544" s="13">
        <v>-0.378</v>
      </c>
      <c r="I544" s="14"/>
      <c r="J544" s="22"/>
      <c r="K544" s="9"/>
      <c r="L544" s="15" t="s">
        <v>1479</v>
      </c>
      <c r="M544" s="16" t="s">
        <v>74</v>
      </c>
      <c r="N544" s="14"/>
      <c r="O544" s="15" t="s">
        <v>65</v>
      </c>
      <c r="P544" s="22" t="s">
        <v>2201</v>
      </c>
      <c r="Q544" s="15"/>
      <c r="R544" s="17" t="s">
        <v>74</v>
      </c>
      <c r="S544" s="18"/>
      <c r="T544" s="22" t="str">
        <f>IF(R544="維持",J544,IF(R544="排除","無關新聞事件",IFERROR(INDEX(事件規則!$B$2:$B$53,MATCH(S544,事件規則!$A$2:$A$53,0)),"")))</f>
        <v>無關新聞事件</v>
      </c>
      <c r="U544" s="9">
        <f>IF(R544="維持",K544,IF(R544="排除",0,IFERROR(INDEX(事件規則!$C$2:$C$53,MATCH(S544,事件規則!$A$2:$A$53,0)),"")))</f>
        <v>0</v>
      </c>
      <c r="V544" s="19"/>
      <c r="W544" s="20"/>
      <c r="X544" s="10" t="str">
        <f t="shared" si="8"/>
        <v/>
      </c>
      <c r="Y544" s="19"/>
      <c r="Z544" s="20"/>
      <c r="AA544" s="12" t="s">
        <v>2283</v>
      </c>
      <c r="AB544" s="23"/>
    </row>
    <row r="545" spans="1:28" ht="38.25">
      <c r="A545" s="15">
        <v>544</v>
      </c>
      <c r="B545" s="9" t="s">
        <v>45</v>
      </c>
      <c r="C545" s="15"/>
      <c r="D545" s="22"/>
      <c r="E545" s="21" t="s">
        <v>2284</v>
      </c>
      <c r="F545" s="22" t="s">
        <v>2285</v>
      </c>
      <c r="G545" s="12" t="s">
        <v>245</v>
      </c>
      <c r="H545" s="13"/>
      <c r="I545" s="14"/>
      <c r="J545" s="22"/>
      <c r="K545" s="9"/>
      <c r="L545" s="15" t="s">
        <v>1479</v>
      </c>
      <c r="M545" s="16" t="s">
        <v>74</v>
      </c>
      <c r="N545" s="14"/>
      <c r="O545" s="15" t="s">
        <v>65</v>
      </c>
      <c r="P545" s="22" t="s">
        <v>2201</v>
      </c>
      <c r="Q545" s="15"/>
      <c r="R545" s="17" t="s">
        <v>74</v>
      </c>
      <c r="S545" s="18"/>
      <c r="T545" s="22" t="str">
        <f>IF(R545="維持",J545,IF(R545="排除","無關新聞事件",IFERROR(INDEX(事件規則!$B$2:$B$53,MATCH(S545,事件規則!$A$2:$A$53,0)),"")))</f>
        <v>無關新聞事件</v>
      </c>
      <c r="U545" s="9">
        <f>IF(R545="維持",K545,IF(R545="排除",0,IFERROR(INDEX(事件規則!$C$2:$C$53,MATCH(S545,事件規則!$A$2:$A$53,0)),"")))</f>
        <v>0</v>
      </c>
      <c r="V545" s="19"/>
      <c r="W545" s="20"/>
      <c r="X545" s="10" t="str">
        <f t="shared" si="8"/>
        <v/>
      </c>
      <c r="Y545" s="19"/>
      <c r="Z545" s="20"/>
      <c r="AA545" s="12" t="s">
        <v>2286</v>
      </c>
      <c r="AB545" s="23"/>
    </row>
    <row r="546" spans="1:28" ht="51">
      <c r="A546" s="15">
        <v>545</v>
      </c>
      <c r="B546" s="9" t="s">
        <v>45</v>
      </c>
      <c r="C546" s="15"/>
      <c r="D546" s="10" t="s">
        <v>2254</v>
      </c>
      <c r="E546" s="21" t="s">
        <v>2287</v>
      </c>
      <c r="F546" s="10" t="s">
        <v>2288</v>
      </c>
      <c r="G546" s="12" t="s">
        <v>129</v>
      </c>
      <c r="H546" s="13"/>
      <c r="I546" s="14"/>
      <c r="J546" s="22"/>
      <c r="K546" s="9"/>
      <c r="L546" s="15" t="s">
        <v>1479</v>
      </c>
      <c r="M546" s="16" t="s">
        <v>130</v>
      </c>
      <c r="N546" s="14" t="s">
        <v>155</v>
      </c>
      <c r="O546" s="15" t="s">
        <v>55</v>
      </c>
      <c r="P546" s="10" t="s">
        <v>2258</v>
      </c>
      <c r="Q546" s="15"/>
      <c r="R546" s="17" t="s">
        <v>130</v>
      </c>
      <c r="S546" s="18" t="s">
        <v>155</v>
      </c>
      <c r="T546" s="22" t="str">
        <f>IF(R546="維持",J546,IF(R546="排除","無關新聞事件",IFERROR(INDEX(事件規則!$B$2:$B$53,MATCH(S546,事件規則!$A$2:$A$53,0)),"")))</f>
        <v>資料外洩</v>
      </c>
      <c r="U546" s="9">
        <f>IF(R546="維持",K546,IF(R546="排除",0,IFERROR(INDEX(事件規則!$C$2:$C$53,MATCH(S546,事件規則!$A$2:$A$53,0)),"")))</f>
        <v>3</v>
      </c>
      <c r="V546" s="19"/>
      <c r="W546" s="20"/>
      <c r="X546" s="10" t="str">
        <f t="shared" si="8"/>
        <v/>
      </c>
      <c r="Y546" s="19"/>
      <c r="Z546" s="20"/>
      <c r="AA546" s="12" t="s">
        <v>2289</v>
      </c>
      <c r="AB546" s="23"/>
    </row>
    <row r="547" spans="1:28" ht="25.5">
      <c r="A547" s="15">
        <v>546</v>
      </c>
      <c r="B547" s="9" t="s">
        <v>45</v>
      </c>
      <c r="C547" s="9" t="s">
        <v>288</v>
      </c>
      <c r="D547" s="10" t="s">
        <v>517</v>
      </c>
      <c r="E547" s="11" t="s">
        <v>2290</v>
      </c>
      <c r="F547" s="22" t="s">
        <v>2291</v>
      </c>
      <c r="G547" s="12" t="s">
        <v>64</v>
      </c>
      <c r="H547" s="13">
        <v>0.61899999999999999</v>
      </c>
      <c r="I547" s="14"/>
      <c r="J547" s="22"/>
      <c r="K547" s="9"/>
      <c r="L547" s="15" t="s">
        <v>1479</v>
      </c>
      <c r="M547" s="16" t="s">
        <v>74</v>
      </c>
      <c r="N547" s="14"/>
      <c r="O547" s="15" t="s">
        <v>65</v>
      </c>
      <c r="P547" s="22" t="s">
        <v>2201</v>
      </c>
      <c r="Q547" s="15"/>
      <c r="R547" s="17" t="s">
        <v>74</v>
      </c>
      <c r="S547" s="18"/>
      <c r="T547" s="22" t="str">
        <f>IF(R547="維持",J547,IF(R547="排除","無關新聞事件",IFERROR(INDEX(事件規則!$B$2:$B$53,MATCH(S547,事件規則!$A$2:$A$53,0)),"")))</f>
        <v>無關新聞事件</v>
      </c>
      <c r="U547" s="9">
        <f>IF(R547="維持",K547,IF(R547="排除",0,IFERROR(INDEX(事件規則!$C$2:$C$53,MATCH(S547,事件規則!$A$2:$A$53,0)),"")))</f>
        <v>0</v>
      </c>
      <c r="V547" s="19"/>
      <c r="W547" s="20"/>
      <c r="X547" s="10" t="str">
        <f t="shared" si="8"/>
        <v/>
      </c>
      <c r="Y547" s="19"/>
      <c r="Z547" s="20"/>
      <c r="AA547" s="12" t="s">
        <v>2292</v>
      </c>
      <c r="AB547" s="23"/>
    </row>
    <row r="548" spans="1:28" ht="25.5">
      <c r="A548" s="15">
        <v>547</v>
      </c>
      <c r="B548" s="9" t="s">
        <v>45</v>
      </c>
      <c r="C548" s="15"/>
      <c r="D548" s="10" t="s">
        <v>517</v>
      </c>
      <c r="E548" s="11" t="s">
        <v>2293</v>
      </c>
      <c r="F548" s="22" t="s">
        <v>2294</v>
      </c>
      <c r="G548" s="12" t="s">
        <v>64</v>
      </c>
      <c r="H548" s="13">
        <v>-0.745</v>
      </c>
      <c r="I548" s="14"/>
      <c r="J548" s="22"/>
      <c r="K548" s="9"/>
      <c r="L548" s="15" t="s">
        <v>1479</v>
      </c>
      <c r="M548" s="16" t="s">
        <v>74</v>
      </c>
      <c r="N548" s="14"/>
      <c r="O548" s="15" t="s">
        <v>65</v>
      </c>
      <c r="P548" s="22" t="s">
        <v>2201</v>
      </c>
      <c r="Q548" s="15"/>
      <c r="R548" s="17" t="s">
        <v>74</v>
      </c>
      <c r="S548" s="18"/>
      <c r="T548" s="22" t="str">
        <f>IF(R548="維持",J548,IF(R548="排除","無關新聞事件",IFERROR(INDEX(事件規則!$B$2:$B$53,MATCH(S548,事件規則!$A$2:$A$53,0)),"")))</f>
        <v>無關新聞事件</v>
      </c>
      <c r="U548" s="9">
        <f>IF(R548="維持",K548,IF(R548="排除",0,IFERROR(INDEX(事件規則!$C$2:$C$53,MATCH(S548,事件規則!$A$2:$A$53,0)),"")))</f>
        <v>0</v>
      </c>
      <c r="V548" s="19"/>
      <c r="W548" s="20"/>
      <c r="X548" s="10" t="str">
        <f t="shared" si="8"/>
        <v/>
      </c>
      <c r="Y548" s="19"/>
      <c r="Z548" s="20"/>
      <c r="AA548" s="12" t="s">
        <v>2295</v>
      </c>
      <c r="AB548" s="23"/>
    </row>
    <row r="549" spans="1:28" ht="38.25">
      <c r="A549" s="15">
        <v>548</v>
      </c>
      <c r="B549" s="9" t="s">
        <v>45</v>
      </c>
      <c r="C549" s="15"/>
      <c r="D549" s="22"/>
      <c r="E549" s="11" t="s">
        <v>2296</v>
      </c>
      <c r="F549" s="22" t="s">
        <v>2297</v>
      </c>
      <c r="G549" s="12" t="s">
        <v>50</v>
      </c>
      <c r="H549" s="13">
        <v>-0.80200000000000005</v>
      </c>
      <c r="I549" s="14"/>
      <c r="J549" s="22"/>
      <c r="K549" s="9"/>
      <c r="L549" s="15" t="s">
        <v>1479</v>
      </c>
      <c r="M549" s="16" t="s">
        <v>74</v>
      </c>
      <c r="N549" s="14"/>
      <c r="O549" s="15" t="s">
        <v>65</v>
      </c>
      <c r="P549" s="22" t="s">
        <v>2201</v>
      </c>
      <c r="Q549" s="15"/>
      <c r="R549" s="17" t="s">
        <v>74</v>
      </c>
      <c r="S549" s="18"/>
      <c r="T549" s="22" t="str">
        <f>IF(R549="維持",J549,IF(R549="排除","無關新聞事件",IFERROR(INDEX(事件規則!$B$2:$B$53,MATCH(S549,事件規則!$A$2:$A$53,0)),"")))</f>
        <v>無關新聞事件</v>
      </c>
      <c r="U549" s="9">
        <f>IF(R549="維持",K549,IF(R549="排除",0,IFERROR(INDEX(事件規則!$C$2:$C$53,MATCH(S549,事件規則!$A$2:$A$53,0)),"")))</f>
        <v>0</v>
      </c>
      <c r="V549" s="19"/>
      <c r="W549" s="20"/>
      <c r="X549" s="10" t="str">
        <f t="shared" si="8"/>
        <v/>
      </c>
      <c r="Y549" s="19"/>
      <c r="Z549" s="20"/>
      <c r="AA549" s="12" t="s">
        <v>2298</v>
      </c>
      <c r="AB549" s="23"/>
    </row>
    <row r="550" spans="1:28" ht="63.75">
      <c r="A550" s="15">
        <v>549</v>
      </c>
      <c r="B550" s="9" t="s">
        <v>45</v>
      </c>
      <c r="C550" s="9" t="s">
        <v>46</v>
      </c>
      <c r="D550" s="10" t="s">
        <v>47</v>
      </c>
      <c r="E550" s="11" t="s">
        <v>2299</v>
      </c>
      <c r="F550" s="22" t="s">
        <v>2300</v>
      </c>
      <c r="G550" s="23" t="s">
        <v>2301</v>
      </c>
      <c r="H550" s="13"/>
      <c r="I550" s="14"/>
      <c r="J550" s="22"/>
      <c r="K550" s="9"/>
      <c r="L550" s="15" t="s">
        <v>1479</v>
      </c>
      <c r="M550" s="16" t="s">
        <v>74</v>
      </c>
      <c r="N550" s="14"/>
      <c r="O550" s="15" t="s">
        <v>65</v>
      </c>
      <c r="P550" s="22" t="s">
        <v>2201</v>
      </c>
      <c r="Q550" s="15"/>
      <c r="R550" s="17" t="s">
        <v>74</v>
      </c>
      <c r="S550" s="18"/>
      <c r="T550" s="22" t="str">
        <f>IF(R550="維持",J550,IF(R550="排除","無關新聞事件",IFERROR(INDEX(事件規則!$B$2:$B$53,MATCH(S550,事件規則!$A$2:$A$53,0)),"")))</f>
        <v>無關新聞事件</v>
      </c>
      <c r="U550" s="9">
        <f>IF(R550="維持",K550,IF(R550="排除",0,IFERROR(INDEX(事件規則!$C$2:$C$53,MATCH(S550,事件規則!$A$2:$A$53,0)),"")))</f>
        <v>0</v>
      </c>
      <c r="V550" s="19"/>
      <c r="W550" s="20"/>
      <c r="X550" s="10" t="str">
        <f t="shared" si="8"/>
        <v/>
      </c>
      <c r="Y550" s="19"/>
      <c r="Z550" s="20"/>
      <c r="AA550" s="12" t="s">
        <v>2302</v>
      </c>
      <c r="AB550" s="23"/>
    </row>
    <row r="551" spans="1:28" ht="25.5">
      <c r="A551" s="15">
        <v>550</v>
      </c>
      <c r="B551" s="9" t="s">
        <v>45</v>
      </c>
      <c r="C551" s="15"/>
      <c r="D551" s="22"/>
      <c r="E551" s="11" t="s">
        <v>2303</v>
      </c>
      <c r="F551" s="22" t="s">
        <v>2304</v>
      </c>
      <c r="G551" s="23" t="s">
        <v>2305</v>
      </c>
      <c r="H551" s="13">
        <v>1.2E-2</v>
      </c>
      <c r="I551" s="14"/>
      <c r="J551" s="22"/>
      <c r="K551" s="9"/>
      <c r="L551" s="15" t="s">
        <v>1479</v>
      </c>
      <c r="M551" s="16" t="s">
        <v>74</v>
      </c>
      <c r="N551" s="14"/>
      <c r="O551" s="15" t="s">
        <v>65</v>
      </c>
      <c r="P551" s="22" t="s">
        <v>2201</v>
      </c>
      <c r="Q551" s="15"/>
      <c r="R551" s="17" t="s">
        <v>74</v>
      </c>
      <c r="S551" s="18"/>
      <c r="T551" s="22" t="str">
        <f>IF(R551="維持",J551,IF(R551="排除","無關新聞事件",IFERROR(INDEX(事件規則!$B$2:$B$53,MATCH(S551,事件規則!$A$2:$A$53,0)),"")))</f>
        <v>無關新聞事件</v>
      </c>
      <c r="U551" s="9">
        <f>IF(R551="維持",K551,IF(R551="排除",0,IFERROR(INDEX(事件規則!$C$2:$C$53,MATCH(S551,事件規則!$A$2:$A$53,0)),"")))</f>
        <v>0</v>
      </c>
      <c r="V551" s="19"/>
      <c r="W551" s="20"/>
      <c r="X551" s="10" t="str">
        <f t="shared" si="8"/>
        <v/>
      </c>
      <c r="Y551" s="19"/>
      <c r="Z551" s="20"/>
      <c r="AA551" s="12" t="s">
        <v>2306</v>
      </c>
      <c r="AB551" s="23"/>
    </row>
    <row r="552" spans="1:28" ht="25.5">
      <c r="A552" s="15">
        <v>551</v>
      </c>
      <c r="B552" s="9" t="s">
        <v>45</v>
      </c>
      <c r="C552" s="15"/>
      <c r="D552" s="10" t="s">
        <v>517</v>
      </c>
      <c r="E552" s="21" t="s">
        <v>2307</v>
      </c>
      <c r="F552" s="22" t="s">
        <v>2308</v>
      </c>
      <c r="G552" s="12" t="s">
        <v>64</v>
      </c>
      <c r="H552" s="13">
        <v>0.72399999999999998</v>
      </c>
      <c r="I552" s="14"/>
      <c r="J552" s="22"/>
      <c r="K552" s="9"/>
      <c r="L552" s="15" t="s">
        <v>1479</v>
      </c>
      <c r="M552" s="16" t="s">
        <v>74</v>
      </c>
      <c r="N552" s="14"/>
      <c r="O552" s="15" t="s">
        <v>65</v>
      </c>
      <c r="P552" s="22" t="s">
        <v>2201</v>
      </c>
      <c r="Q552" s="15"/>
      <c r="R552" s="17" t="s">
        <v>74</v>
      </c>
      <c r="S552" s="18"/>
      <c r="T552" s="22" t="str">
        <f>IF(R552="維持",J552,IF(R552="排除","無關新聞事件",IFERROR(INDEX(事件規則!$B$2:$B$53,MATCH(S552,事件規則!$A$2:$A$53,0)),"")))</f>
        <v>無關新聞事件</v>
      </c>
      <c r="U552" s="9">
        <f>IF(R552="維持",K552,IF(R552="排除",0,IFERROR(INDEX(事件規則!$C$2:$C$53,MATCH(S552,事件規則!$A$2:$A$53,0)),"")))</f>
        <v>0</v>
      </c>
      <c r="V552" s="19"/>
      <c r="W552" s="20"/>
      <c r="X552" s="10" t="str">
        <f t="shared" si="8"/>
        <v/>
      </c>
      <c r="Y552" s="19"/>
      <c r="Z552" s="20"/>
      <c r="AA552" s="12" t="s">
        <v>2309</v>
      </c>
      <c r="AB552" s="23"/>
    </row>
    <row r="553" spans="1:28" ht="38.25">
      <c r="A553" s="15">
        <v>552</v>
      </c>
      <c r="B553" s="9" t="s">
        <v>45</v>
      </c>
      <c r="C553" s="9" t="s">
        <v>46</v>
      </c>
      <c r="D553" s="10" t="s">
        <v>47</v>
      </c>
      <c r="E553" s="21" t="s">
        <v>2310</v>
      </c>
      <c r="F553" s="22" t="s">
        <v>2311</v>
      </c>
      <c r="G553" s="12" t="s">
        <v>299</v>
      </c>
      <c r="H553" s="13"/>
      <c r="I553" s="14"/>
      <c r="J553" s="22" t="s">
        <v>2312</v>
      </c>
      <c r="K553" s="9"/>
      <c r="L553" s="15" t="s">
        <v>1479</v>
      </c>
      <c r="M553" s="16" t="s">
        <v>130</v>
      </c>
      <c r="N553" s="14" t="s">
        <v>51</v>
      </c>
      <c r="O553" s="15" t="s">
        <v>211</v>
      </c>
      <c r="P553" s="10" t="s">
        <v>2313</v>
      </c>
      <c r="Q553" s="15" t="s">
        <v>213</v>
      </c>
      <c r="R553" s="17" t="s">
        <v>130</v>
      </c>
      <c r="S553" s="18" t="s">
        <v>51</v>
      </c>
      <c r="T553" s="22" t="str">
        <f>IF(R553="維持",J553,IF(R553="排除","無關新聞事件",IFERROR(INDEX(事件規則!$B$2:$B$53,MATCH(S553,事件規則!$A$2:$A$53,0)),"")))</f>
        <v>CDS利差擴大／信用風險升高</v>
      </c>
      <c r="U553" s="9">
        <f>IF(R553="維持",K553,IF(R553="排除",0,IFERROR(INDEX(事件規則!$C$2:$C$53,MATCH(S553,事件規則!$A$2:$A$53,0)),"")))</f>
        <v>3</v>
      </c>
      <c r="V553" s="19"/>
      <c r="W553" s="20"/>
      <c r="X553" s="10" t="str">
        <f t="shared" si="8"/>
        <v/>
      </c>
      <c r="Y553" s="19"/>
      <c r="Z553" s="20"/>
      <c r="AA553" s="12" t="s">
        <v>2314</v>
      </c>
      <c r="AB553" s="23"/>
    </row>
    <row r="554" spans="1:28" ht="25.5">
      <c r="A554" s="15">
        <v>553</v>
      </c>
      <c r="B554" s="9" t="s">
        <v>45</v>
      </c>
      <c r="C554" s="15"/>
      <c r="D554" s="22"/>
      <c r="E554" s="21" t="s">
        <v>2315</v>
      </c>
      <c r="F554" s="22" t="s">
        <v>2316</v>
      </c>
      <c r="G554" s="12" t="s">
        <v>2317</v>
      </c>
      <c r="H554" s="13"/>
      <c r="I554" s="14"/>
      <c r="J554" s="22"/>
      <c r="K554" s="9"/>
      <c r="L554" s="15" t="s">
        <v>1479</v>
      </c>
      <c r="M554" s="16" t="s">
        <v>74</v>
      </c>
      <c r="N554" s="14"/>
      <c r="O554" s="15" t="s">
        <v>65</v>
      </c>
      <c r="P554" s="22" t="s">
        <v>2201</v>
      </c>
      <c r="Q554" s="15"/>
      <c r="R554" s="17" t="s">
        <v>74</v>
      </c>
      <c r="S554" s="18"/>
      <c r="T554" s="22" t="str">
        <f>IF(R554="維持",J554,IF(R554="排除","無關新聞事件",IFERROR(INDEX(事件規則!$B$2:$B$53,MATCH(S554,事件規則!$A$2:$A$53,0)),"")))</f>
        <v>無關新聞事件</v>
      </c>
      <c r="U554" s="9">
        <f>IF(R554="維持",K554,IF(R554="排除",0,IFERROR(INDEX(事件規則!$C$2:$C$53,MATCH(S554,事件規則!$A$2:$A$53,0)),"")))</f>
        <v>0</v>
      </c>
      <c r="V554" s="19"/>
      <c r="W554" s="20"/>
      <c r="X554" s="10" t="str">
        <f t="shared" si="8"/>
        <v/>
      </c>
      <c r="Y554" s="19"/>
      <c r="Z554" s="20"/>
      <c r="AA554" s="12" t="s">
        <v>2318</v>
      </c>
      <c r="AB554" s="23"/>
    </row>
    <row r="555" spans="1:28" ht="38.25">
      <c r="A555" s="15">
        <v>554</v>
      </c>
      <c r="B555" s="9" t="s">
        <v>45</v>
      </c>
      <c r="C555" s="15"/>
      <c r="D555" s="22"/>
      <c r="E555" s="11" t="s">
        <v>2319</v>
      </c>
      <c r="F555" s="22" t="s">
        <v>2320</v>
      </c>
      <c r="G555" s="23" t="s">
        <v>2321</v>
      </c>
      <c r="H555" s="13"/>
      <c r="I555" s="14"/>
      <c r="J555" s="22"/>
      <c r="K555" s="9"/>
      <c r="L555" s="15" t="s">
        <v>1479</v>
      </c>
      <c r="M555" s="16" t="s">
        <v>74</v>
      </c>
      <c r="N555" s="14"/>
      <c r="O555" s="15" t="s">
        <v>65</v>
      </c>
      <c r="P555" s="22" t="s">
        <v>2201</v>
      </c>
      <c r="Q555" s="15"/>
      <c r="R555" s="17" t="s">
        <v>74</v>
      </c>
      <c r="S555" s="18"/>
      <c r="T555" s="22" t="str">
        <f>IF(R555="維持",J555,IF(R555="排除","無關新聞事件",IFERROR(INDEX(事件規則!$B$2:$B$53,MATCH(S555,事件規則!$A$2:$A$53,0)),"")))</f>
        <v>無關新聞事件</v>
      </c>
      <c r="U555" s="9">
        <f>IF(R555="維持",K555,IF(R555="排除",0,IFERROR(INDEX(事件規則!$C$2:$C$53,MATCH(S555,事件規則!$A$2:$A$53,0)),"")))</f>
        <v>0</v>
      </c>
      <c r="V555" s="19"/>
      <c r="W555" s="20"/>
      <c r="X555" s="10" t="str">
        <f t="shared" si="8"/>
        <v/>
      </c>
      <c r="Y555" s="19"/>
      <c r="Z555" s="20"/>
      <c r="AA555" s="12" t="s">
        <v>2322</v>
      </c>
      <c r="AB555" s="23"/>
    </row>
    <row r="556" spans="1:28" ht="25.5">
      <c r="A556" s="15">
        <v>555</v>
      </c>
      <c r="B556" s="9" t="s">
        <v>45</v>
      </c>
      <c r="C556" s="9" t="s">
        <v>46</v>
      </c>
      <c r="D556" s="10" t="s">
        <v>47</v>
      </c>
      <c r="E556" s="21" t="s">
        <v>2323</v>
      </c>
      <c r="F556" s="22" t="s">
        <v>2324</v>
      </c>
      <c r="G556" s="12" t="s">
        <v>1495</v>
      </c>
      <c r="H556" s="13"/>
      <c r="I556" s="14"/>
      <c r="J556" s="22"/>
      <c r="K556" s="9"/>
      <c r="L556" s="15" t="s">
        <v>1479</v>
      </c>
      <c r="M556" s="16" t="s">
        <v>74</v>
      </c>
      <c r="N556" s="14"/>
      <c r="O556" s="15" t="s">
        <v>65</v>
      </c>
      <c r="P556" s="22" t="s">
        <v>2201</v>
      </c>
      <c r="Q556" s="15"/>
      <c r="R556" s="17" t="s">
        <v>74</v>
      </c>
      <c r="S556" s="18"/>
      <c r="T556" s="22" t="str">
        <f>IF(R556="維持",J556,IF(R556="排除","無關新聞事件",IFERROR(INDEX(事件規則!$B$2:$B$53,MATCH(S556,事件規則!$A$2:$A$53,0)),"")))</f>
        <v>無關新聞事件</v>
      </c>
      <c r="U556" s="9">
        <f>IF(R556="維持",K556,IF(R556="排除",0,IFERROR(INDEX(事件規則!$C$2:$C$53,MATCH(S556,事件規則!$A$2:$A$53,0)),"")))</f>
        <v>0</v>
      </c>
      <c r="V556" s="19"/>
      <c r="W556" s="20"/>
      <c r="X556" s="10" t="str">
        <f t="shared" si="8"/>
        <v/>
      </c>
      <c r="Y556" s="19"/>
      <c r="Z556" s="20"/>
      <c r="AA556" s="12" t="s">
        <v>2325</v>
      </c>
      <c r="AB556" s="23"/>
    </row>
    <row r="557" spans="1:28" ht="25.5">
      <c r="A557" s="15">
        <v>556</v>
      </c>
      <c r="B557" s="9" t="s">
        <v>45</v>
      </c>
      <c r="C557" s="9" t="s">
        <v>46</v>
      </c>
      <c r="D557" s="10" t="s">
        <v>47</v>
      </c>
      <c r="E557" s="21" t="s">
        <v>2326</v>
      </c>
      <c r="F557" s="22" t="s">
        <v>2327</v>
      </c>
      <c r="G557" s="12" t="s">
        <v>2328</v>
      </c>
      <c r="H557" s="13"/>
      <c r="I557" s="14"/>
      <c r="J557" s="22"/>
      <c r="K557" s="9"/>
      <c r="L557" s="15" t="s">
        <v>1479</v>
      </c>
      <c r="M557" s="16" t="s">
        <v>130</v>
      </c>
      <c r="N557" s="14" t="s">
        <v>51</v>
      </c>
      <c r="O557" s="15" t="s">
        <v>211</v>
      </c>
      <c r="P557" s="10" t="s">
        <v>2313</v>
      </c>
      <c r="Q557" s="15" t="s">
        <v>213</v>
      </c>
      <c r="R557" s="17" t="s">
        <v>130</v>
      </c>
      <c r="S557" s="18" t="s">
        <v>51</v>
      </c>
      <c r="T557" s="22" t="str">
        <f>IF(R557="維持",J557,IF(R557="排除","無關新聞事件",IFERROR(INDEX(事件規則!$B$2:$B$53,MATCH(S557,事件規則!$A$2:$A$53,0)),"")))</f>
        <v>CDS利差擴大／信用風險升高</v>
      </c>
      <c r="U557" s="9">
        <f>IF(R557="維持",K557,IF(R557="排除",0,IFERROR(INDEX(事件規則!$C$2:$C$53,MATCH(S557,事件規則!$A$2:$A$53,0)),"")))</f>
        <v>3</v>
      </c>
      <c r="V557" s="19"/>
      <c r="W557" s="20"/>
      <c r="X557" s="10" t="str">
        <f t="shared" si="8"/>
        <v/>
      </c>
      <c r="Y557" s="19"/>
      <c r="Z557" s="20"/>
      <c r="AA557" s="12" t="s">
        <v>2329</v>
      </c>
      <c r="AB557" s="23"/>
    </row>
    <row r="558" spans="1:28" ht="51">
      <c r="A558" s="15">
        <v>557</v>
      </c>
      <c r="B558" s="9" t="s">
        <v>45</v>
      </c>
      <c r="C558" s="9" t="s">
        <v>2330</v>
      </c>
      <c r="D558" s="10" t="s">
        <v>2331</v>
      </c>
      <c r="E558" s="21" t="s">
        <v>2332</v>
      </c>
      <c r="F558" s="22" t="s">
        <v>2333</v>
      </c>
      <c r="G558" s="12" t="s">
        <v>1484</v>
      </c>
      <c r="H558" s="13"/>
      <c r="I558" s="14"/>
      <c r="J558" s="22"/>
      <c r="K558" s="9"/>
      <c r="L558" s="15" t="s">
        <v>1479</v>
      </c>
      <c r="M558" s="16" t="s">
        <v>130</v>
      </c>
      <c r="N558" s="14" t="s">
        <v>2219</v>
      </c>
      <c r="O558" s="15" t="s">
        <v>65</v>
      </c>
      <c r="P558" s="22" t="s">
        <v>2220</v>
      </c>
      <c r="Q558" s="15"/>
      <c r="R558" s="17" t="s">
        <v>130</v>
      </c>
      <c r="S558" s="18" t="s">
        <v>2219</v>
      </c>
      <c r="T558" s="22" t="str">
        <f>IF(R558="維持",J558,IF(R558="排除","無關新聞事件",IFERROR(INDEX(事件規則!$B$2:$B$53,MATCH(S558,事件規則!$A$2:$A$53,0)),"")))</f>
        <v>重大訴訟</v>
      </c>
      <c r="U558" s="9">
        <f>IF(R558="維持",K558,IF(R558="排除",0,IFERROR(INDEX(事件規則!$C$2:$C$53,MATCH(S558,事件規則!$A$2:$A$53,0)),"")))</f>
        <v>4</v>
      </c>
      <c r="V558" s="19"/>
      <c r="W558" s="20"/>
      <c r="X558" s="10" t="str">
        <f t="shared" si="8"/>
        <v/>
      </c>
      <c r="Y558" s="19"/>
      <c r="Z558" s="20"/>
      <c r="AA558" s="12" t="s">
        <v>2334</v>
      </c>
      <c r="AB558" s="23"/>
    </row>
    <row r="559" spans="1:28" ht="25.5">
      <c r="A559" s="15">
        <v>558</v>
      </c>
      <c r="B559" s="9" t="s">
        <v>45</v>
      </c>
      <c r="C559" s="9" t="s">
        <v>288</v>
      </c>
      <c r="D559" s="10" t="s">
        <v>517</v>
      </c>
      <c r="E559" s="11" t="s">
        <v>2335</v>
      </c>
      <c r="F559" s="22" t="s">
        <v>2336</v>
      </c>
      <c r="G559" s="12" t="s">
        <v>64</v>
      </c>
      <c r="H559" s="13">
        <v>-0.873</v>
      </c>
      <c r="I559" s="14"/>
      <c r="J559" s="22"/>
      <c r="K559" s="9"/>
      <c r="L559" s="15" t="s">
        <v>1479</v>
      </c>
      <c r="M559" s="16" t="s">
        <v>74</v>
      </c>
      <c r="N559" s="14"/>
      <c r="O559" s="15" t="s">
        <v>65</v>
      </c>
      <c r="P559" s="22" t="s">
        <v>2201</v>
      </c>
      <c r="Q559" s="15"/>
      <c r="R559" s="17" t="s">
        <v>74</v>
      </c>
      <c r="S559" s="18"/>
      <c r="T559" s="22" t="str">
        <f>IF(R559="維持",J559,IF(R559="排除","無關新聞事件",IFERROR(INDEX(事件規則!$B$2:$B$53,MATCH(S559,事件規則!$A$2:$A$53,0)),"")))</f>
        <v>無關新聞事件</v>
      </c>
      <c r="U559" s="9">
        <f>IF(R559="維持",K559,IF(R559="排除",0,IFERROR(INDEX(事件規則!$C$2:$C$53,MATCH(S559,事件規則!$A$2:$A$53,0)),"")))</f>
        <v>0</v>
      </c>
      <c r="V559" s="19"/>
      <c r="W559" s="20"/>
      <c r="X559" s="10" t="str">
        <f t="shared" si="8"/>
        <v/>
      </c>
      <c r="Y559" s="19"/>
      <c r="Z559" s="20"/>
      <c r="AA559" s="12" t="s">
        <v>2337</v>
      </c>
      <c r="AB559" s="23"/>
    </row>
    <row r="560" spans="1:28" ht="38.25">
      <c r="A560" s="15">
        <v>559</v>
      </c>
      <c r="B560" s="9" t="s">
        <v>45</v>
      </c>
      <c r="C560" s="15"/>
      <c r="D560" s="22"/>
      <c r="E560" s="11" t="s">
        <v>2338</v>
      </c>
      <c r="F560" s="22" t="s">
        <v>2339</v>
      </c>
      <c r="G560" s="23" t="s">
        <v>2340</v>
      </c>
      <c r="H560" s="13"/>
      <c r="I560" s="14"/>
      <c r="J560" s="22"/>
      <c r="K560" s="9"/>
      <c r="L560" s="15" t="s">
        <v>1479</v>
      </c>
      <c r="M560" s="16" t="s">
        <v>74</v>
      </c>
      <c r="N560" s="14"/>
      <c r="O560" s="15" t="s">
        <v>65</v>
      </c>
      <c r="P560" s="22" t="s">
        <v>2201</v>
      </c>
      <c r="Q560" s="15"/>
      <c r="R560" s="17" t="s">
        <v>74</v>
      </c>
      <c r="S560" s="18"/>
      <c r="T560" s="22" t="str">
        <f>IF(R560="維持",J560,IF(R560="排除","無關新聞事件",IFERROR(INDEX(事件規則!$B$2:$B$53,MATCH(S560,事件規則!$A$2:$A$53,0)),"")))</f>
        <v>無關新聞事件</v>
      </c>
      <c r="U560" s="9">
        <f>IF(R560="維持",K560,IF(R560="排除",0,IFERROR(INDEX(事件規則!$C$2:$C$53,MATCH(S560,事件規則!$A$2:$A$53,0)),"")))</f>
        <v>0</v>
      </c>
      <c r="V560" s="19"/>
      <c r="W560" s="20"/>
      <c r="X560" s="10" t="str">
        <f t="shared" si="8"/>
        <v/>
      </c>
      <c r="Y560" s="19"/>
      <c r="Z560" s="20"/>
      <c r="AA560" s="12" t="s">
        <v>2341</v>
      </c>
      <c r="AB560" s="23"/>
    </row>
    <row r="561" spans="1:28" ht="51">
      <c r="A561" s="15">
        <v>560</v>
      </c>
      <c r="B561" s="9" t="s">
        <v>45</v>
      </c>
      <c r="C561" s="9" t="s">
        <v>2342</v>
      </c>
      <c r="D561" s="10" t="s">
        <v>2343</v>
      </c>
      <c r="E561" s="11" t="s">
        <v>2344</v>
      </c>
      <c r="F561" s="22" t="s">
        <v>2345</v>
      </c>
      <c r="G561" s="23" t="s">
        <v>110</v>
      </c>
      <c r="H561" s="13">
        <v>-0.94499999999999995</v>
      </c>
      <c r="I561" s="14"/>
      <c r="J561" s="22"/>
      <c r="K561" s="9"/>
      <c r="L561" s="15" t="s">
        <v>1479</v>
      </c>
      <c r="M561" s="16" t="s">
        <v>74</v>
      </c>
      <c r="N561" s="14"/>
      <c r="O561" s="15" t="s">
        <v>65</v>
      </c>
      <c r="P561" s="22" t="s">
        <v>2201</v>
      </c>
      <c r="Q561" s="15"/>
      <c r="R561" s="17" t="s">
        <v>74</v>
      </c>
      <c r="S561" s="18"/>
      <c r="T561" s="22" t="str">
        <f>IF(R561="維持",J561,IF(R561="排除","無關新聞事件",IFERROR(INDEX(事件規則!$B$2:$B$53,MATCH(S561,事件規則!$A$2:$A$53,0)),"")))</f>
        <v>無關新聞事件</v>
      </c>
      <c r="U561" s="9">
        <f>IF(R561="維持",K561,IF(R561="排除",0,IFERROR(INDEX(事件規則!$C$2:$C$53,MATCH(S561,事件規則!$A$2:$A$53,0)),"")))</f>
        <v>0</v>
      </c>
      <c r="V561" s="19"/>
      <c r="W561" s="20"/>
      <c r="X561" s="10" t="str">
        <f t="shared" si="8"/>
        <v/>
      </c>
      <c r="Y561" s="19"/>
      <c r="Z561" s="20"/>
      <c r="AA561" s="12" t="s">
        <v>2346</v>
      </c>
      <c r="AB561" s="23"/>
    </row>
    <row r="562" spans="1:28" ht="38.25">
      <c r="A562" s="15">
        <v>561</v>
      </c>
      <c r="B562" s="9" t="s">
        <v>45</v>
      </c>
      <c r="C562" s="9" t="s">
        <v>2342</v>
      </c>
      <c r="D562" s="10" t="s">
        <v>2343</v>
      </c>
      <c r="E562" s="11" t="s">
        <v>2347</v>
      </c>
      <c r="F562" s="22" t="s">
        <v>2348</v>
      </c>
      <c r="G562" s="23" t="s">
        <v>110</v>
      </c>
      <c r="H562" s="13">
        <v>-0.93899999999999995</v>
      </c>
      <c r="I562" s="14"/>
      <c r="J562" s="22"/>
      <c r="K562" s="9"/>
      <c r="L562" s="15" t="s">
        <v>1479</v>
      </c>
      <c r="M562" s="16" t="s">
        <v>74</v>
      </c>
      <c r="N562" s="14"/>
      <c r="O562" s="15" t="s">
        <v>65</v>
      </c>
      <c r="P562" s="22" t="s">
        <v>2201</v>
      </c>
      <c r="Q562" s="15"/>
      <c r="R562" s="17" t="s">
        <v>74</v>
      </c>
      <c r="S562" s="18"/>
      <c r="T562" s="22" t="str">
        <f>IF(R562="維持",J562,IF(R562="排除","無關新聞事件",IFERROR(INDEX(事件規則!$B$2:$B$53,MATCH(S562,事件規則!$A$2:$A$53,0)),"")))</f>
        <v>無關新聞事件</v>
      </c>
      <c r="U562" s="9">
        <f>IF(R562="維持",K562,IF(R562="排除",0,IFERROR(INDEX(事件規則!$C$2:$C$53,MATCH(S562,事件規則!$A$2:$A$53,0)),"")))</f>
        <v>0</v>
      </c>
      <c r="V562" s="19"/>
      <c r="W562" s="20"/>
      <c r="X562" s="10" t="str">
        <f t="shared" si="8"/>
        <v/>
      </c>
      <c r="Y562" s="19"/>
      <c r="Z562" s="20"/>
      <c r="AA562" s="12" t="s">
        <v>2349</v>
      </c>
      <c r="AB562" s="23"/>
    </row>
    <row r="563" spans="1:28" ht="38.25">
      <c r="A563" s="15">
        <v>562</v>
      </c>
      <c r="B563" s="9" t="s">
        <v>45</v>
      </c>
      <c r="C563" s="9" t="s">
        <v>2342</v>
      </c>
      <c r="D563" s="10" t="s">
        <v>2343</v>
      </c>
      <c r="E563" s="11" t="s">
        <v>2350</v>
      </c>
      <c r="F563" s="22" t="s">
        <v>2351</v>
      </c>
      <c r="G563" s="23" t="s">
        <v>110</v>
      </c>
      <c r="H563" s="13">
        <v>-0.93400000000000005</v>
      </c>
      <c r="I563" s="14"/>
      <c r="J563" s="22"/>
      <c r="K563" s="9"/>
      <c r="L563" s="15" t="s">
        <v>1479</v>
      </c>
      <c r="M563" s="16" t="s">
        <v>74</v>
      </c>
      <c r="N563" s="14"/>
      <c r="O563" s="15" t="s">
        <v>65</v>
      </c>
      <c r="P563" s="22" t="s">
        <v>2201</v>
      </c>
      <c r="Q563" s="15"/>
      <c r="R563" s="17" t="s">
        <v>74</v>
      </c>
      <c r="S563" s="18"/>
      <c r="T563" s="22" t="str">
        <f>IF(R563="維持",J563,IF(R563="排除","無關新聞事件",IFERROR(INDEX(事件規則!$B$2:$B$53,MATCH(S563,事件規則!$A$2:$A$53,0)),"")))</f>
        <v>無關新聞事件</v>
      </c>
      <c r="U563" s="9">
        <f>IF(R563="維持",K563,IF(R563="排除",0,IFERROR(INDEX(事件規則!$C$2:$C$53,MATCH(S563,事件規則!$A$2:$A$53,0)),"")))</f>
        <v>0</v>
      </c>
      <c r="V563" s="19"/>
      <c r="W563" s="20"/>
      <c r="X563" s="10" t="str">
        <f t="shared" si="8"/>
        <v/>
      </c>
      <c r="Y563" s="19"/>
      <c r="Z563" s="20"/>
      <c r="AA563" s="12" t="s">
        <v>2352</v>
      </c>
      <c r="AB563" s="23"/>
    </row>
    <row r="564" spans="1:28" ht="38.25">
      <c r="A564" s="15">
        <v>563</v>
      </c>
      <c r="B564" s="9" t="s">
        <v>45</v>
      </c>
      <c r="C564" s="9" t="s">
        <v>2342</v>
      </c>
      <c r="D564" s="10" t="s">
        <v>2343</v>
      </c>
      <c r="E564" s="11" t="s">
        <v>2353</v>
      </c>
      <c r="F564" s="22" t="s">
        <v>2354</v>
      </c>
      <c r="G564" s="23" t="s">
        <v>110</v>
      </c>
      <c r="H564" s="13">
        <v>-0.92900000000000005</v>
      </c>
      <c r="I564" s="14"/>
      <c r="J564" s="22"/>
      <c r="K564" s="9"/>
      <c r="L564" s="15" t="s">
        <v>1479</v>
      </c>
      <c r="M564" s="16" t="s">
        <v>74</v>
      </c>
      <c r="N564" s="14"/>
      <c r="O564" s="15" t="s">
        <v>65</v>
      </c>
      <c r="P564" s="22" t="s">
        <v>2201</v>
      </c>
      <c r="Q564" s="15"/>
      <c r="R564" s="17" t="s">
        <v>74</v>
      </c>
      <c r="S564" s="18"/>
      <c r="T564" s="22" t="str">
        <f>IF(R564="維持",J564,IF(R564="排除","無關新聞事件",IFERROR(INDEX(事件規則!$B$2:$B$53,MATCH(S564,事件規則!$A$2:$A$53,0)),"")))</f>
        <v>無關新聞事件</v>
      </c>
      <c r="U564" s="9">
        <f>IF(R564="維持",K564,IF(R564="排除",0,IFERROR(INDEX(事件規則!$C$2:$C$53,MATCH(S564,事件規則!$A$2:$A$53,0)),"")))</f>
        <v>0</v>
      </c>
      <c r="V564" s="19"/>
      <c r="W564" s="20"/>
      <c r="X564" s="10" t="str">
        <f t="shared" si="8"/>
        <v/>
      </c>
      <c r="Y564" s="19"/>
      <c r="Z564" s="20"/>
      <c r="AA564" s="12" t="s">
        <v>2355</v>
      </c>
      <c r="AB564" s="23"/>
    </row>
    <row r="565" spans="1:28" ht="38.25">
      <c r="A565" s="15">
        <v>564</v>
      </c>
      <c r="B565" s="9" t="s">
        <v>45</v>
      </c>
      <c r="C565" s="9" t="s">
        <v>2342</v>
      </c>
      <c r="D565" s="10" t="s">
        <v>2343</v>
      </c>
      <c r="E565" s="11" t="s">
        <v>2356</v>
      </c>
      <c r="F565" s="22" t="s">
        <v>2357</v>
      </c>
      <c r="G565" s="23" t="s">
        <v>110</v>
      </c>
      <c r="H565" s="13">
        <v>-0.92</v>
      </c>
      <c r="I565" s="14"/>
      <c r="J565" s="22"/>
      <c r="K565" s="9"/>
      <c r="L565" s="15" t="s">
        <v>1479</v>
      </c>
      <c r="M565" s="16" t="s">
        <v>74</v>
      </c>
      <c r="N565" s="14"/>
      <c r="O565" s="15" t="s">
        <v>65</v>
      </c>
      <c r="P565" s="22" t="s">
        <v>2201</v>
      </c>
      <c r="Q565" s="15"/>
      <c r="R565" s="17" t="s">
        <v>74</v>
      </c>
      <c r="S565" s="18"/>
      <c r="T565" s="22" t="str">
        <f>IF(R565="維持",J565,IF(R565="排除","無關新聞事件",IFERROR(INDEX(事件規則!$B$2:$B$53,MATCH(S565,事件規則!$A$2:$A$53,0)),"")))</f>
        <v>無關新聞事件</v>
      </c>
      <c r="U565" s="9">
        <f>IF(R565="維持",K565,IF(R565="排除",0,IFERROR(INDEX(事件規則!$C$2:$C$53,MATCH(S565,事件規則!$A$2:$A$53,0)),"")))</f>
        <v>0</v>
      </c>
      <c r="V565" s="19"/>
      <c r="W565" s="20"/>
      <c r="X565" s="10" t="str">
        <f t="shared" si="8"/>
        <v/>
      </c>
      <c r="Y565" s="19"/>
      <c r="Z565" s="20"/>
      <c r="AA565" s="12" t="s">
        <v>2358</v>
      </c>
      <c r="AB565" s="23"/>
    </row>
    <row r="566" spans="1:28" ht="38.25">
      <c r="A566" s="15">
        <v>565</v>
      </c>
      <c r="B566" s="9" t="s">
        <v>45</v>
      </c>
      <c r="C566" s="9" t="s">
        <v>2342</v>
      </c>
      <c r="D566" s="10" t="s">
        <v>2343</v>
      </c>
      <c r="E566" s="11" t="s">
        <v>2359</v>
      </c>
      <c r="F566" s="22" t="s">
        <v>2360</v>
      </c>
      <c r="G566" s="23" t="s">
        <v>110</v>
      </c>
      <c r="H566" s="13">
        <v>-0.91500000000000004</v>
      </c>
      <c r="I566" s="14"/>
      <c r="J566" s="22"/>
      <c r="K566" s="9"/>
      <c r="L566" s="15" t="s">
        <v>1479</v>
      </c>
      <c r="M566" s="16" t="s">
        <v>74</v>
      </c>
      <c r="N566" s="14"/>
      <c r="O566" s="15" t="s">
        <v>65</v>
      </c>
      <c r="P566" s="22" t="s">
        <v>2201</v>
      </c>
      <c r="Q566" s="15"/>
      <c r="R566" s="17" t="s">
        <v>74</v>
      </c>
      <c r="S566" s="18"/>
      <c r="T566" s="22" t="str">
        <f>IF(R566="維持",J566,IF(R566="排除","無關新聞事件",IFERROR(INDEX(事件規則!$B$2:$B$53,MATCH(S566,事件規則!$A$2:$A$53,0)),"")))</f>
        <v>無關新聞事件</v>
      </c>
      <c r="U566" s="9">
        <f>IF(R566="維持",K566,IF(R566="排除",0,IFERROR(INDEX(事件規則!$C$2:$C$53,MATCH(S566,事件規則!$A$2:$A$53,0)),"")))</f>
        <v>0</v>
      </c>
      <c r="V566" s="19"/>
      <c r="W566" s="20"/>
      <c r="X566" s="10" t="str">
        <f t="shared" si="8"/>
        <v/>
      </c>
      <c r="Y566" s="19"/>
      <c r="Z566" s="20"/>
      <c r="AA566" s="12" t="s">
        <v>2361</v>
      </c>
      <c r="AB566" s="23"/>
    </row>
    <row r="567" spans="1:28" ht="38.25">
      <c r="A567" s="15">
        <v>566</v>
      </c>
      <c r="B567" s="9" t="s">
        <v>45</v>
      </c>
      <c r="C567" s="9" t="s">
        <v>2342</v>
      </c>
      <c r="D567" s="10" t="s">
        <v>2343</v>
      </c>
      <c r="E567" s="11" t="s">
        <v>2362</v>
      </c>
      <c r="F567" s="22" t="s">
        <v>2363</v>
      </c>
      <c r="G567" s="23" t="s">
        <v>110</v>
      </c>
      <c r="H567" s="13">
        <v>-0.91400000000000003</v>
      </c>
      <c r="I567" s="14"/>
      <c r="J567" s="22"/>
      <c r="K567" s="9"/>
      <c r="L567" s="15" t="s">
        <v>1479</v>
      </c>
      <c r="M567" s="16" t="s">
        <v>74</v>
      </c>
      <c r="N567" s="14"/>
      <c r="O567" s="15" t="s">
        <v>65</v>
      </c>
      <c r="P567" s="22" t="s">
        <v>2201</v>
      </c>
      <c r="Q567" s="15"/>
      <c r="R567" s="17" t="s">
        <v>74</v>
      </c>
      <c r="S567" s="18"/>
      <c r="T567" s="22" t="str">
        <f>IF(R567="維持",J567,IF(R567="排除","無關新聞事件",IFERROR(INDEX(事件規則!$B$2:$B$53,MATCH(S567,事件規則!$A$2:$A$53,0)),"")))</f>
        <v>無關新聞事件</v>
      </c>
      <c r="U567" s="9">
        <f>IF(R567="維持",K567,IF(R567="排除",0,IFERROR(INDEX(事件規則!$C$2:$C$53,MATCH(S567,事件規則!$A$2:$A$53,0)),"")))</f>
        <v>0</v>
      </c>
      <c r="V567" s="19"/>
      <c r="W567" s="20"/>
      <c r="X567" s="10" t="str">
        <f t="shared" si="8"/>
        <v/>
      </c>
      <c r="Y567" s="19"/>
      <c r="Z567" s="20"/>
      <c r="AA567" s="12" t="s">
        <v>2364</v>
      </c>
      <c r="AB567" s="23"/>
    </row>
    <row r="568" spans="1:28" ht="38.25">
      <c r="A568" s="15">
        <v>567</v>
      </c>
      <c r="B568" s="9" t="s">
        <v>45</v>
      </c>
      <c r="C568" s="9" t="s">
        <v>2342</v>
      </c>
      <c r="D568" s="10" t="s">
        <v>2343</v>
      </c>
      <c r="E568" s="11" t="s">
        <v>2365</v>
      </c>
      <c r="F568" s="22" t="s">
        <v>2366</v>
      </c>
      <c r="G568" s="23" t="s">
        <v>110</v>
      </c>
      <c r="H568" s="13">
        <v>-0.91200000000000003</v>
      </c>
      <c r="I568" s="14"/>
      <c r="J568" s="22"/>
      <c r="K568" s="9"/>
      <c r="L568" s="15" t="s">
        <v>1479</v>
      </c>
      <c r="M568" s="16" t="s">
        <v>74</v>
      </c>
      <c r="N568" s="14"/>
      <c r="O568" s="15" t="s">
        <v>65</v>
      </c>
      <c r="P568" s="22" t="s">
        <v>2201</v>
      </c>
      <c r="Q568" s="15"/>
      <c r="R568" s="17" t="s">
        <v>74</v>
      </c>
      <c r="S568" s="18"/>
      <c r="T568" s="22" t="str">
        <f>IF(R568="維持",J568,IF(R568="排除","無關新聞事件",IFERROR(INDEX(事件規則!$B$2:$B$53,MATCH(S568,事件規則!$A$2:$A$53,0)),"")))</f>
        <v>無關新聞事件</v>
      </c>
      <c r="U568" s="9">
        <f>IF(R568="維持",K568,IF(R568="排除",0,IFERROR(INDEX(事件規則!$C$2:$C$53,MATCH(S568,事件規則!$A$2:$A$53,0)),"")))</f>
        <v>0</v>
      </c>
      <c r="V568" s="19"/>
      <c r="W568" s="20"/>
      <c r="X568" s="10" t="str">
        <f t="shared" si="8"/>
        <v/>
      </c>
      <c r="Y568" s="19"/>
      <c r="Z568" s="20"/>
      <c r="AA568" s="12" t="s">
        <v>2367</v>
      </c>
      <c r="AB568" s="23"/>
    </row>
    <row r="569" spans="1:28" ht="38.25">
      <c r="A569" s="15">
        <v>568</v>
      </c>
      <c r="B569" s="9" t="s">
        <v>45</v>
      </c>
      <c r="C569" s="9" t="s">
        <v>2342</v>
      </c>
      <c r="D569" s="10" t="s">
        <v>2343</v>
      </c>
      <c r="E569" s="11" t="s">
        <v>2368</v>
      </c>
      <c r="F569" s="22" t="s">
        <v>2369</v>
      </c>
      <c r="G569" s="23" t="s">
        <v>110</v>
      </c>
      <c r="H569" s="13">
        <v>-0.90800000000000003</v>
      </c>
      <c r="I569" s="14"/>
      <c r="J569" s="22"/>
      <c r="K569" s="9"/>
      <c r="L569" s="15" t="s">
        <v>1479</v>
      </c>
      <c r="M569" s="16" t="s">
        <v>74</v>
      </c>
      <c r="N569" s="14"/>
      <c r="O569" s="15" t="s">
        <v>65</v>
      </c>
      <c r="P569" s="22" t="s">
        <v>2201</v>
      </c>
      <c r="Q569" s="15"/>
      <c r="R569" s="17" t="s">
        <v>74</v>
      </c>
      <c r="S569" s="18"/>
      <c r="T569" s="22" t="str">
        <f>IF(R569="維持",J569,IF(R569="排除","無關新聞事件",IFERROR(INDEX(事件規則!$B$2:$B$53,MATCH(S569,事件規則!$A$2:$A$53,0)),"")))</f>
        <v>無關新聞事件</v>
      </c>
      <c r="U569" s="9">
        <f>IF(R569="維持",K569,IF(R569="排除",0,IFERROR(INDEX(事件規則!$C$2:$C$53,MATCH(S569,事件規則!$A$2:$A$53,0)),"")))</f>
        <v>0</v>
      </c>
      <c r="V569" s="19"/>
      <c r="W569" s="20"/>
      <c r="X569" s="10" t="str">
        <f t="shared" si="8"/>
        <v/>
      </c>
      <c r="Y569" s="19"/>
      <c r="Z569" s="20"/>
      <c r="AA569" s="12" t="s">
        <v>2370</v>
      </c>
      <c r="AB569" s="23"/>
    </row>
    <row r="570" spans="1:28" ht="38.25">
      <c r="A570" s="15">
        <v>569</v>
      </c>
      <c r="B570" s="9" t="s">
        <v>45</v>
      </c>
      <c r="C570" s="9" t="s">
        <v>2342</v>
      </c>
      <c r="D570" s="10" t="s">
        <v>2343</v>
      </c>
      <c r="E570" s="11" t="s">
        <v>2371</v>
      </c>
      <c r="F570" s="22" t="s">
        <v>2372</v>
      </c>
      <c r="G570" s="23" t="s">
        <v>110</v>
      </c>
      <c r="H570" s="13">
        <v>-0.90300000000000002</v>
      </c>
      <c r="I570" s="14"/>
      <c r="J570" s="22"/>
      <c r="K570" s="9"/>
      <c r="L570" s="15" t="s">
        <v>1479</v>
      </c>
      <c r="M570" s="16" t="s">
        <v>74</v>
      </c>
      <c r="N570" s="14"/>
      <c r="O570" s="15" t="s">
        <v>65</v>
      </c>
      <c r="P570" s="22" t="s">
        <v>2201</v>
      </c>
      <c r="Q570" s="15"/>
      <c r="R570" s="17" t="s">
        <v>74</v>
      </c>
      <c r="S570" s="18"/>
      <c r="T570" s="22" t="str">
        <f>IF(R570="維持",J570,IF(R570="排除","無關新聞事件",IFERROR(INDEX(事件規則!$B$2:$B$53,MATCH(S570,事件規則!$A$2:$A$53,0)),"")))</f>
        <v>無關新聞事件</v>
      </c>
      <c r="U570" s="9">
        <f>IF(R570="維持",K570,IF(R570="排除",0,IFERROR(INDEX(事件規則!$C$2:$C$53,MATCH(S570,事件規則!$A$2:$A$53,0)),"")))</f>
        <v>0</v>
      </c>
      <c r="V570" s="19"/>
      <c r="W570" s="20"/>
      <c r="X570" s="10" t="str">
        <f t="shared" si="8"/>
        <v/>
      </c>
      <c r="Y570" s="19"/>
      <c r="Z570" s="20"/>
      <c r="AA570" s="12" t="s">
        <v>2373</v>
      </c>
      <c r="AB570" s="23"/>
    </row>
    <row r="571" spans="1:28" ht="38.25">
      <c r="A571" s="15">
        <v>570</v>
      </c>
      <c r="B571" s="9" t="s">
        <v>45</v>
      </c>
      <c r="C571" s="9" t="s">
        <v>2342</v>
      </c>
      <c r="D571" s="10" t="s">
        <v>2343</v>
      </c>
      <c r="E571" s="11" t="s">
        <v>2374</v>
      </c>
      <c r="F571" s="22" t="s">
        <v>2375</v>
      </c>
      <c r="G571" s="23" t="s">
        <v>110</v>
      </c>
      <c r="H571" s="13">
        <v>-0.90200000000000002</v>
      </c>
      <c r="I571" s="14"/>
      <c r="J571" s="22"/>
      <c r="K571" s="9"/>
      <c r="L571" s="15" t="s">
        <v>1479</v>
      </c>
      <c r="M571" s="16" t="s">
        <v>74</v>
      </c>
      <c r="N571" s="14"/>
      <c r="O571" s="15" t="s">
        <v>65</v>
      </c>
      <c r="P571" s="22" t="s">
        <v>2201</v>
      </c>
      <c r="Q571" s="15"/>
      <c r="R571" s="17" t="s">
        <v>74</v>
      </c>
      <c r="S571" s="18"/>
      <c r="T571" s="22" t="str">
        <f>IF(R571="維持",J571,IF(R571="排除","無關新聞事件",IFERROR(INDEX(事件規則!$B$2:$B$53,MATCH(S571,事件規則!$A$2:$A$53,0)),"")))</f>
        <v>無關新聞事件</v>
      </c>
      <c r="U571" s="9">
        <f>IF(R571="維持",K571,IF(R571="排除",0,IFERROR(INDEX(事件規則!$C$2:$C$53,MATCH(S571,事件規則!$A$2:$A$53,0)),"")))</f>
        <v>0</v>
      </c>
      <c r="V571" s="19"/>
      <c r="W571" s="20"/>
      <c r="X571" s="10" t="str">
        <f t="shared" si="8"/>
        <v/>
      </c>
      <c r="Y571" s="19"/>
      <c r="Z571" s="20"/>
      <c r="AA571" s="12" t="s">
        <v>2376</v>
      </c>
      <c r="AB571" s="23"/>
    </row>
    <row r="572" spans="1:28" ht="38.25">
      <c r="A572" s="15">
        <v>571</v>
      </c>
      <c r="B572" s="9" t="s">
        <v>45</v>
      </c>
      <c r="C572" s="9" t="s">
        <v>2342</v>
      </c>
      <c r="D572" s="10" t="s">
        <v>2343</v>
      </c>
      <c r="E572" s="11" t="s">
        <v>2377</v>
      </c>
      <c r="F572" s="22" t="s">
        <v>2378</v>
      </c>
      <c r="G572" s="23" t="s">
        <v>110</v>
      </c>
      <c r="H572" s="13">
        <v>-0.9</v>
      </c>
      <c r="I572" s="14"/>
      <c r="J572" s="22"/>
      <c r="K572" s="9"/>
      <c r="L572" s="15" t="s">
        <v>1479</v>
      </c>
      <c r="M572" s="16" t="s">
        <v>74</v>
      </c>
      <c r="N572" s="14"/>
      <c r="O572" s="15" t="s">
        <v>65</v>
      </c>
      <c r="P572" s="22" t="s">
        <v>2201</v>
      </c>
      <c r="Q572" s="15"/>
      <c r="R572" s="17" t="s">
        <v>74</v>
      </c>
      <c r="S572" s="18"/>
      <c r="T572" s="22" t="str">
        <f>IF(R572="維持",J572,IF(R572="排除","無關新聞事件",IFERROR(INDEX(事件規則!$B$2:$B$53,MATCH(S572,事件規則!$A$2:$A$53,0)),"")))</f>
        <v>無關新聞事件</v>
      </c>
      <c r="U572" s="9">
        <f>IF(R572="維持",K572,IF(R572="排除",0,IFERROR(INDEX(事件規則!$C$2:$C$53,MATCH(S572,事件規則!$A$2:$A$53,0)),"")))</f>
        <v>0</v>
      </c>
      <c r="V572" s="19"/>
      <c r="W572" s="20"/>
      <c r="X572" s="10" t="str">
        <f t="shared" si="8"/>
        <v/>
      </c>
      <c r="Y572" s="19"/>
      <c r="Z572" s="20"/>
      <c r="AA572" s="12" t="s">
        <v>2379</v>
      </c>
      <c r="AB572" s="23"/>
    </row>
    <row r="573" spans="1:28" ht="38.25">
      <c r="A573" s="15">
        <v>572</v>
      </c>
      <c r="B573" s="9" t="s">
        <v>45</v>
      </c>
      <c r="C573" s="9" t="s">
        <v>2342</v>
      </c>
      <c r="D573" s="10" t="s">
        <v>2343</v>
      </c>
      <c r="E573" s="11" t="s">
        <v>2380</v>
      </c>
      <c r="F573" s="22" t="s">
        <v>2381</v>
      </c>
      <c r="G573" s="23" t="s">
        <v>110</v>
      </c>
      <c r="H573" s="13">
        <v>-0.89100000000000001</v>
      </c>
      <c r="I573" s="14"/>
      <c r="J573" s="22"/>
      <c r="K573" s="9"/>
      <c r="L573" s="15" t="s">
        <v>1479</v>
      </c>
      <c r="M573" s="16" t="s">
        <v>74</v>
      </c>
      <c r="N573" s="14"/>
      <c r="O573" s="15" t="s">
        <v>65</v>
      </c>
      <c r="P573" s="22" t="s">
        <v>2201</v>
      </c>
      <c r="Q573" s="15"/>
      <c r="R573" s="17" t="s">
        <v>74</v>
      </c>
      <c r="S573" s="18"/>
      <c r="T573" s="22" t="str">
        <f>IF(R573="維持",J573,IF(R573="排除","無關新聞事件",IFERROR(INDEX(事件規則!$B$2:$B$53,MATCH(S573,事件規則!$A$2:$A$53,0)),"")))</f>
        <v>無關新聞事件</v>
      </c>
      <c r="U573" s="9">
        <f>IF(R573="維持",K573,IF(R573="排除",0,IFERROR(INDEX(事件規則!$C$2:$C$53,MATCH(S573,事件規則!$A$2:$A$53,0)),"")))</f>
        <v>0</v>
      </c>
      <c r="V573" s="19"/>
      <c r="W573" s="20"/>
      <c r="X573" s="10" t="str">
        <f t="shared" si="8"/>
        <v/>
      </c>
      <c r="Y573" s="19"/>
      <c r="Z573" s="20"/>
      <c r="AA573" s="12" t="s">
        <v>2382</v>
      </c>
      <c r="AB573" s="23"/>
    </row>
    <row r="574" spans="1:28" ht="38.25">
      <c r="A574" s="15">
        <v>573</v>
      </c>
      <c r="B574" s="9" t="s">
        <v>45</v>
      </c>
      <c r="C574" s="9" t="s">
        <v>2342</v>
      </c>
      <c r="D574" s="10" t="s">
        <v>2343</v>
      </c>
      <c r="E574" s="11" t="s">
        <v>2383</v>
      </c>
      <c r="F574" s="22" t="s">
        <v>2384</v>
      </c>
      <c r="G574" s="23" t="s">
        <v>110</v>
      </c>
      <c r="H574" s="13">
        <v>-0.89</v>
      </c>
      <c r="I574" s="14"/>
      <c r="J574" s="22"/>
      <c r="K574" s="9"/>
      <c r="L574" s="15" t="s">
        <v>1479</v>
      </c>
      <c r="M574" s="16" t="s">
        <v>74</v>
      </c>
      <c r="N574" s="14"/>
      <c r="O574" s="15" t="s">
        <v>65</v>
      </c>
      <c r="P574" s="22" t="s">
        <v>2201</v>
      </c>
      <c r="Q574" s="15"/>
      <c r="R574" s="17" t="s">
        <v>74</v>
      </c>
      <c r="S574" s="18"/>
      <c r="T574" s="22" t="str">
        <f>IF(R574="維持",J574,IF(R574="排除","無關新聞事件",IFERROR(INDEX(事件規則!$B$2:$B$53,MATCH(S574,事件規則!$A$2:$A$53,0)),"")))</f>
        <v>無關新聞事件</v>
      </c>
      <c r="U574" s="9">
        <f>IF(R574="維持",K574,IF(R574="排除",0,IFERROR(INDEX(事件規則!$C$2:$C$53,MATCH(S574,事件規則!$A$2:$A$53,0)),"")))</f>
        <v>0</v>
      </c>
      <c r="V574" s="19"/>
      <c r="W574" s="20"/>
      <c r="X574" s="10" t="str">
        <f t="shared" si="8"/>
        <v/>
      </c>
      <c r="Y574" s="19"/>
      <c r="Z574" s="20"/>
      <c r="AA574" s="12" t="s">
        <v>2385</v>
      </c>
      <c r="AB574" s="23"/>
    </row>
    <row r="575" spans="1:28" ht="38.25">
      <c r="A575" s="15">
        <v>574</v>
      </c>
      <c r="B575" s="9" t="s">
        <v>45</v>
      </c>
      <c r="C575" s="9" t="s">
        <v>2342</v>
      </c>
      <c r="D575" s="10" t="s">
        <v>2343</v>
      </c>
      <c r="E575" s="11" t="s">
        <v>2386</v>
      </c>
      <c r="F575" s="22" t="s">
        <v>2387</v>
      </c>
      <c r="G575" s="23" t="s">
        <v>110</v>
      </c>
      <c r="H575" s="13">
        <v>-0.89</v>
      </c>
      <c r="I575" s="14"/>
      <c r="J575" s="22"/>
      <c r="K575" s="9"/>
      <c r="L575" s="15" t="s">
        <v>1479</v>
      </c>
      <c r="M575" s="16" t="s">
        <v>74</v>
      </c>
      <c r="N575" s="14"/>
      <c r="O575" s="15" t="s">
        <v>65</v>
      </c>
      <c r="P575" s="22" t="s">
        <v>2201</v>
      </c>
      <c r="Q575" s="15"/>
      <c r="R575" s="17" t="s">
        <v>74</v>
      </c>
      <c r="S575" s="18"/>
      <c r="T575" s="22" t="str">
        <f>IF(R575="維持",J575,IF(R575="排除","無關新聞事件",IFERROR(INDEX(事件規則!$B$2:$B$53,MATCH(S575,事件規則!$A$2:$A$53,0)),"")))</f>
        <v>無關新聞事件</v>
      </c>
      <c r="U575" s="9">
        <f>IF(R575="維持",K575,IF(R575="排除",0,IFERROR(INDEX(事件規則!$C$2:$C$53,MATCH(S575,事件規則!$A$2:$A$53,0)),"")))</f>
        <v>0</v>
      </c>
      <c r="V575" s="19"/>
      <c r="W575" s="20"/>
      <c r="X575" s="10" t="str">
        <f t="shared" si="8"/>
        <v/>
      </c>
      <c r="Y575" s="19"/>
      <c r="Z575" s="20"/>
      <c r="AA575" s="12" t="s">
        <v>2388</v>
      </c>
      <c r="AB575" s="23"/>
    </row>
    <row r="576" spans="1:28" ht="38.25">
      <c r="A576" s="15">
        <v>575</v>
      </c>
      <c r="B576" s="9" t="s">
        <v>45</v>
      </c>
      <c r="C576" s="9" t="s">
        <v>2342</v>
      </c>
      <c r="D576" s="10" t="s">
        <v>2343</v>
      </c>
      <c r="E576" s="11" t="s">
        <v>2389</v>
      </c>
      <c r="F576" s="22" t="s">
        <v>2390</v>
      </c>
      <c r="G576" s="23" t="s">
        <v>110</v>
      </c>
      <c r="H576" s="13">
        <v>-0.88900000000000001</v>
      </c>
      <c r="I576" s="14"/>
      <c r="J576" s="22"/>
      <c r="K576" s="9"/>
      <c r="L576" s="15" t="s">
        <v>1479</v>
      </c>
      <c r="M576" s="16" t="s">
        <v>74</v>
      </c>
      <c r="N576" s="14"/>
      <c r="O576" s="15" t="s">
        <v>65</v>
      </c>
      <c r="P576" s="22" t="s">
        <v>2201</v>
      </c>
      <c r="Q576" s="15"/>
      <c r="R576" s="17" t="s">
        <v>74</v>
      </c>
      <c r="S576" s="18"/>
      <c r="T576" s="22" t="str">
        <f>IF(R576="維持",J576,IF(R576="排除","無關新聞事件",IFERROR(INDEX(事件規則!$B$2:$B$53,MATCH(S576,事件規則!$A$2:$A$53,0)),"")))</f>
        <v>無關新聞事件</v>
      </c>
      <c r="U576" s="9">
        <f>IF(R576="維持",K576,IF(R576="排除",0,IFERROR(INDEX(事件規則!$C$2:$C$53,MATCH(S576,事件規則!$A$2:$A$53,0)),"")))</f>
        <v>0</v>
      </c>
      <c r="V576" s="19"/>
      <c r="W576" s="20"/>
      <c r="X576" s="10" t="str">
        <f t="shared" si="8"/>
        <v/>
      </c>
      <c r="Y576" s="19"/>
      <c r="Z576" s="20"/>
      <c r="AA576" s="12" t="s">
        <v>2391</v>
      </c>
      <c r="AB576" s="23"/>
    </row>
    <row r="577" spans="1:28" ht="25.5">
      <c r="A577" s="15">
        <v>576</v>
      </c>
      <c r="B577" s="9" t="s">
        <v>45</v>
      </c>
      <c r="C577" s="15"/>
      <c r="D577" s="22"/>
      <c r="E577" s="11" t="s">
        <v>2241</v>
      </c>
      <c r="F577" s="22" t="s">
        <v>2392</v>
      </c>
      <c r="G577" s="12" t="s">
        <v>2243</v>
      </c>
      <c r="H577" s="13">
        <v>-0.88800000000000001</v>
      </c>
      <c r="I577" s="14"/>
      <c r="J577" s="22"/>
      <c r="K577" s="9"/>
      <c r="L577" s="15" t="s">
        <v>1479</v>
      </c>
      <c r="M577" s="16" t="s">
        <v>74</v>
      </c>
      <c r="N577" s="14"/>
      <c r="O577" s="15" t="s">
        <v>65</v>
      </c>
      <c r="P577" s="22" t="s">
        <v>2201</v>
      </c>
      <c r="Q577" s="15"/>
      <c r="R577" s="17" t="s">
        <v>74</v>
      </c>
      <c r="S577" s="18"/>
      <c r="T577" s="22" t="str">
        <f>IF(R577="維持",J577,IF(R577="排除","無關新聞事件",IFERROR(INDEX(事件規則!$B$2:$B$53,MATCH(S577,事件規則!$A$2:$A$53,0)),"")))</f>
        <v>無關新聞事件</v>
      </c>
      <c r="U577" s="9">
        <f>IF(R577="維持",K577,IF(R577="排除",0,IFERROR(INDEX(事件規則!$C$2:$C$53,MATCH(S577,事件規則!$A$2:$A$53,0)),"")))</f>
        <v>0</v>
      </c>
      <c r="V577" s="19"/>
      <c r="W577" s="20"/>
      <c r="X577" s="10" t="str">
        <f t="shared" si="8"/>
        <v/>
      </c>
      <c r="Y577" s="19"/>
      <c r="Z577" s="20"/>
      <c r="AA577" s="12" t="s">
        <v>2393</v>
      </c>
      <c r="AB577" s="23"/>
    </row>
    <row r="578" spans="1:28" ht="38.25">
      <c r="A578" s="15">
        <v>577</v>
      </c>
      <c r="B578" s="9" t="s">
        <v>45</v>
      </c>
      <c r="C578" s="9" t="s">
        <v>2342</v>
      </c>
      <c r="D578" s="10" t="s">
        <v>2343</v>
      </c>
      <c r="E578" s="11" t="s">
        <v>2394</v>
      </c>
      <c r="F578" s="22" t="s">
        <v>2395</v>
      </c>
      <c r="G578" s="23" t="s">
        <v>110</v>
      </c>
      <c r="H578" s="13">
        <v>-0.88400000000000001</v>
      </c>
      <c r="I578" s="14"/>
      <c r="J578" s="22"/>
      <c r="K578" s="9"/>
      <c r="L578" s="15" t="s">
        <v>1479</v>
      </c>
      <c r="M578" s="16" t="s">
        <v>74</v>
      </c>
      <c r="N578" s="14"/>
      <c r="O578" s="15" t="s">
        <v>65</v>
      </c>
      <c r="P578" s="22" t="s">
        <v>2201</v>
      </c>
      <c r="Q578" s="15"/>
      <c r="R578" s="17" t="s">
        <v>74</v>
      </c>
      <c r="S578" s="18"/>
      <c r="T578" s="22" t="str">
        <f>IF(R578="維持",J578,IF(R578="排除","無關新聞事件",IFERROR(INDEX(事件規則!$B$2:$B$53,MATCH(S578,事件規則!$A$2:$A$53,0)),"")))</f>
        <v>無關新聞事件</v>
      </c>
      <c r="U578" s="9">
        <f>IF(R578="維持",K578,IF(R578="排除",0,IFERROR(INDEX(事件規則!$C$2:$C$53,MATCH(S578,事件規則!$A$2:$A$53,0)),"")))</f>
        <v>0</v>
      </c>
      <c r="V578" s="19"/>
      <c r="W578" s="20"/>
      <c r="X578" s="10" t="str">
        <f t="shared" ref="X578:X646" si="9">IF(AND(R578="修改",S578=""),"請選新事件代碼",IF(AND(R578&lt;&gt;"修改",S578&lt;&gt;""),"只有「修改」才需填代碼",""))</f>
        <v/>
      </c>
      <c r="Y578" s="19"/>
      <c r="Z578" s="20"/>
      <c r="AA578" s="12" t="s">
        <v>2396</v>
      </c>
      <c r="AB578" s="23"/>
    </row>
    <row r="579" spans="1:28" ht="38.25">
      <c r="A579" s="15">
        <v>578</v>
      </c>
      <c r="B579" s="9" t="s">
        <v>45</v>
      </c>
      <c r="C579" s="9" t="s">
        <v>2342</v>
      </c>
      <c r="D579" s="10" t="s">
        <v>2343</v>
      </c>
      <c r="E579" s="11" t="s">
        <v>2397</v>
      </c>
      <c r="F579" s="22" t="s">
        <v>2398</v>
      </c>
      <c r="G579" s="23" t="s">
        <v>110</v>
      </c>
      <c r="H579" s="13">
        <v>-0.86799999999999999</v>
      </c>
      <c r="I579" s="14"/>
      <c r="J579" s="22"/>
      <c r="K579" s="9"/>
      <c r="L579" s="15" t="s">
        <v>1479</v>
      </c>
      <c r="M579" s="16" t="s">
        <v>74</v>
      </c>
      <c r="N579" s="14"/>
      <c r="O579" s="15" t="s">
        <v>65</v>
      </c>
      <c r="P579" s="22" t="s">
        <v>2201</v>
      </c>
      <c r="Q579" s="15"/>
      <c r="R579" s="17" t="s">
        <v>74</v>
      </c>
      <c r="S579" s="18"/>
      <c r="T579" s="22" t="str">
        <f>IF(R579="維持",J579,IF(R579="排除","無關新聞事件",IFERROR(INDEX(事件規則!$B$2:$B$53,MATCH(S579,事件規則!$A$2:$A$53,0)),"")))</f>
        <v>無關新聞事件</v>
      </c>
      <c r="U579" s="9">
        <f>IF(R579="維持",K579,IF(R579="排除",0,IFERROR(INDEX(事件規則!$C$2:$C$53,MATCH(S579,事件規則!$A$2:$A$53,0)),"")))</f>
        <v>0</v>
      </c>
      <c r="V579" s="19"/>
      <c r="W579" s="20"/>
      <c r="X579" s="10" t="str">
        <f t="shared" si="9"/>
        <v/>
      </c>
      <c r="Y579" s="19"/>
      <c r="Z579" s="20"/>
      <c r="AA579" s="12" t="s">
        <v>2399</v>
      </c>
      <c r="AB579" s="23"/>
    </row>
    <row r="580" spans="1:28" ht="38.25">
      <c r="A580" s="15">
        <v>579</v>
      </c>
      <c r="B580" s="9" t="s">
        <v>45</v>
      </c>
      <c r="C580" s="9" t="s">
        <v>2342</v>
      </c>
      <c r="D580" s="10" t="s">
        <v>2343</v>
      </c>
      <c r="E580" s="11" t="s">
        <v>2400</v>
      </c>
      <c r="F580" s="22" t="s">
        <v>2401</v>
      </c>
      <c r="G580" s="23" t="s">
        <v>110</v>
      </c>
      <c r="H580" s="13">
        <v>-0.84199999999999997</v>
      </c>
      <c r="I580" s="14"/>
      <c r="J580" s="22"/>
      <c r="K580" s="9"/>
      <c r="L580" s="15" t="s">
        <v>1479</v>
      </c>
      <c r="M580" s="16" t="s">
        <v>74</v>
      </c>
      <c r="N580" s="14"/>
      <c r="O580" s="15" t="s">
        <v>65</v>
      </c>
      <c r="P580" s="22" t="s">
        <v>2201</v>
      </c>
      <c r="Q580" s="15"/>
      <c r="R580" s="17" t="s">
        <v>74</v>
      </c>
      <c r="S580" s="18"/>
      <c r="T580" s="22" t="str">
        <f>IF(R580="維持",J580,IF(R580="排除","無關新聞事件",IFERROR(INDEX(事件規則!$B$2:$B$53,MATCH(S580,事件規則!$A$2:$A$53,0)),"")))</f>
        <v>無關新聞事件</v>
      </c>
      <c r="U580" s="9">
        <f>IF(R580="維持",K580,IF(R580="排除",0,IFERROR(INDEX(事件規則!$C$2:$C$53,MATCH(S580,事件規則!$A$2:$A$53,0)),"")))</f>
        <v>0</v>
      </c>
      <c r="V580" s="19"/>
      <c r="W580" s="20"/>
      <c r="X580" s="10" t="str">
        <f t="shared" si="9"/>
        <v/>
      </c>
      <c r="Y580" s="19"/>
      <c r="Z580" s="20"/>
      <c r="AA580" s="12" t="s">
        <v>2402</v>
      </c>
      <c r="AB580" s="23"/>
    </row>
    <row r="581" spans="1:28" ht="38.25">
      <c r="A581" s="15">
        <v>580</v>
      </c>
      <c r="B581" s="9" t="s">
        <v>45</v>
      </c>
      <c r="C581" s="9" t="s">
        <v>2342</v>
      </c>
      <c r="D581" s="10" t="s">
        <v>2343</v>
      </c>
      <c r="E581" s="11" t="s">
        <v>2403</v>
      </c>
      <c r="F581" s="22" t="s">
        <v>2404</v>
      </c>
      <c r="G581" s="23" t="s">
        <v>110</v>
      </c>
      <c r="H581" s="13">
        <v>-8.4000000000000005E-2</v>
      </c>
      <c r="I581" s="14"/>
      <c r="J581" s="22"/>
      <c r="K581" s="9"/>
      <c r="L581" s="15" t="s">
        <v>1479</v>
      </c>
      <c r="M581" s="16" t="s">
        <v>74</v>
      </c>
      <c r="N581" s="14"/>
      <c r="O581" s="15" t="s">
        <v>65</v>
      </c>
      <c r="P581" s="22" t="s">
        <v>2201</v>
      </c>
      <c r="Q581" s="15"/>
      <c r="R581" s="17" t="s">
        <v>74</v>
      </c>
      <c r="S581" s="18"/>
      <c r="T581" s="22" t="str">
        <f>IF(R581="維持",J581,IF(R581="排除","無關新聞事件",IFERROR(INDEX(事件規則!$B$2:$B$53,MATCH(S581,事件規則!$A$2:$A$53,0)),"")))</f>
        <v>無關新聞事件</v>
      </c>
      <c r="U581" s="9">
        <f>IF(R581="維持",K581,IF(R581="排除",0,IFERROR(INDEX(事件規則!$C$2:$C$53,MATCH(S581,事件規則!$A$2:$A$53,0)),"")))</f>
        <v>0</v>
      </c>
      <c r="V581" s="19"/>
      <c r="W581" s="20"/>
      <c r="X581" s="10" t="str">
        <f t="shared" si="9"/>
        <v/>
      </c>
      <c r="Y581" s="19"/>
      <c r="Z581" s="20"/>
      <c r="AA581" s="12" t="s">
        <v>2405</v>
      </c>
      <c r="AB581" s="23"/>
    </row>
    <row r="582" spans="1:28" ht="38.25">
      <c r="A582" s="15">
        <v>581</v>
      </c>
      <c r="B582" s="9" t="s">
        <v>45</v>
      </c>
      <c r="C582" s="9" t="s">
        <v>2342</v>
      </c>
      <c r="D582" s="10" t="s">
        <v>2343</v>
      </c>
      <c r="E582" s="11" t="s">
        <v>2406</v>
      </c>
      <c r="F582" s="22" t="s">
        <v>2407</v>
      </c>
      <c r="G582" s="23" t="s">
        <v>110</v>
      </c>
      <c r="H582" s="13">
        <v>-3.5000000000000003E-2</v>
      </c>
      <c r="I582" s="14"/>
      <c r="J582" s="22"/>
      <c r="K582" s="9"/>
      <c r="L582" s="15" t="s">
        <v>1479</v>
      </c>
      <c r="M582" s="16" t="s">
        <v>74</v>
      </c>
      <c r="N582" s="14"/>
      <c r="O582" s="15" t="s">
        <v>65</v>
      </c>
      <c r="P582" s="22" t="s">
        <v>2201</v>
      </c>
      <c r="Q582" s="15"/>
      <c r="R582" s="17" t="s">
        <v>74</v>
      </c>
      <c r="S582" s="18"/>
      <c r="T582" s="22" t="str">
        <f>IF(R582="維持",J582,IF(R582="排除","無關新聞事件",IFERROR(INDEX(事件規則!$B$2:$B$53,MATCH(S582,事件規則!$A$2:$A$53,0)),"")))</f>
        <v>無關新聞事件</v>
      </c>
      <c r="U582" s="9">
        <f>IF(R582="維持",K582,IF(R582="排除",0,IFERROR(INDEX(事件規則!$C$2:$C$53,MATCH(S582,事件規則!$A$2:$A$53,0)),"")))</f>
        <v>0</v>
      </c>
      <c r="V582" s="19"/>
      <c r="W582" s="20"/>
      <c r="X582" s="10" t="str">
        <f t="shared" si="9"/>
        <v/>
      </c>
      <c r="Y582" s="19"/>
      <c r="Z582" s="20"/>
      <c r="AA582" s="12" t="s">
        <v>2408</v>
      </c>
      <c r="AB582" s="23"/>
    </row>
    <row r="583" spans="1:28" ht="38.25">
      <c r="A583" s="15">
        <v>582</v>
      </c>
      <c r="B583" s="9" t="s">
        <v>45</v>
      </c>
      <c r="C583" s="9" t="s">
        <v>2342</v>
      </c>
      <c r="D583" s="10" t="s">
        <v>2343</v>
      </c>
      <c r="E583" s="11" t="s">
        <v>2409</v>
      </c>
      <c r="F583" s="22" t="s">
        <v>2410</v>
      </c>
      <c r="G583" s="23" t="s">
        <v>110</v>
      </c>
      <c r="H583" s="13">
        <v>3.2000000000000001E-2</v>
      </c>
      <c r="I583" s="14"/>
      <c r="J583" s="22"/>
      <c r="K583" s="9"/>
      <c r="L583" s="15" t="s">
        <v>1479</v>
      </c>
      <c r="M583" s="16" t="s">
        <v>74</v>
      </c>
      <c r="N583" s="14"/>
      <c r="O583" s="15" t="s">
        <v>65</v>
      </c>
      <c r="P583" s="22" t="s">
        <v>2201</v>
      </c>
      <c r="Q583" s="15"/>
      <c r="R583" s="17" t="s">
        <v>74</v>
      </c>
      <c r="S583" s="18"/>
      <c r="T583" s="22" t="str">
        <f>IF(R583="維持",J583,IF(R583="排除","無關新聞事件",IFERROR(INDEX(事件規則!$B$2:$B$53,MATCH(S583,事件規則!$A$2:$A$53,0)),"")))</f>
        <v>無關新聞事件</v>
      </c>
      <c r="U583" s="9">
        <f>IF(R583="維持",K583,IF(R583="排除",0,IFERROR(INDEX(事件規則!$C$2:$C$53,MATCH(S583,事件規則!$A$2:$A$53,0)),"")))</f>
        <v>0</v>
      </c>
      <c r="V583" s="19"/>
      <c r="W583" s="20"/>
      <c r="X583" s="10" t="str">
        <f t="shared" si="9"/>
        <v/>
      </c>
      <c r="Y583" s="19"/>
      <c r="Z583" s="20"/>
      <c r="AA583" s="12" t="s">
        <v>2411</v>
      </c>
      <c r="AB583" s="23"/>
    </row>
    <row r="584" spans="1:28" ht="38.25">
      <c r="A584" s="15">
        <v>583</v>
      </c>
      <c r="B584" s="9" t="s">
        <v>45</v>
      </c>
      <c r="C584" s="9" t="s">
        <v>2342</v>
      </c>
      <c r="D584" s="10" t="s">
        <v>2343</v>
      </c>
      <c r="E584" s="11" t="s">
        <v>2412</v>
      </c>
      <c r="F584" s="22" t="s">
        <v>2413</v>
      </c>
      <c r="G584" s="23" t="s">
        <v>110</v>
      </c>
      <c r="H584" s="13">
        <v>7.4999999999999997E-2</v>
      </c>
      <c r="I584" s="14"/>
      <c r="J584" s="22"/>
      <c r="K584" s="9"/>
      <c r="L584" s="15" t="s">
        <v>1479</v>
      </c>
      <c r="M584" s="16" t="s">
        <v>74</v>
      </c>
      <c r="N584" s="14"/>
      <c r="O584" s="15" t="s">
        <v>65</v>
      </c>
      <c r="P584" s="22" t="s">
        <v>2201</v>
      </c>
      <c r="Q584" s="15"/>
      <c r="R584" s="17" t="s">
        <v>74</v>
      </c>
      <c r="S584" s="18"/>
      <c r="T584" s="22" t="str">
        <f>IF(R584="維持",J584,IF(R584="排除","無關新聞事件",IFERROR(INDEX(事件規則!$B$2:$B$53,MATCH(S584,事件規則!$A$2:$A$53,0)),"")))</f>
        <v>無關新聞事件</v>
      </c>
      <c r="U584" s="9">
        <f>IF(R584="維持",K584,IF(R584="排除",0,IFERROR(INDEX(事件規則!$C$2:$C$53,MATCH(S584,事件規則!$A$2:$A$53,0)),"")))</f>
        <v>0</v>
      </c>
      <c r="V584" s="19"/>
      <c r="W584" s="20"/>
      <c r="X584" s="10" t="str">
        <f t="shared" si="9"/>
        <v/>
      </c>
      <c r="Y584" s="19"/>
      <c r="Z584" s="20"/>
      <c r="AA584" s="12" t="s">
        <v>2414</v>
      </c>
      <c r="AB584" s="23"/>
    </row>
    <row r="585" spans="1:28" ht="38.25">
      <c r="A585" s="15">
        <v>584</v>
      </c>
      <c r="B585" s="9" t="s">
        <v>45</v>
      </c>
      <c r="C585" s="9" t="s">
        <v>2342</v>
      </c>
      <c r="D585" s="10" t="s">
        <v>2343</v>
      </c>
      <c r="E585" s="11" t="s">
        <v>2415</v>
      </c>
      <c r="F585" s="22" t="s">
        <v>2416</v>
      </c>
      <c r="G585" s="23" t="s">
        <v>110</v>
      </c>
      <c r="H585" s="13">
        <v>0.11700000000000001</v>
      </c>
      <c r="I585" s="14"/>
      <c r="J585" s="22"/>
      <c r="K585" s="9"/>
      <c r="L585" s="15" t="s">
        <v>1479</v>
      </c>
      <c r="M585" s="16" t="s">
        <v>74</v>
      </c>
      <c r="N585" s="14"/>
      <c r="O585" s="15" t="s">
        <v>65</v>
      </c>
      <c r="P585" s="22" t="s">
        <v>2201</v>
      </c>
      <c r="Q585" s="15"/>
      <c r="R585" s="17" t="s">
        <v>74</v>
      </c>
      <c r="S585" s="18"/>
      <c r="T585" s="22" t="str">
        <f>IF(R585="維持",J585,IF(R585="排除","無關新聞事件",IFERROR(INDEX(事件規則!$B$2:$B$53,MATCH(S585,事件規則!$A$2:$A$53,0)),"")))</f>
        <v>無關新聞事件</v>
      </c>
      <c r="U585" s="9">
        <f>IF(R585="維持",K585,IF(R585="排除",0,IFERROR(INDEX(事件規則!$C$2:$C$53,MATCH(S585,事件規則!$A$2:$A$53,0)),"")))</f>
        <v>0</v>
      </c>
      <c r="V585" s="19"/>
      <c r="W585" s="20"/>
      <c r="X585" s="10" t="str">
        <f t="shared" si="9"/>
        <v/>
      </c>
      <c r="Y585" s="19"/>
      <c r="Z585" s="20"/>
      <c r="AA585" s="12" t="s">
        <v>2417</v>
      </c>
      <c r="AB585" s="23"/>
    </row>
    <row r="586" spans="1:28" ht="38.25">
      <c r="A586" s="15">
        <v>585</v>
      </c>
      <c r="B586" s="9" t="s">
        <v>45</v>
      </c>
      <c r="C586" s="9" t="s">
        <v>2342</v>
      </c>
      <c r="D586" s="10" t="s">
        <v>2343</v>
      </c>
      <c r="E586" s="11" t="s">
        <v>2418</v>
      </c>
      <c r="F586" s="22" t="s">
        <v>2419</v>
      </c>
      <c r="G586" s="23" t="s">
        <v>110</v>
      </c>
      <c r="H586" s="13">
        <v>0.23400000000000001</v>
      </c>
      <c r="I586" s="14"/>
      <c r="J586" s="22"/>
      <c r="K586" s="9"/>
      <c r="L586" s="15" t="s">
        <v>1479</v>
      </c>
      <c r="M586" s="16" t="s">
        <v>74</v>
      </c>
      <c r="N586" s="14"/>
      <c r="O586" s="15" t="s">
        <v>65</v>
      </c>
      <c r="P586" s="22" t="s">
        <v>2201</v>
      </c>
      <c r="Q586" s="15"/>
      <c r="R586" s="17" t="s">
        <v>74</v>
      </c>
      <c r="S586" s="18"/>
      <c r="T586" s="22" t="str">
        <f>IF(R586="維持",J586,IF(R586="排除","無關新聞事件",IFERROR(INDEX(事件規則!$B$2:$B$53,MATCH(S586,事件規則!$A$2:$A$53,0)),"")))</f>
        <v>無關新聞事件</v>
      </c>
      <c r="U586" s="9">
        <f>IF(R586="維持",K586,IF(R586="排除",0,IFERROR(INDEX(事件規則!$C$2:$C$53,MATCH(S586,事件規則!$A$2:$A$53,0)),"")))</f>
        <v>0</v>
      </c>
      <c r="V586" s="19"/>
      <c r="W586" s="20"/>
      <c r="X586" s="10" t="str">
        <f t="shared" si="9"/>
        <v/>
      </c>
      <c r="Y586" s="19"/>
      <c r="Z586" s="20"/>
      <c r="AA586" s="12" t="s">
        <v>2420</v>
      </c>
      <c r="AB586" s="23"/>
    </row>
    <row r="587" spans="1:28" ht="38.25">
      <c r="A587" s="15">
        <v>586</v>
      </c>
      <c r="B587" s="9" t="s">
        <v>45</v>
      </c>
      <c r="C587" s="9" t="s">
        <v>2342</v>
      </c>
      <c r="D587" s="10" t="s">
        <v>2343</v>
      </c>
      <c r="E587" s="11" t="s">
        <v>2421</v>
      </c>
      <c r="F587" s="22" t="s">
        <v>2422</v>
      </c>
      <c r="G587" s="23" t="s">
        <v>110</v>
      </c>
      <c r="H587" s="13">
        <v>0.30099999999999999</v>
      </c>
      <c r="I587" s="14"/>
      <c r="J587" s="22"/>
      <c r="K587" s="9"/>
      <c r="L587" s="15" t="s">
        <v>1479</v>
      </c>
      <c r="M587" s="16" t="s">
        <v>74</v>
      </c>
      <c r="N587" s="14"/>
      <c r="O587" s="15" t="s">
        <v>65</v>
      </c>
      <c r="P587" s="22" t="s">
        <v>2201</v>
      </c>
      <c r="Q587" s="15"/>
      <c r="R587" s="17" t="s">
        <v>74</v>
      </c>
      <c r="S587" s="18"/>
      <c r="T587" s="22" t="str">
        <f>IF(R587="維持",J587,IF(R587="排除","無關新聞事件",IFERROR(INDEX(事件規則!$B$2:$B$53,MATCH(S587,事件規則!$A$2:$A$53,0)),"")))</f>
        <v>無關新聞事件</v>
      </c>
      <c r="U587" s="9">
        <f>IF(R587="維持",K587,IF(R587="排除",0,IFERROR(INDEX(事件規則!$C$2:$C$53,MATCH(S587,事件規則!$A$2:$A$53,0)),"")))</f>
        <v>0</v>
      </c>
      <c r="V587" s="19"/>
      <c r="W587" s="20"/>
      <c r="X587" s="10" t="str">
        <f t="shared" si="9"/>
        <v/>
      </c>
      <c r="Y587" s="19"/>
      <c r="Z587" s="20"/>
      <c r="AA587" s="12" t="s">
        <v>2423</v>
      </c>
      <c r="AB587" s="23"/>
    </row>
    <row r="588" spans="1:28" ht="38.25">
      <c r="A588" s="15">
        <v>587</v>
      </c>
      <c r="B588" s="9" t="s">
        <v>45</v>
      </c>
      <c r="C588" s="9" t="s">
        <v>2342</v>
      </c>
      <c r="D588" s="10" t="s">
        <v>2343</v>
      </c>
      <c r="E588" s="11" t="s">
        <v>2424</v>
      </c>
      <c r="F588" s="22" t="s">
        <v>2425</v>
      </c>
      <c r="G588" s="23" t="s">
        <v>110</v>
      </c>
      <c r="H588" s="13">
        <v>0.38900000000000001</v>
      </c>
      <c r="I588" s="14"/>
      <c r="J588" s="22"/>
      <c r="K588" s="9"/>
      <c r="L588" s="15" t="s">
        <v>1479</v>
      </c>
      <c r="M588" s="16" t="s">
        <v>74</v>
      </c>
      <c r="N588" s="14"/>
      <c r="O588" s="15" t="s">
        <v>65</v>
      </c>
      <c r="P588" s="22" t="s">
        <v>2201</v>
      </c>
      <c r="Q588" s="15"/>
      <c r="R588" s="17" t="s">
        <v>74</v>
      </c>
      <c r="S588" s="18"/>
      <c r="T588" s="22" t="str">
        <f>IF(R588="維持",J588,IF(R588="排除","無關新聞事件",IFERROR(INDEX(事件規則!$B$2:$B$53,MATCH(S588,事件規則!$A$2:$A$53,0)),"")))</f>
        <v>無關新聞事件</v>
      </c>
      <c r="U588" s="9">
        <f>IF(R588="維持",K588,IF(R588="排除",0,IFERROR(INDEX(事件規則!$C$2:$C$53,MATCH(S588,事件規則!$A$2:$A$53,0)),"")))</f>
        <v>0</v>
      </c>
      <c r="V588" s="19"/>
      <c r="W588" s="20"/>
      <c r="X588" s="10" t="str">
        <f t="shared" si="9"/>
        <v/>
      </c>
      <c r="Y588" s="19"/>
      <c r="Z588" s="20"/>
      <c r="AA588" s="12" t="s">
        <v>2426</v>
      </c>
      <c r="AB588" s="23"/>
    </row>
    <row r="589" spans="1:28" ht="38.25">
      <c r="A589" s="15">
        <v>588</v>
      </c>
      <c r="B589" s="9" t="s">
        <v>45</v>
      </c>
      <c r="C589" s="9" t="s">
        <v>2342</v>
      </c>
      <c r="D589" s="10" t="s">
        <v>2343</v>
      </c>
      <c r="E589" s="11" t="s">
        <v>2427</v>
      </c>
      <c r="F589" s="22" t="s">
        <v>2428</v>
      </c>
      <c r="G589" s="23" t="s">
        <v>110</v>
      </c>
      <c r="H589" s="13">
        <v>0.436</v>
      </c>
      <c r="I589" s="14"/>
      <c r="J589" s="22"/>
      <c r="K589" s="9"/>
      <c r="L589" s="15" t="s">
        <v>1479</v>
      </c>
      <c r="M589" s="16" t="s">
        <v>74</v>
      </c>
      <c r="N589" s="14"/>
      <c r="O589" s="15" t="s">
        <v>65</v>
      </c>
      <c r="P589" s="22" t="s">
        <v>2201</v>
      </c>
      <c r="Q589" s="15"/>
      <c r="R589" s="17" t="s">
        <v>74</v>
      </c>
      <c r="S589" s="18"/>
      <c r="T589" s="22" t="str">
        <f>IF(R589="維持",J589,IF(R589="排除","無關新聞事件",IFERROR(INDEX(事件規則!$B$2:$B$53,MATCH(S589,事件規則!$A$2:$A$53,0)),"")))</f>
        <v>無關新聞事件</v>
      </c>
      <c r="U589" s="9">
        <f>IF(R589="維持",K589,IF(R589="排除",0,IFERROR(INDEX(事件規則!$C$2:$C$53,MATCH(S589,事件規則!$A$2:$A$53,0)),"")))</f>
        <v>0</v>
      </c>
      <c r="V589" s="19"/>
      <c r="W589" s="20"/>
      <c r="X589" s="10" t="str">
        <f t="shared" si="9"/>
        <v/>
      </c>
      <c r="Y589" s="19"/>
      <c r="Z589" s="20"/>
      <c r="AA589" s="12" t="s">
        <v>2429</v>
      </c>
      <c r="AB589" s="23"/>
    </row>
    <row r="590" spans="1:28" ht="25.5">
      <c r="A590" s="15">
        <v>589</v>
      </c>
      <c r="B590" s="9" t="s">
        <v>516</v>
      </c>
      <c r="C590" s="15"/>
      <c r="D590" s="10" t="s">
        <v>517</v>
      </c>
      <c r="E590" s="11" t="s">
        <v>2430</v>
      </c>
      <c r="F590" s="22" t="s">
        <v>2430</v>
      </c>
      <c r="G590" s="12" t="s">
        <v>64</v>
      </c>
      <c r="H590" s="13">
        <v>-2.3E-2</v>
      </c>
      <c r="I590" s="14"/>
      <c r="J590" s="22"/>
      <c r="K590" s="9"/>
      <c r="L590" s="15" t="s">
        <v>1479</v>
      </c>
      <c r="M590" s="16" t="s">
        <v>74</v>
      </c>
      <c r="N590" s="14"/>
      <c r="O590" s="15" t="s">
        <v>65</v>
      </c>
      <c r="P590" s="22" t="s">
        <v>2201</v>
      </c>
      <c r="Q590" s="15"/>
      <c r="R590" s="17" t="s">
        <v>74</v>
      </c>
      <c r="S590" s="18"/>
      <c r="T590" s="22" t="str">
        <f>IF(R590="維持",J590,IF(R590="排除","無關新聞事件",IFERROR(INDEX(事件規則!$B$2:$B$53,MATCH(S590,事件規則!$A$2:$A$53,0)),"")))</f>
        <v>無關新聞事件</v>
      </c>
      <c r="U590" s="9">
        <f>IF(R590="維持",K590,IF(R590="排除",0,IFERROR(INDEX(事件規則!$C$2:$C$53,MATCH(S590,事件規則!$A$2:$A$53,0)),"")))</f>
        <v>0</v>
      </c>
      <c r="V590" s="19"/>
      <c r="W590" s="20"/>
      <c r="X590" s="10" t="str">
        <f t="shared" si="9"/>
        <v/>
      </c>
      <c r="Y590" s="19"/>
      <c r="Z590" s="20"/>
      <c r="AA590" s="12" t="s">
        <v>2431</v>
      </c>
      <c r="AB590" s="23"/>
    </row>
    <row r="591" spans="1:28" ht="38.25">
      <c r="A591" s="15">
        <v>590</v>
      </c>
      <c r="B591" s="9" t="s">
        <v>516</v>
      </c>
      <c r="C591" s="9" t="s">
        <v>2342</v>
      </c>
      <c r="D591" s="10" t="s">
        <v>2343</v>
      </c>
      <c r="E591" s="11" t="s">
        <v>2432</v>
      </c>
      <c r="F591" s="22" t="s">
        <v>2433</v>
      </c>
      <c r="G591" s="23" t="s">
        <v>110</v>
      </c>
      <c r="H591" s="13">
        <v>-0.81799999999999995</v>
      </c>
      <c r="I591" s="14"/>
      <c r="J591" s="22"/>
      <c r="K591" s="9"/>
      <c r="L591" s="15" t="s">
        <v>1479</v>
      </c>
      <c r="M591" s="16" t="s">
        <v>74</v>
      </c>
      <c r="N591" s="14"/>
      <c r="O591" s="15" t="s">
        <v>65</v>
      </c>
      <c r="P591" s="22" t="s">
        <v>2201</v>
      </c>
      <c r="Q591" s="15"/>
      <c r="R591" s="17" t="s">
        <v>74</v>
      </c>
      <c r="S591" s="18"/>
      <c r="T591" s="22" t="str">
        <f>IF(R591="維持",J591,IF(R591="排除","無關新聞事件",IFERROR(INDEX(事件規則!$B$2:$B$53,MATCH(S591,事件規則!$A$2:$A$53,0)),"")))</f>
        <v>無關新聞事件</v>
      </c>
      <c r="U591" s="9">
        <f>IF(R591="維持",K591,IF(R591="排除",0,IFERROR(INDEX(事件規則!$C$2:$C$53,MATCH(S591,事件規則!$A$2:$A$53,0)),"")))</f>
        <v>0</v>
      </c>
      <c r="V591" s="19"/>
      <c r="W591" s="20"/>
      <c r="X591" s="10" t="str">
        <f t="shared" si="9"/>
        <v/>
      </c>
      <c r="Y591" s="19"/>
      <c r="Z591" s="20"/>
      <c r="AA591" s="12" t="s">
        <v>2434</v>
      </c>
      <c r="AB591" s="23"/>
    </row>
    <row r="592" spans="1:28" ht="38.25">
      <c r="A592" s="15">
        <v>591</v>
      </c>
      <c r="B592" s="9" t="s">
        <v>516</v>
      </c>
      <c r="C592" s="9" t="s">
        <v>2342</v>
      </c>
      <c r="D592" s="10" t="s">
        <v>2343</v>
      </c>
      <c r="E592" s="11" t="s">
        <v>2435</v>
      </c>
      <c r="F592" s="22" t="s">
        <v>2436</v>
      </c>
      <c r="G592" s="23" t="s">
        <v>110</v>
      </c>
      <c r="H592" s="13">
        <v>0.38400000000000001</v>
      </c>
      <c r="I592" s="14"/>
      <c r="J592" s="22"/>
      <c r="K592" s="9"/>
      <c r="L592" s="15" t="s">
        <v>1479</v>
      </c>
      <c r="M592" s="16" t="s">
        <v>74</v>
      </c>
      <c r="N592" s="14"/>
      <c r="O592" s="15" t="s">
        <v>65</v>
      </c>
      <c r="P592" s="22" t="s">
        <v>2201</v>
      </c>
      <c r="Q592" s="15"/>
      <c r="R592" s="17" t="s">
        <v>74</v>
      </c>
      <c r="S592" s="18"/>
      <c r="T592" s="22" t="str">
        <f>IF(R592="維持",J592,IF(R592="排除","無關新聞事件",IFERROR(INDEX(事件規則!$B$2:$B$53,MATCH(S592,事件規則!$A$2:$A$53,0)),"")))</f>
        <v>無關新聞事件</v>
      </c>
      <c r="U592" s="9">
        <f>IF(R592="維持",K592,IF(R592="排除",0,IFERROR(INDEX(事件規則!$C$2:$C$53,MATCH(S592,事件規則!$A$2:$A$53,0)),"")))</f>
        <v>0</v>
      </c>
      <c r="V592" s="19"/>
      <c r="W592" s="20"/>
      <c r="X592" s="10" t="str">
        <f t="shared" si="9"/>
        <v/>
      </c>
      <c r="Y592" s="19"/>
      <c r="Z592" s="20"/>
      <c r="AA592" s="12" t="s">
        <v>2437</v>
      </c>
      <c r="AB592" s="23"/>
    </row>
    <row r="593" spans="1:28" ht="38.25">
      <c r="A593" s="15">
        <v>592</v>
      </c>
      <c r="B593" s="9" t="s">
        <v>516</v>
      </c>
      <c r="C593" s="9" t="s">
        <v>824</v>
      </c>
      <c r="D593" s="10" t="s">
        <v>2438</v>
      </c>
      <c r="E593" s="21" t="s">
        <v>2439</v>
      </c>
      <c r="F593" s="22" t="s">
        <v>2440</v>
      </c>
      <c r="G593" s="12" t="s">
        <v>2441</v>
      </c>
      <c r="H593" s="13">
        <v>-0.96299999999999997</v>
      </c>
      <c r="I593" s="14"/>
      <c r="J593" s="22"/>
      <c r="K593" s="9"/>
      <c r="L593" s="15" t="s">
        <v>1479</v>
      </c>
      <c r="M593" s="16" t="s">
        <v>74</v>
      </c>
      <c r="N593" s="14"/>
      <c r="O593" s="15" t="s">
        <v>65</v>
      </c>
      <c r="P593" s="22" t="s">
        <v>2201</v>
      </c>
      <c r="Q593" s="15"/>
      <c r="R593" s="17" t="s">
        <v>74</v>
      </c>
      <c r="S593" s="18"/>
      <c r="T593" s="22" t="str">
        <f>IF(R593="維持",J593,IF(R593="排除","無關新聞事件",IFERROR(INDEX(事件規則!$B$2:$B$53,MATCH(S593,事件規則!$A$2:$A$53,0)),"")))</f>
        <v>無關新聞事件</v>
      </c>
      <c r="U593" s="9">
        <f>IF(R593="維持",K593,IF(R593="排除",0,IFERROR(INDEX(事件規則!$C$2:$C$53,MATCH(S593,事件規則!$A$2:$A$53,0)),"")))</f>
        <v>0</v>
      </c>
      <c r="V593" s="19"/>
      <c r="W593" s="20"/>
      <c r="X593" s="10" t="str">
        <f t="shared" si="9"/>
        <v/>
      </c>
      <c r="Y593" s="19"/>
      <c r="Z593" s="20"/>
      <c r="AA593" s="12" t="s">
        <v>2442</v>
      </c>
      <c r="AB593" s="23"/>
    </row>
    <row r="594" spans="1:28" ht="25.5">
      <c r="A594" s="15">
        <v>593</v>
      </c>
      <c r="B594" s="9" t="s">
        <v>516</v>
      </c>
      <c r="C594" s="15"/>
      <c r="D594" s="22"/>
      <c r="E594" s="11" t="s">
        <v>2443</v>
      </c>
      <c r="F594" s="22" t="s">
        <v>2444</v>
      </c>
      <c r="G594" s="23" t="s">
        <v>110</v>
      </c>
      <c r="H594" s="13">
        <v>-0.94799999999999995</v>
      </c>
      <c r="I594" s="14"/>
      <c r="J594" s="22"/>
      <c r="K594" s="9"/>
      <c r="L594" s="15" t="s">
        <v>1479</v>
      </c>
      <c r="M594" s="16" t="s">
        <v>74</v>
      </c>
      <c r="N594" s="14"/>
      <c r="O594" s="15" t="s">
        <v>65</v>
      </c>
      <c r="P594" s="22" t="s">
        <v>2201</v>
      </c>
      <c r="Q594" s="15"/>
      <c r="R594" s="17" t="s">
        <v>74</v>
      </c>
      <c r="S594" s="18"/>
      <c r="T594" s="22" t="str">
        <f>IF(R594="維持",J594,IF(R594="排除","無關新聞事件",IFERROR(INDEX(事件規則!$B$2:$B$53,MATCH(S594,事件規則!$A$2:$A$53,0)),"")))</f>
        <v>無關新聞事件</v>
      </c>
      <c r="U594" s="9">
        <f>IF(R594="維持",K594,IF(R594="排除",0,IFERROR(INDEX(事件規則!$C$2:$C$53,MATCH(S594,事件規則!$A$2:$A$53,0)),"")))</f>
        <v>0</v>
      </c>
      <c r="V594" s="19"/>
      <c r="W594" s="20"/>
      <c r="X594" s="10" t="str">
        <f t="shared" si="9"/>
        <v/>
      </c>
      <c r="Y594" s="19"/>
      <c r="Z594" s="20"/>
      <c r="AA594" s="12" t="s">
        <v>2445</v>
      </c>
      <c r="AB594" s="23"/>
    </row>
    <row r="595" spans="1:28" ht="25.5">
      <c r="A595" s="15">
        <v>594</v>
      </c>
      <c r="B595" s="9" t="s">
        <v>516</v>
      </c>
      <c r="C595" s="15"/>
      <c r="D595" s="10" t="s">
        <v>2446</v>
      </c>
      <c r="E595" s="11" t="s">
        <v>2447</v>
      </c>
      <c r="F595" s="22" t="s">
        <v>2447</v>
      </c>
      <c r="G595" s="12" t="s">
        <v>64</v>
      </c>
      <c r="H595" s="13">
        <v>-0.92200000000000004</v>
      </c>
      <c r="I595" s="14"/>
      <c r="J595" s="22"/>
      <c r="K595" s="9"/>
      <c r="L595" s="15" t="s">
        <v>1479</v>
      </c>
      <c r="M595" s="16" t="s">
        <v>130</v>
      </c>
      <c r="N595" s="14" t="s">
        <v>83</v>
      </c>
      <c r="O595" s="15" t="s">
        <v>65</v>
      </c>
      <c r="P595" s="10" t="s">
        <v>2448</v>
      </c>
      <c r="Q595" s="15"/>
      <c r="R595" s="17" t="s">
        <v>130</v>
      </c>
      <c r="S595" s="18" t="s">
        <v>83</v>
      </c>
      <c r="T595" s="22" t="str">
        <f>IF(R595="維持",J595,IF(R595="排除","無關新聞事件",IFERROR(INDEX(事件規則!$B$2:$B$53,MATCH(S595,事件規則!$A$2:$A$53,0)),"")))</f>
        <v>資安攻擊</v>
      </c>
      <c r="U595" s="9">
        <f>IF(R595="維持",K595,IF(R595="排除",0,IFERROR(INDEX(事件規則!$C$2:$C$53,MATCH(S595,事件規則!$A$2:$A$53,0)),"")))</f>
        <v>3</v>
      </c>
      <c r="V595" s="19"/>
      <c r="W595" s="20" t="s">
        <v>1109</v>
      </c>
      <c r="X595" s="10" t="str">
        <f t="shared" si="9"/>
        <v/>
      </c>
      <c r="Y595" s="19"/>
      <c r="Z595" s="20"/>
      <c r="AA595" s="12" t="s">
        <v>2449</v>
      </c>
      <c r="AB595" s="23"/>
    </row>
    <row r="596" spans="1:28" ht="38.25">
      <c r="A596" s="15">
        <v>595</v>
      </c>
      <c r="B596" s="9" t="s">
        <v>516</v>
      </c>
      <c r="C596" s="9" t="s">
        <v>1136</v>
      </c>
      <c r="D596" s="10" t="s">
        <v>2450</v>
      </c>
      <c r="E596" s="21" t="s">
        <v>2451</v>
      </c>
      <c r="F596" s="22" t="s">
        <v>2452</v>
      </c>
      <c r="G596" s="12" t="s">
        <v>2453</v>
      </c>
      <c r="H596" s="13">
        <v>-0.91400000000000003</v>
      </c>
      <c r="I596" s="14"/>
      <c r="J596" s="22"/>
      <c r="K596" s="9"/>
      <c r="L596" s="15" t="s">
        <v>1479</v>
      </c>
      <c r="M596" s="16" t="s">
        <v>74</v>
      </c>
      <c r="N596" s="14"/>
      <c r="O596" s="15" t="s">
        <v>65</v>
      </c>
      <c r="P596" s="22" t="s">
        <v>2201</v>
      </c>
      <c r="Q596" s="15"/>
      <c r="R596" s="17" t="s">
        <v>74</v>
      </c>
      <c r="S596" s="18"/>
      <c r="T596" s="22" t="str">
        <f>IF(R596="維持",J596,IF(R596="排除","無關新聞事件",IFERROR(INDEX(事件規則!$B$2:$B$53,MATCH(S596,事件規則!$A$2:$A$53,0)),"")))</f>
        <v>無關新聞事件</v>
      </c>
      <c r="U596" s="9">
        <f>IF(R596="維持",K596,IF(R596="排除",0,IFERROR(INDEX(事件規則!$C$2:$C$53,MATCH(S596,事件規則!$A$2:$A$53,0)),"")))</f>
        <v>0</v>
      </c>
      <c r="V596" s="19"/>
      <c r="W596" s="20"/>
      <c r="X596" s="10" t="str">
        <f t="shared" si="9"/>
        <v/>
      </c>
      <c r="Y596" s="19"/>
      <c r="Z596" s="20"/>
      <c r="AA596" s="12" t="s">
        <v>2454</v>
      </c>
      <c r="AB596" s="23"/>
    </row>
    <row r="597" spans="1:28" ht="38.25">
      <c r="A597" s="15">
        <v>596</v>
      </c>
      <c r="B597" s="9" t="s">
        <v>516</v>
      </c>
      <c r="C597" s="9" t="s">
        <v>987</v>
      </c>
      <c r="D597" s="10" t="s">
        <v>988</v>
      </c>
      <c r="E597" s="21" t="s">
        <v>2455</v>
      </c>
      <c r="F597" s="22" t="s">
        <v>2456</v>
      </c>
      <c r="G597" s="12" t="s">
        <v>2074</v>
      </c>
      <c r="H597" s="13">
        <v>-0.873</v>
      </c>
      <c r="I597" s="14"/>
      <c r="J597" s="22"/>
      <c r="K597" s="9"/>
      <c r="L597" s="15" t="s">
        <v>1479</v>
      </c>
      <c r="M597" s="16" t="s">
        <v>74</v>
      </c>
      <c r="N597" s="14"/>
      <c r="O597" s="15" t="s">
        <v>65</v>
      </c>
      <c r="P597" s="22" t="s">
        <v>2201</v>
      </c>
      <c r="Q597" s="15"/>
      <c r="R597" s="17" t="s">
        <v>74</v>
      </c>
      <c r="S597" s="18"/>
      <c r="T597" s="22" t="str">
        <f>IF(R597="維持",J597,IF(R597="排除","無關新聞事件",IFERROR(INDEX(事件規則!$B$2:$B$53,MATCH(S597,事件規則!$A$2:$A$53,0)),"")))</f>
        <v>無關新聞事件</v>
      </c>
      <c r="U597" s="9">
        <f>IF(R597="維持",K597,IF(R597="排除",0,IFERROR(INDEX(事件規則!$C$2:$C$53,MATCH(S597,事件規則!$A$2:$A$53,0)),"")))</f>
        <v>0</v>
      </c>
      <c r="V597" s="19"/>
      <c r="W597" s="20"/>
      <c r="X597" s="10" t="str">
        <f t="shared" si="9"/>
        <v/>
      </c>
      <c r="Y597" s="19"/>
      <c r="Z597" s="20"/>
      <c r="AA597" s="12" t="s">
        <v>2457</v>
      </c>
      <c r="AB597" s="23"/>
    </row>
    <row r="598" spans="1:28" ht="25.5">
      <c r="A598" s="15">
        <v>597</v>
      </c>
      <c r="B598" s="9" t="s">
        <v>516</v>
      </c>
      <c r="C598" s="15"/>
      <c r="D598" s="22"/>
      <c r="E598" s="11" t="s">
        <v>2458</v>
      </c>
      <c r="F598" s="22" t="s">
        <v>2459</v>
      </c>
      <c r="G598" s="23" t="s">
        <v>2460</v>
      </c>
      <c r="H598" s="13">
        <v>-0.872</v>
      </c>
      <c r="I598" s="14"/>
      <c r="J598" s="22"/>
      <c r="K598" s="9"/>
      <c r="L598" s="15" t="s">
        <v>1479</v>
      </c>
      <c r="M598" s="16" t="s">
        <v>74</v>
      </c>
      <c r="N598" s="14"/>
      <c r="O598" s="15" t="s">
        <v>65</v>
      </c>
      <c r="P598" s="22" t="s">
        <v>2201</v>
      </c>
      <c r="Q598" s="15"/>
      <c r="R598" s="17" t="s">
        <v>74</v>
      </c>
      <c r="S598" s="18"/>
      <c r="T598" s="22" t="str">
        <f>IF(R598="維持",J598,IF(R598="排除","無關新聞事件",IFERROR(INDEX(事件規則!$B$2:$B$53,MATCH(S598,事件規則!$A$2:$A$53,0)),"")))</f>
        <v>無關新聞事件</v>
      </c>
      <c r="U598" s="9">
        <f>IF(R598="維持",K598,IF(R598="排除",0,IFERROR(INDEX(事件規則!$C$2:$C$53,MATCH(S598,事件規則!$A$2:$A$53,0)),"")))</f>
        <v>0</v>
      </c>
      <c r="V598" s="19"/>
      <c r="W598" s="20"/>
      <c r="X598" s="10" t="str">
        <f t="shared" si="9"/>
        <v/>
      </c>
      <c r="Y598" s="19"/>
      <c r="Z598" s="20"/>
      <c r="AA598" s="12" t="s">
        <v>2461</v>
      </c>
      <c r="AB598" s="23"/>
    </row>
    <row r="599" spans="1:28" ht="25.5">
      <c r="A599" s="15">
        <v>598</v>
      </c>
      <c r="B599" s="9" t="s">
        <v>516</v>
      </c>
      <c r="C599" s="9" t="s">
        <v>93</v>
      </c>
      <c r="D599" s="10" t="s">
        <v>2462</v>
      </c>
      <c r="E599" s="21" t="s">
        <v>2463</v>
      </c>
      <c r="F599" s="22" t="s">
        <v>2464</v>
      </c>
      <c r="G599" s="12" t="s">
        <v>2465</v>
      </c>
      <c r="H599" s="13">
        <v>-0.628</v>
      </c>
      <c r="I599" s="14"/>
      <c r="J599" s="22"/>
      <c r="K599" s="9"/>
      <c r="L599" s="15" t="s">
        <v>1479</v>
      </c>
      <c r="M599" s="16" t="s">
        <v>74</v>
      </c>
      <c r="N599" s="14"/>
      <c r="O599" s="15" t="s">
        <v>65</v>
      </c>
      <c r="P599" s="22" t="s">
        <v>2201</v>
      </c>
      <c r="Q599" s="15"/>
      <c r="R599" s="17" t="s">
        <v>74</v>
      </c>
      <c r="S599" s="18"/>
      <c r="T599" s="22" t="str">
        <f>IF(R599="維持",J599,IF(R599="排除","無關新聞事件",IFERROR(INDEX(事件規則!$B$2:$B$53,MATCH(S599,事件規則!$A$2:$A$53,0)),"")))</f>
        <v>無關新聞事件</v>
      </c>
      <c r="U599" s="9">
        <f>IF(R599="維持",K599,IF(R599="排除",0,IFERROR(INDEX(事件規則!$C$2:$C$53,MATCH(S599,事件規則!$A$2:$A$53,0)),"")))</f>
        <v>0</v>
      </c>
      <c r="V599" s="19"/>
      <c r="W599" s="20"/>
      <c r="X599" s="10" t="str">
        <f t="shared" si="9"/>
        <v/>
      </c>
      <c r="Y599" s="19"/>
      <c r="Z599" s="20"/>
      <c r="AA599" s="12" t="s">
        <v>2466</v>
      </c>
      <c r="AB599" s="23"/>
    </row>
    <row r="600" spans="1:28" ht="25.5">
      <c r="A600" s="15">
        <v>599</v>
      </c>
      <c r="B600" s="9" t="s">
        <v>516</v>
      </c>
      <c r="C600" s="9" t="s">
        <v>824</v>
      </c>
      <c r="D600" s="10" t="s">
        <v>2438</v>
      </c>
      <c r="E600" s="21" t="s">
        <v>2467</v>
      </c>
      <c r="F600" s="22" t="s">
        <v>2468</v>
      </c>
      <c r="G600" s="12" t="s">
        <v>2469</v>
      </c>
      <c r="H600" s="13">
        <v>-0.34</v>
      </c>
      <c r="I600" s="14"/>
      <c r="J600" s="22"/>
      <c r="K600" s="9"/>
      <c r="L600" s="15" t="s">
        <v>1479</v>
      </c>
      <c r="M600" s="16" t="s">
        <v>74</v>
      </c>
      <c r="N600" s="14"/>
      <c r="O600" s="15" t="s">
        <v>65</v>
      </c>
      <c r="P600" s="22" t="s">
        <v>2201</v>
      </c>
      <c r="Q600" s="15"/>
      <c r="R600" s="17" t="s">
        <v>74</v>
      </c>
      <c r="S600" s="18"/>
      <c r="T600" s="22" t="str">
        <f>IF(R600="維持",J600,IF(R600="排除","無關新聞事件",IFERROR(INDEX(事件規則!$B$2:$B$53,MATCH(S600,事件規則!$A$2:$A$53,0)),"")))</f>
        <v>無關新聞事件</v>
      </c>
      <c r="U600" s="9">
        <f>IF(R600="維持",K600,IF(R600="排除",0,IFERROR(INDEX(事件規則!$C$2:$C$53,MATCH(S600,事件規則!$A$2:$A$53,0)),"")))</f>
        <v>0</v>
      </c>
      <c r="V600" s="19"/>
      <c r="W600" s="20"/>
      <c r="X600" s="10" t="str">
        <f t="shared" si="9"/>
        <v/>
      </c>
      <c r="Y600" s="19"/>
      <c r="Z600" s="20"/>
      <c r="AA600" s="12" t="s">
        <v>2470</v>
      </c>
      <c r="AB600" s="23"/>
    </row>
    <row r="601" spans="1:28" ht="25.5">
      <c r="A601" s="15">
        <v>600</v>
      </c>
      <c r="B601" s="9" t="s">
        <v>516</v>
      </c>
      <c r="C601" s="9" t="s">
        <v>1374</v>
      </c>
      <c r="D601" s="10" t="s">
        <v>1465</v>
      </c>
      <c r="E601" s="21" t="s">
        <v>2471</v>
      </c>
      <c r="F601" s="22" t="s">
        <v>2472</v>
      </c>
      <c r="G601" s="12" t="s">
        <v>850</v>
      </c>
      <c r="H601" s="13">
        <v>-0.26</v>
      </c>
      <c r="I601" s="14"/>
      <c r="J601" s="22"/>
      <c r="K601" s="9"/>
      <c r="L601" s="15" t="s">
        <v>1479</v>
      </c>
      <c r="M601" s="16" t="s">
        <v>74</v>
      </c>
      <c r="N601" s="14"/>
      <c r="O601" s="15" t="s">
        <v>65</v>
      </c>
      <c r="P601" s="22" t="s">
        <v>2201</v>
      </c>
      <c r="Q601" s="15"/>
      <c r="R601" s="17" t="s">
        <v>74</v>
      </c>
      <c r="S601" s="18"/>
      <c r="T601" s="22" t="str">
        <f>IF(R601="維持",J601,IF(R601="排除","無關新聞事件",IFERROR(INDEX(事件規則!$B$2:$B$53,MATCH(S601,事件規則!$A$2:$A$53,0)),"")))</f>
        <v>無關新聞事件</v>
      </c>
      <c r="U601" s="9">
        <f>IF(R601="維持",K601,IF(R601="排除",0,IFERROR(INDEX(事件規則!$C$2:$C$53,MATCH(S601,事件規則!$A$2:$A$53,0)),"")))</f>
        <v>0</v>
      </c>
      <c r="V601" s="19"/>
      <c r="W601" s="20"/>
      <c r="X601" s="10" t="str">
        <f t="shared" si="9"/>
        <v/>
      </c>
      <c r="Y601" s="19"/>
      <c r="Z601" s="20"/>
      <c r="AA601" s="12" t="s">
        <v>2473</v>
      </c>
      <c r="AB601" s="23"/>
    </row>
    <row r="602" spans="1:28" ht="25.5">
      <c r="A602" s="15">
        <v>601</v>
      </c>
      <c r="B602" s="9" t="s">
        <v>516</v>
      </c>
      <c r="C602" s="15"/>
      <c r="D602" s="10" t="s">
        <v>1591</v>
      </c>
      <c r="E602" s="11" t="s">
        <v>2474</v>
      </c>
      <c r="F602" s="22" t="s">
        <v>2475</v>
      </c>
      <c r="G602" s="12" t="s">
        <v>64</v>
      </c>
      <c r="H602" s="13">
        <v>-8.1000000000000003E-2</v>
      </c>
      <c r="I602" s="14"/>
      <c r="J602" s="22"/>
      <c r="K602" s="9"/>
      <c r="L602" s="15" t="s">
        <v>1479</v>
      </c>
      <c r="M602" s="16" t="s">
        <v>74</v>
      </c>
      <c r="N602" s="14"/>
      <c r="O602" s="15" t="s">
        <v>65</v>
      </c>
      <c r="P602" s="22" t="s">
        <v>2201</v>
      </c>
      <c r="Q602" s="15"/>
      <c r="R602" s="17" t="s">
        <v>74</v>
      </c>
      <c r="S602" s="18"/>
      <c r="T602" s="22" t="str">
        <f>IF(R602="維持",J602,IF(R602="排除","無關新聞事件",IFERROR(INDEX(事件規則!$B$2:$B$53,MATCH(S602,事件規則!$A$2:$A$53,0)),"")))</f>
        <v>無關新聞事件</v>
      </c>
      <c r="U602" s="9">
        <f>IF(R602="維持",K602,IF(R602="排除",0,IFERROR(INDEX(事件規則!$C$2:$C$53,MATCH(S602,事件規則!$A$2:$A$53,0)),"")))</f>
        <v>0</v>
      </c>
      <c r="V602" s="19"/>
      <c r="W602" s="20"/>
      <c r="X602" s="10" t="str">
        <f t="shared" si="9"/>
        <v/>
      </c>
      <c r="Y602" s="19"/>
      <c r="Z602" s="20"/>
      <c r="AA602" s="12" t="s">
        <v>2476</v>
      </c>
      <c r="AB602" s="23"/>
    </row>
    <row r="603" spans="1:28" ht="25.5">
      <c r="A603" s="15">
        <v>602</v>
      </c>
      <c r="B603" s="9" t="s">
        <v>516</v>
      </c>
      <c r="C603" s="15"/>
      <c r="D603" s="10" t="s">
        <v>1584</v>
      </c>
      <c r="E603" s="11" t="s">
        <v>2474</v>
      </c>
      <c r="F603" s="22" t="s">
        <v>2475</v>
      </c>
      <c r="G603" s="12" t="s">
        <v>64</v>
      </c>
      <c r="H603" s="13">
        <v>-8.1000000000000003E-2</v>
      </c>
      <c r="I603" s="14"/>
      <c r="J603" s="22"/>
      <c r="K603" s="9"/>
      <c r="L603" s="15" t="s">
        <v>1479</v>
      </c>
      <c r="M603" s="16" t="s">
        <v>74</v>
      </c>
      <c r="N603" s="14"/>
      <c r="O603" s="15" t="s">
        <v>65</v>
      </c>
      <c r="P603" s="22" t="s">
        <v>2201</v>
      </c>
      <c r="Q603" s="15"/>
      <c r="R603" s="17" t="s">
        <v>74</v>
      </c>
      <c r="S603" s="18"/>
      <c r="T603" s="22" t="str">
        <f>IF(R603="維持",J603,IF(R603="排除","無關新聞事件",IFERROR(INDEX(事件規則!$B$2:$B$53,MATCH(S603,事件規則!$A$2:$A$53,0)),"")))</f>
        <v>無關新聞事件</v>
      </c>
      <c r="U603" s="9">
        <f>IF(R603="維持",K603,IF(R603="排除",0,IFERROR(INDEX(事件規則!$C$2:$C$53,MATCH(S603,事件規則!$A$2:$A$53,0)),"")))</f>
        <v>0</v>
      </c>
      <c r="V603" s="19"/>
      <c r="W603" s="20"/>
      <c r="X603" s="10" t="str">
        <f t="shared" si="9"/>
        <v/>
      </c>
      <c r="Y603" s="19"/>
      <c r="Z603" s="20"/>
      <c r="AA603" s="12" t="s">
        <v>2477</v>
      </c>
      <c r="AB603" s="23"/>
    </row>
    <row r="604" spans="1:28" ht="25.5">
      <c r="A604" s="15">
        <v>603</v>
      </c>
      <c r="B604" s="9" t="s">
        <v>516</v>
      </c>
      <c r="C604" s="9" t="s">
        <v>940</v>
      </c>
      <c r="D604" s="10" t="s">
        <v>1731</v>
      </c>
      <c r="E604" s="21" t="s">
        <v>2478</v>
      </c>
      <c r="F604" s="22" t="s">
        <v>2479</v>
      </c>
      <c r="G604" s="12" t="s">
        <v>2480</v>
      </c>
      <c r="H604" s="13">
        <v>8.0000000000000002E-3</v>
      </c>
      <c r="I604" s="14"/>
      <c r="J604" s="22"/>
      <c r="K604" s="9"/>
      <c r="L604" s="15" t="s">
        <v>1479</v>
      </c>
      <c r="M604" s="16" t="s">
        <v>130</v>
      </c>
      <c r="N604" s="14" t="s">
        <v>671</v>
      </c>
      <c r="O604" s="15" t="s">
        <v>65</v>
      </c>
      <c r="P604" s="10" t="s">
        <v>2481</v>
      </c>
      <c r="Q604" s="15"/>
      <c r="R604" s="17" t="s">
        <v>130</v>
      </c>
      <c r="S604" s="18" t="s">
        <v>671</v>
      </c>
      <c r="T604" s="22" t="str">
        <f>IF(R604="維持",J604,IF(R604="排除","無關新聞事件",IFERROR(INDEX(事件規則!$B$2:$B$53,MATCH(S604,事件規則!$A$2:$A$53,0)),"")))</f>
        <v>產品召回</v>
      </c>
      <c r="U604" s="9">
        <f>IF(R604="維持",K604,IF(R604="排除",0,IFERROR(INDEX(事件規則!$C$2:$C$53,MATCH(S604,事件規則!$A$2:$A$53,0)),"")))</f>
        <v>3</v>
      </c>
      <c r="V604" s="19"/>
      <c r="W604" s="20"/>
      <c r="X604" s="10" t="str">
        <f t="shared" si="9"/>
        <v/>
      </c>
      <c r="Y604" s="19"/>
      <c r="Z604" s="20"/>
      <c r="AA604" s="12" t="s">
        <v>2482</v>
      </c>
      <c r="AB604" s="23"/>
    </row>
    <row r="605" spans="1:28" ht="25.5">
      <c r="A605" s="15">
        <v>604</v>
      </c>
      <c r="B605" s="9" t="s">
        <v>516</v>
      </c>
      <c r="C605" s="15"/>
      <c r="D605" s="10" t="s">
        <v>1492</v>
      </c>
      <c r="E605" s="21" t="s">
        <v>2483</v>
      </c>
      <c r="F605" s="10" t="s">
        <v>2484</v>
      </c>
      <c r="G605" s="23" t="s">
        <v>1575</v>
      </c>
      <c r="H605" s="13">
        <v>3.3000000000000002E-2</v>
      </c>
      <c r="I605" s="14"/>
      <c r="J605" s="22"/>
      <c r="K605" s="9"/>
      <c r="L605" s="15" t="s">
        <v>1479</v>
      </c>
      <c r="M605" s="16" t="s">
        <v>74</v>
      </c>
      <c r="N605" s="14"/>
      <c r="O605" s="15" t="s">
        <v>65</v>
      </c>
      <c r="P605" s="22" t="s">
        <v>2201</v>
      </c>
      <c r="Q605" s="15"/>
      <c r="R605" s="17" t="s">
        <v>74</v>
      </c>
      <c r="S605" s="18"/>
      <c r="T605" s="22" t="str">
        <f>IF(R605="維持",J605,IF(R605="排除","無關新聞事件",IFERROR(INDEX(事件規則!$B$2:$B$53,MATCH(S605,事件規則!$A$2:$A$53,0)),"")))</f>
        <v>無關新聞事件</v>
      </c>
      <c r="U605" s="9">
        <f>IF(R605="維持",K605,IF(R605="排除",0,IFERROR(INDEX(事件規則!$C$2:$C$53,MATCH(S605,事件規則!$A$2:$A$53,0)),"")))</f>
        <v>0</v>
      </c>
      <c r="V605" s="19"/>
      <c r="W605" s="20"/>
      <c r="X605" s="10" t="str">
        <f t="shared" si="9"/>
        <v/>
      </c>
      <c r="Y605" s="19"/>
      <c r="Z605" s="20"/>
      <c r="AA605" s="12" t="s">
        <v>2485</v>
      </c>
      <c r="AB605" s="23"/>
    </row>
    <row r="606" spans="1:28" ht="25.5">
      <c r="A606" s="15">
        <v>605</v>
      </c>
      <c r="B606" s="9" t="s">
        <v>516</v>
      </c>
      <c r="C606" s="9" t="s">
        <v>1374</v>
      </c>
      <c r="D606" s="10" t="s">
        <v>1465</v>
      </c>
      <c r="E606" s="21" t="s">
        <v>2486</v>
      </c>
      <c r="F606" s="22" t="s">
        <v>2472</v>
      </c>
      <c r="G606" s="12" t="s">
        <v>299</v>
      </c>
      <c r="H606" s="13">
        <v>6.2E-2</v>
      </c>
      <c r="I606" s="14"/>
      <c r="J606" s="22"/>
      <c r="K606" s="9"/>
      <c r="L606" s="15" t="s">
        <v>1479</v>
      </c>
      <c r="M606" s="16" t="s">
        <v>74</v>
      </c>
      <c r="N606" s="14"/>
      <c r="O606" s="15" t="s">
        <v>65</v>
      </c>
      <c r="P606" s="22" t="s">
        <v>2201</v>
      </c>
      <c r="Q606" s="15"/>
      <c r="R606" s="17" t="s">
        <v>74</v>
      </c>
      <c r="S606" s="18"/>
      <c r="T606" s="22" t="str">
        <f>IF(R606="維持",J606,IF(R606="排除","無關新聞事件",IFERROR(INDEX(事件規則!$B$2:$B$53,MATCH(S606,事件規則!$A$2:$A$53,0)),"")))</f>
        <v>無關新聞事件</v>
      </c>
      <c r="U606" s="9">
        <f>IF(R606="維持",K606,IF(R606="排除",0,IFERROR(INDEX(事件規則!$C$2:$C$53,MATCH(S606,事件規則!$A$2:$A$53,0)),"")))</f>
        <v>0</v>
      </c>
      <c r="V606" s="19"/>
      <c r="W606" s="20"/>
      <c r="X606" s="10" t="str">
        <f t="shared" si="9"/>
        <v/>
      </c>
      <c r="Y606" s="19"/>
      <c r="Z606" s="20"/>
      <c r="AA606" s="12" t="s">
        <v>2487</v>
      </c>
      <c r="AB606" s="23"/>
    </row>
    <row r="607" spans="1:28" ht="25.5">
      <c r="A607" s="15">
        <v>606</v>
      </c>
      <c r="B607" s="9" t="s">
        <v>516</v>
      </c>
      <c r="C607" s="15"/>
      <c r="D607" s="10" t="s">
        <v>2488</v>
      </c>
      <c r="E607" s="21" t="s">
        <v>2489</v>
      </c>
      <c r="F607" s="22" t="s">
        <v>2261</v>
      </c>
      <c r="G607" s="12" t="s">
        <v>1568</v>
      </c>
      <c r="H607" s="13">
        <v>6.6000000000000003E-2</v>
      </c>
      <c r="I607" s="14"/>
      <c r="J607" s="22"/>
      <c r="K607" s="9"/>
      <c r="L607" s="15" t="s">
        <v>1479</v>
      </c>
      <c r="M607" s="16" t="s">
        <v>74</v>
      </c>
      <c r="N607" s="14"/>
      <c r="O607" s="15" t="s">
        <v>65</v>
      </c>
      <c r="P607" s="22" t="s">
        <v>2201</v>
      </c>
      <c r="Q607" s="15"/>
      <c r="R607" s="17" t="s">
        <v>74</v>
      </c>
      <c r="S607" s="18"/>
      <c r="T607" s="22" t="str">
        <f>IF(R607="維持",J607,IF(R607="排除","無關新聞事件",IFERROR(INDEX(事件規則!$B$2:$B$53,MATCH(S607,事件規則!$A$2:$A$53,0)),"")))</f>
        <v>無關新聞事件</v>
      </c>
      <c r="U607" s="9">
        <f>IF(R607="維持",K607,IF(R607="排除",0,IFERROR(INDEX(事件規則!$C$2:$C$53,MATCH(S607,事件規則!$A$2:$A$53,0)),"")))</f>
        <v>0</v>
      </c>
      <c r="V607" s="19"/>
      <c r="W607" s="20"/>
      <c r="X607" s="10" t="str">
        <f t="shared" si="9"/>
        <v/>
      </c>
      <c r="Y607" s="19"/>
      <c r="Z607" s="20"/>
      <c r="AA607" s="12" t="s">
        <v>2490</v>
      </c>
      <c r="AB607" s="23"/>
    </row>
    <row r="608" spans="1:28" ht="25.5">
      <c r="A608" s="15">
        <v>607</v>
      </c>
      <c r="B608" s="9" t="s">
        <v>516</v>
      </c>
      <c r="C608" s="15"/>
      <c r="D608" s="10" t="s">
        <v>696</v>
      </c>
      <c r="E608" s="11" t="s">
        <v>2491</v>
      </c>
      <c r="F608" s="22" t="s">
        <v>2492</v>
      </c>
      <c r="G608" s="23" t="s">
        <v>1575</v>
      </c>
      <c r="H608" s="13">
        <v>0.186</v>
      </c>
      <c r="I608" s="14"/>
      <c r="J608" s="22"/>
      <c r="K608" s="9"/>
      <c r="L608" s="15" t="s">
        <v>1479</v>
      </c>
      <c r="M608" s="16" t="s">
        <v>74</v>
      </c>
      <c r="N608" s="14"/>
      <c r="O608" s="15" t="s">
        <v>65</v>
      </c>
      <c r="P608" s="22" t="s">
        <v>2201</v>
      </c>
      <c r="Q608" s="15"/>
      <c r="R608" s="17" t="s">
        <v>74</v>
      </c>
      <c r="S608" s="18"/>
      <c r="T608" s="22" t="str">
        <f>IF(R608="維持",J608,IF(R608="排除","無關新聞事件",IFERROR(INDEX(事件規則!$B$2:$B$53,MATCH(S608,事件規則!$A$2:$A$53,0)),"")))</f>
        <v>無關新聞事件</v>
      </c>
      <c r="U608" s="9">
        <f>IF(R608="維持",K608,IF(R608="排除",0,IFERROR(INDEX(事件規則!$C$2:$C$53,MATCH(S608,事件規則!$A$2:$A$53,0)),"")))</f>
        <v>0</v>
      </c>
      <c r="V608" s="19"/>
      <c r="W608" s="20"/>
      <c r="X608" s="10" t="str">
        <f t="shared" si="9"/>
        <v/>
      </c>
      <c r="Y608" s="19"/>
      <c r="Z608" s="20"/>
      <c r="AA608" s="12" t="s">
        <v>2493</v>
      </c>
      <c r="AB608" s="23"/>
    </row>
    <row r="609" spans="1:28" ht="25.5">
      <c r="A609" s="15">
        <v>608</v>
      </c>
      <c r="B609" s="9" t="s">
        <v>516</v>
      </c>
      <c r="C609" s="9" t="s">
        <v>297</v>
      </c>
      <c r="D609" s="10" t="s">
        <v>1492</v>
      </c>
      <c r="E609" s="21" t="s">
        <v>2494</v>
      </c>
      <c r="F609" s="22" t="s">
        <v>2495</v>
      </c>
      <c r="G609" s="12" t="s">
        <v>1568</v>
      </c>
      <c r="H609" s="13">
        <v>0.83099999999999996</v>
      </c>
      <c r="I609" s="14"/>
      <c r="J609" s="22"/>
      <c r="K609" s="9"/>
      <c r="L609" s="15" t="s">
        <v>1479</v>
      </c>
      <c r="M609" s="16" t="s">
        <v>74</v>
      </c>
      <c r="N609" s="14"/>
      <c r="O609" s="15" t="s">
        <v>65</v>
      </c>
      <c r="P609" s="22" t="s">
        <v>2201</v>
      </c>
      <c r="Q609" s="15"/>
      <c r="R609" s="17" t="s">
        <v>74</v>
      </c>
      <c r="S609" s="18"/>
      <c r="T609" s="22" t="str">
        <f>IF(R609="維持",J609,IF(R609="排除","無關新聞事件",IFERROR(INDEX(事件規則!$B$2:$B$53,MATCH(S609,事件規則!$A$2:$A$53,0)),"")))</f>
        <v>無關新聞事件</v>
      </c>
      <c r="U609" s="9">
        <f>IF(R609="維持",K609,IF(R609="排除",0,IFERROR(INDEX(事件規則!$C$2:$C$53,MATCH(S609,事件規則!$A$2:$A$53,0)),"")))</f>
        <v>0</v>
      </c>
      <c r="V609" s="19"/>
      <c r="W609" s="20"/>
      <c r="X609" s="10" t="str">
        <f t="shared" si="9"/>
        <v/>
      </c>
      <c r="Y609" s="19"/>
      <c r="Z609" s="20"/>
      <c r="AA609" s="12" t="s">
        <v>2496</v>
      </c>
      <c r="AB609" s="23"/>
    </row>
    <row r="610" spans="1:28" ht="25.5">
      <c r="A610" s="15">
        <v>609</v>
      </c>
      <c r="B610" s="9" t="s">
        <v>516</v>
      </c>
      <c r="C610" s="9" t="s">
        <v>1305</v>
      </c>
      <c r="D610" s="10" t="s">
        <v>2497</v>
      </c>
      <c r="E610" s="21" t="s">
        <v>2498</v>
      </c>
      <c r="F610" s="22" t="s">
        <v>2499</v>
      </c>
      <c r="G610" s="12" t="s">
        <v>850</v>
      </c>
      <c r="H610" s="13">
        <v>0.85499999999999998</v>
      </c>
      <c r="I610" s="14"/>
      <c r="J610" s="22"/>
      <c r="K610" s="9"/>
      <c r="L610" s="15" t="s">
        <v>1479</v>
      </c>
      <c r="M610" s="16" t="s">
        <v>74</v>
      </c>
      <c r="N610" s="14"/>
      <c r="O610" s="15" t="s">
        <v>65</v>
      </c>
      <c r="P610" s="22" t="s">
        <v>2201</v>
      </c>
      <c r="Q610" s="15"/>
      <c r="R610" s="17" t="s">
        <v>74</v>
      </c>
      <c r="S610" s="18"/>
      <c r="T610" s="22" t="str">
        <f>IF(R610="維持",J610,IF(R610="排除","無關新聞事件",IFERROR(INDEX(事件規則!$B$2:$B$53,MATCH(S610,事件規則!$A$2:$A$53,0)),"")))</f>
        <v>無關新聞事件</v>
      </c>
      <c r="U610" s="9">
        <f>IF(R610="維持",K610,IF(R610="排除",0,IFERROR(INDEX(事件規則!$C$2:$C$53,MATCH(S610,事件規則!$A$2:$A$53,0)),"")))</f>
        <v>0</v>
      </c>
      <c r="V610" s="19"/>
      <c r="W610" s="20"/>
      <c r="X610" s="10" t="str">
        <f t="shared" si="9"/>
        <v/>
      </c>
      <c r="Y610" s="19"/>
      <c r="Z610" s="20"/>
      <c r="AA610" s="12" t="s">
        <v>2500</v>
      </c>
      <c r="AB610" s="23"/>
    </row>
    <row r="611" spans="1:28" ht="25.5">
      <c r="A611" s="15">
        <v>610</v>
      </c>
      <c r="B611" s="9" t="s">
        <v>516</v>
      </c>
      <c r="C611" s="9" t="s">
        <v>2501</v>
      </c>
      <c r="D611" s="10" t="s">
        <v>2502</v>
      </c>
      <c r="E611" s="11" t="s">
        <v>2503</v>
      </c>
      <c r="F611" s="22" t="s">
        <v>2504</v>
      </c>
      <c r="G611" s="23" t="s">
        <v>1575</v>
      </c>
      <c r="H611" s="13">
        <v>0.90300000000000002</v>
      </c>
      <c r="I611" s="14"/>
      <c r="J611" s="22"/>
      <c r="K611" s="9"/>
      <c r="L611" s="15" t="s">
        <v>1479</v>
      </c>
      <c r="M611" s="16" t="s">
        <v>74</v>
      </c>
      <c r="N611" s="14"/>
      <c r="O611" s="15" t="s">
        <v>65</v>
      </c>
      <c r="P611" s="22" t="s">
        <v>2201</v>
      </c>
      <c r="Q611" s="15"/>
      <c r="R611" s="17" t="s">
        <v>74</v>
      </c>
      <c r="S611" s="18"/>
      <c r="T611" s="22" t="str">
        <f>IF(R611="維持",J611,IF(R611="排除","無關新聞事件",IFERROR(INDEX(事件規則!$B$2:$B$53,MATCH(S611,事件規則!$A$2:$A$53,0)),"")))</f>
        <v>無關新聞事件</v>
      </c>
      <c r="U611" s="9">
        <f>IF(R611="維持",K611,IF(R611="排除",0,IFERROR(INDEX(事件規則!$C$2:$C$53,MATCH(S611,事件規則!$A$2:$A$53,0)),"")))</f>
        <v>0</v>
      </c>
      <c r="V611" s="19"/>
      <c r="W611" s="20"/>
      <c r="X611" s="10" t="str">
        <f t="shared" si="9"/>
        <v/>
      </c>
      <c r="Y611" s="19"/>
      <c r="Z611" s="20"/>
      <c r="AA611" s="12" t="s">
        <v>2505</v>
      </c>
      <c r="AB611" s="23"/>
    </row>
    <row r="612" spans="1:28" ht="38.25">
      <c r="A612" s="15">
        <v>611</v>
      </c>
      <c r="B612" s="9" t="s">
        <v>516</v>
      </c>
      <c r="C612" s="9" t="s">
        <v>1305</v>
      </c>
      <c r="D612" s="10" t="s">
        <v>2497</v>
      </c>
      <c r="E612" s="21" t="s">
        <v>2506</v>
      </c>
      <c r="F612" s="22" t="s">
        <v>2507</v>
      </c>
      <c r="G612" s="12" t="s">
        <v>1568</v>
      </c>
      <c r="H612" s="13">
        <v>0.90800000000000003</v>
      </c>
      <c r="I612" s="14"/>
      <c r="J612" s="22"/>
      <c r="K612" s="9"/>
      <c r="L612" s="15" t="s">
        <v>1479</v>
      </c>
      <c r="M612" s="16" t="s">
        <v>74</v>
      </c>
      <c r="N612" s="14"/>
      <c r="O612" s="15" t="s">
        <v>65</v>
      </c>
      <c r="P612" s="22" t="s">
        <v>2201</v>
      </c>
      <c r="Q612" s="15"/>
      <c r="R612" s="17" t="s">
        <v>74</v>
      </c>
      <c r="S612" s="18"/>
      <c r="T612" s="22" t="str">
        <f>IF(R612="維持",J612,IF(R612="排除","無關新聞事件",IFERROR(INDEX(事件規則!$B$2:$B$53,MATCH(S612,事件規則!$A$2:$A$53,0)),"")))</f>
        <v>無關新聞事件</v>
      </c>
      <c r="U612" s="9">
        <f>IF(R612="維持",K612,IF(R612="排除",0,IFERROR(INDEX(事件規則!$C$2:$C$53,MATCH(S612,事件規則!$A$2:$A$53,0)),"")))</f>
        <v>0</v>
      </c>
      <c r="V612" s="19"/>
      <c r="W612" s="20"/>
      <c r="X612" s="10" t="str">
        <f t="shared" si="9"/>
        <v/>
      </c>
      <c r="Y612" s="19"/>
      <c r="Z612" s="20"/>
      <c r="AA612" s="12" t="s">
        <v>2508</v>
      </c>
      <c r="AB612" s="23"/>
    </row>
    <row r="613" spans="1:28" ht="25.5">
      <c r="A613" s="15">
        <v>612</v>
      </c>
      <c r="B613" s="9" t="s">
        <v>68</v>
      </c>
      <c r="C613" s="9" t="s">
        <v>2509</v>
      </c>
      <c r="D613" s="10" t="s">
        <v>2510</v>
      </c>
      <c r="E613" s="21" t="s">
        <v>2511</v>
      </c>
      <c r="F613" s="22" t="s">
        <v>2512</v>
      </c>
      <c r="G613" s="12" t="s">
        <v>2513</v>
      </c>
      <c r="H613" s="13">
        <v>-0.96199999999999997</v>
      </c>
      <c r="I613" s="14"/>
      <c r="J613" s="22"/>
      <c r="K613" s="9"/>
      <c r="L613" s="15" t="s">
        <v>1479</v>
      </c>
      <c r="M613" s="16" t="s">
        <v>74</v>
      </c>
      <c r="N613" s="14"/>
      <c r="O613" s="15" t="s">
        <v>65</v>
      </c>
      <c r="P613" s="22" t="s">
        <v>2201</v>
      </c>
      <c r="Q613" s="15"/>
      <c r="R613" s="17" t="s">
        <v>74</v>
      </c>
      <c r="S613" s="18"/>
      <c r="T613" s="22" t="str">
        <f>IF(R613="維持",J613,IF(R613="排除","無關新聞事件",IFERROR(INDEX(事件規則!$B$2:$B$53,MATCH(S613,事件規則!$A$2:$A$53,0)),"")))</f>
        <v>無關新聞事件</v>
      </c>
      <c r="U613" s="9">
        <f>IF(R613="維持",K613,IF(R613="排除",0,IFERROR(INDEX(事件規則!$C$2:$C$53,MATCH(S613,事件規則!$A$2:$A$53,0)),"")))</f>
        <v>0</v>
      </c>
      <c r="V613" s="19"/>
      <c r="W613" s="20"/>
      <c r="X613" s="10" t="str">
        <f t="shared" si="9"/>
        <v/>
      </c>
      <c r="Y613" s="19"/>
      <c r="Z613" s="20"/>
      <c r="AA613" s="12" t="s">
        <v>2514</v>
      </c>
      <c r="AB613" s="23"/>
    </row>
    <row r="614" spans="1:28" ht="25.5">
      <c r="A614" s="15">
        <v>613</v>
      </c>
      <c r="B614" s="9" t="s">
        <v>68</v>
      </c>
      <c r="C614" s="9" t="s">
        <v>987</v>
      </c>
      <c r="D614" s="10" t="s">
        <v>988</v>
      </c>
      <c r="E614" s="21" t="s">
        <v>2515</v>
      </c>
      <c r="F614" s="22" t="s">
        <v>2516</v>
      </c>
      <c r="G614" s="12" t="s">
        <v>2517</v>
      </c>
      <c r="H614" s="13">
        <v>-0.83299999999999996</v>
      </c>
      <c r="I614" s="14"/>
      <c r="J614" s="22"/>
      <c r="K614" s="9"/>
      <c r="L614" s="15" t="s">
        <v>1479</v>
      </c>
      <c r="M614" s="16" t="s">
        <v>74</v>
      </c>
      <c r="N614" s="14"/>
      <c r="O614" s="15" t="s">
        <v>65</v>
      </c>
      <c r="P614" s="22" t="s">
        <v>2201</v>
      </c>
      <c r="Q614" s="15"/>
      <c r="R614" s="17" t="s">
        <v>74</v>
      </c>
      <c r="S614" s="18"/>
      <c r="T614" s="22" t="str">
        <f>IF(R614="維持",J614,IF(R614="排除","無關新聞事件",IFERROR(INDEX(事件規則!$B$2:$B$53,MATCH(S614,事件規則!$A$2:$A$53,0)),"")))</f>
        <v>無關新聞事件</v>
      </c>
      <c r="U614" s="9">
        <f>IF(R614="維持",K614,IF(R614="排除",0,IFERROR(INDEX(事件規則!$C$2:$C$53,MATCH(S614,事件規則!$A$2:$A$53,0)),"")))</f>
        <v>0</v>
      </c>
      <c r="V614" s="19"/>
      <c r="W614" s="20"/>
      <c r="X614" s="10" t="str">
        <f t="shared" si="9"/>
        <v/>
      </c>
      <c r="Y614" s="19"/>
      <c r="Z614" s="20"/>
      <c r="AA614" s="12" t="s">
        <v>2518</v>
      </c>
      <c r="AB614" s="23"/>
    </row>
    <row r="615" spans="1:28" ht="25.5">
      <c r="A615" s="15">
        <v>614</v>
      </c>
      <c r="B615" s="9" t="s">
        <v>68</v>
      </c>
      <c r="C615" s="15"/>
      <c r="D615" s="10" t="s">
        <v>696</v>
      </c>
      <c r="E615" s="11" t="s">
        <v>2519</v>
      </c>
      <c r="F615" s="22" t="s">
        <v>2519</v>
      </c>
      <c r="G615" s="23" t="s">
        <v>1575</v>
      </c>
      <c r="H615" s="13">
        <v>-0.82099999999999995</v>
      </c>
      <c r="I615" s="14"/>
      <c r="J615" s="22"/>
      <c r="K615" s="9"/>
      <c r="L615" s="15" t="s">
        <v>1479</v>
      </c>
      <c r="M615" s="16" t="s">
        <v>74</v>
      </c>
      <c r="N615" s="14"/>
      <c r="O615" s="15" t="s">
        <v>65</v>
      </c>
      <c r="P615" s="22" t="s">
        <v>2201</v>
      </c>
      <c r="Q615" s="15"/>
      <c r="R615" s="17" t="s">
        <v>74</v>
      </c>
      <c r="S615" s="18"/>
      <c r="T615" s="22" t="str">
        <f>IF(R615="維持",J615,IF(R615="排除","無關新聞事件",IFERROR(INDEX(事件規則!$B$2:$B$53,MATCH(S615,事件規則!$A$2:$A$53,0)),"")))</f>
        <v>無關新聞事件</v>
      </c>
      <c r="U615" s="9">
        <f>IF(R615="維持",K615,IF(R615="排除",0,IFERROR(INDEX(事件規則!$C$2:$C$53,MATCH(S615,事件規則!$A$2:$A$53,0)),"")))</f>
        <v>0</v>
      </c>
      <c r="V615" s="19"/>
      <c r="W615" s="20"/>
      <c r="X615" s="10" t="str">
        <f t="shared" si="9"/>
        <v/>
      </c>
      <c r="Y615" s="19"/>
      <c r="Z615" s="20"/>
      <c r="AA615" s="12" t="s">
        <v>2520</v>
      </c>
      <c r="AB615" s="23"/>
    </row>
    <row r="616" spans="1:28" ht="38.25">
      <c r="A616" s="15">
        <v>615</v>
      </c>
      <c r="B616" s="9" t="s">
        <v>68</v>
      </c>
      <c r="C616" s="9" t="s">
        <v>859</v>
      </c>
      <c r="D616" s="10" t="s">
        <v>2521</v>
      </c>
      <c r="E616" s="21" t="s">
        <v>2522</v>
      </c>
      <c r="F616" s="22" t="s">
        <v>2523</v>
      </c>
      <c r="G616" s="12" t="s">
        <v>2524</v>
      </c>
      <c r="H616" s="13">
        <v>-0.56699999999999995</v>
      </c>
      <c r="I616" s="14"/>
      <c r="J616" s="22"/>
      <c r="K616" s="9"/>
      <c r="L616" s="15" t="s">
        <v>1479</v>
      </c>
      <c r="M616" s="16" t="s">
        <v>74</v>
      </c>
      <c r="N616" s="14"/>
      <c r="O616" s="15" t="s">
        <v>65</v>
      </c>
      <c r="P616" s="22" t="s">
        <v>2201</v>
      </c>
      <c r="Q616" s="15"/>
      <c r="R616" s="17" t="s">
        <v>74</v>
      </c>
      <c r="S616" s="18"/>
      <c r="T616" s="22" t="str">
        <f>IF(R616="維持",J616,IF(R616="排除","無關新聞事件",IFERROR(INDEX(事件規則!$B$2:$B$53,MATCH(S616,事件規則!$A$2:$A$53,0)),"")))</f>
        <v>無關新聞事件</v>
      </c>
      <c r="U616" s="9">
        <f>IF(R616="維持",K616,IF(R616="排除",0,IFERROR(INDEX(事件規則!$C$2:$C$53,MATCH(S616,事件規則!$A$2:$A$53,0)),"")))</f>
        <v>0</v>
      </c>
      <c r="V616" s="19"/>
      <c r="W616" s="20"/>
      <c r="X616" s="10" t="str">
        <f t="shared" si="9"/>
        <v/>
      </c>
      <c r="Y616" s="19"/>
      <c r="Z616" s="20"/>
      <c r="AA616" s="12" t="s">
        <v>2525</v>
      </c>
      <c r="AB616" s="23"/>
    </row>
    <row r="617" spans="1:28" ht="25.5">
      <c r="A617" s="15">
        <v>616</v>
      </c>
      <c r="B617" s="9" t="s">
        <v>68</v>
      </c>
      <c r="C617" s="9" t="s">
        <v>987</v>
      </c>
      <c r="D617" s="10" t="s">
        <v>988</v>
      </c>
      <c r="E617" s="21" t="s">
        <v>2526</v>
      </c>
      <c r="F617" s="22" t="s">
        <v>2499</v>
      </c>
      <c r="G617" s="12" t="s">
        <v>850</v>
      </c>
      <c r="H617" s="13">
        <v>-1.2999999999999999E-2</v>
      </c>
      <c r="I617" s="14"/>
      <c r="J617" s="22"/>
      <c r="K617" s="9"/>
      <c r="L617" s="15" t="s">
        <v>1479</v>
      </c>
      <c r="M617" s="16" t="s">
        <v>74</v>
      </c>
      <c r="N617" s="14"/>
      <c r="O617" s="15" t="s">
        <v>65</v>
      </c>
      <c r="P617" s="22" t="s">
        <v>2201</v>
      </c>
      <c r="Q617" s="15"/>
      <c r="R617" s="17" t="s">
        <v>74</v>
      </c>
      <c r="S617" s="18"/>
      <c r="T617" s="22" t="str">
        <f>IF(R617="維持",J617,IF(R617="排除","無關新聞事件",IFERROR(INDEX(事件規則!$B$2:$B$53,MATCH(S617,事件規則!$A$2:$A$53,0)),"")))</f>
        <v>無關新聞事件</v>
      </c>
      <c r="U617" s="9">
        <f>IF(R617="維持",K617,IF(R617="排除",0,IFERROR(INDEX(事件規則!$C$2:$C$53,MATCH(S617,事件規則!$A$2:$A$53,0)),"")))</f>
        <v>0</v>
      </c>
      <c r="V617" s="19"/>
      <c r="W617" s="20"/>
      <c r="X617" s="10" t="str">
        <f t="shared" si="9"/>
        <v/>
      </c>
      <c r="Y617" s="19"/>
      <c r="Z617" s="20"/>
      <c r="AA617" s="12" t="s">
        <v>2527</v>
      </c>
      <c r="AB617" s="23"/>
    </row>
    <row r="618" spans="1:28" ht="25.5">
      <c r="A618" s="15">
        <v>617</v>
      </c>
      <c r="B618" s="9" t="s">
        <v>68</v>
      </c>
      <c r="C618" s="9" t="s">
        <v>1305</v>
      </c>
      <c r="D618" s="10" t="s">
        <v>2497</v>
      </c>
      <c r="E618" s="21" t="s">
        <v>2528</v>
      </c>
      <c r="F618" s="22" t="s">
        <v>2529</v>
      </c>
      <c r="G618" s="12" t="s">
        <v>252</v>
      </c>
      <c r="H618" s="13">
        <v>0.92200000000000004</v>
      </c>
      <c r="I618" s="14"/>
      <c r="J618" s="22"/>
      <c r="K618" s="9"/>
      <c r="L618" s="15" t="s">
        <v>1479</v>
      </c>
      <c r="M618" s="16" t="s">
        <v>74</v>
      </c>
      <c r="N618" s="14"/>
      <c r="O618" s="15" t="s">
        <v>65</v>
      </c>
      <c r="P618" s="22" t="s">
        <v>2201</v>
      </c>
      <c r="Q618" s="15"/>
      <c r="R618" s="17" t="s">
        <v>74</v>
      </c>
      <c r="S618" s="18"/>
      <c r="T618" s="22" t="str">
        <f>IF(R618="維持",J618,IF(R618="排除","無關新聞事件",IFERROR(INDEX(事件規則!$B$2:$B$53,MATCH(S618,事件規則!$A$2:$A$53,0)),"")))</f>
        <v>無關新聞事件</v>
      </c>
      <c r="U618" s="9">
        <f>IF(R618="維持",K618,IF(R618="排除",0,IFERROR(INDEX(事件規則!$C$2:$C$53,MATCH(S618,事件規則!$A$2:$A$53,0)),"")))</f>
        <v>0</v>
      </c>
      <c r="V618" s="19"/>
      <c r="W618" s="20"/>
      <c r="X618" s="10" t="str">
        <f t="shared" si="9"/>
        <v/>
      </c>
      <c r="Y618" s="19"/>
      <c r="Z618" s="20"/>
      <c r="AA618" s="12" t="s">
        <v>2530</v>
      </c>
      <c r="AB618" s="23"/>
    </row>
    <row r="619" spans="1:28" ht="25.5">
      <c r="A619" s="15">
        <v>618</v>
      </c>
      <c r="B619" s="9" t="s">
        <v>68</v>
      </c>
      <c r="C619" s="9" t="s">
        <v>631</v>
      </c>
      <c r="D619" s="10" t="s">
        <v>2531</v>
      </c>
      <c r="E619" s="21" t="s">
        <v>2532</v>
      </c>
      <c r="F619" s="22" t="s">
        <v>2533</v>
      </c>
      <c r="G619" s="12" t="s">
        <v>2534</v>
      </c>
      <c r="H619" s="13">
        <v>-0.96899999999999997</v>
      </c>
      <c r="I619" s="14"/>
      <c r="J619" s="22"/>
      <c r="K619" s="9"/>
      <c r="L619" s="15" t="s">
        <v>1479</v>
      </c>
      <c r="M619" s="16" t="s">
        <v>130</v>
      </c>
      <c r="N619" s="14" t="s">
        <v>548</v>
      </c>
      <c r="O619" s="15" t="s">
        <v>65</v>
      </c>
      <c r="P619" s="10" t="s">
        <v>2535</v>
      </c>
      <c r="Q619" s="15"/>
      <c r="R619" s="17" t="s">
        <v>130</v>
      </c>
      <c r="S619" s="18" t="s">
        <v>548</v>
      </c>
      <c r="T619" s="22" t="str">
        <f>IF(R619="維持",J619,IF(R619="排除","無關新聞事件",IFERROR(INDEX(事件規則!$B$2:$B$53,MATCH(S619,事件規則!$A$2:$A$53,0)),"")))</f>
        <v>營運惡化</v>
      </c>
      <c r="U619" s="9">
        <f>IF(R619="維持",K619,IF(R619="排除",0,IFERROR(INDEX(事件規則!$C$2:$C$53,MATCH(S619,事件規則!$A$2:$A$53,0)),"")))</f>
        <v>3</v>
      </c>
      <c r="V619" s="19"/>
      <c r="W619" s="20"/>
      <c r="X619" s="10" t="str">
        <f t="shared" si="9"/>
        <v/>
      </c>
      <c r="Y619" s="19"/>
      <c r="Z619" s="20"/>
      <c r="AA619" s="12" t="s">
        <v>2536</v>
      </c>
      <c r="AB619" s="23"/>
    </row>
    <row r="620" spans="1:28" ht="25.5">
      <c r="A620" s="15">
        <v>619</v>
      </c>
      <c r="B620" s="9" t="s">
        <v>68</v>
      </c>
      <c r="C620" s="9" t="s">
        <v>69</v>
      </c>
      <c r="D620" s="10" t="s">
        <v>70</v>
      </c>
      <c r="E620" s="21" t="s">
        <v>2537</v>
      </c>
      <c r="F620" s="22" t="s">
        <v>2538</v>
      </c>
      <c r="G620" s="12" t="s">
        <v>2539</v>
      </c>
      <c r="H620" s="13">
        <v>-0.96299999999999997</v>
      </c>
      <c r="I620" s="14"/>
      <c r="J620" s="22"/>
      <c r="K620" s="9"/>
      <c r="L620" s="15" t="s">
        <v>1479</v>
      </c>
      <c r="M620" s="16" t="s">
        <v>74</v>
      </c>
      <c r="N620" s="14"/>
      <c r="O620" s="15" t="s">
        <v>65</v>
      </c>
      <c r="P620" s="22" t="s">
        <v>2201</v>
      </c>
      <c r="Q620" s="15"/>
      <c r="R620" s="17" t="s">
        <v>74</v>
      </c>
      <c r="S620" s="18"/>
      <c r="T620" s="22" t="str">
        <f>IF(R620="維持",J620,IF(R620="排除","無關新聞事件",IFERROR(INDEX(事件規則!$B$2:$B$53,MATCH(S620,事件規則!$A$2:$A$53,0)),"")))</f>
        <v>無關新聞事件</v>
      </c>
      <c r="U620" s="9">
        <f>IF(R620="維持",K620,IF(R620="排除",0,IFERROR(INDEX(事件規則!$C$2:$C$53,MATCH(S620,事件規則!$A$2:$A$53,0)),"")))</f>
        <v>0</v>
      </c>
      <c r="V620" s="19"/>
      <c r="W620" s="20"/>
      <c r="X620" s="10" t="str">
        <f t="shared" si="9"/>
        <v/>
      </c>
      <c r="Y620" s="19"/>
      <c r="Z620" s="20"/>
      <c r="AA620" s="12" t="s">
        <v>2540</v>
      </c>
      <c r="AB620" s="23"/>
    </row>
    <row r="621" spans="1:28" ht="38.25">
      <c r="A621" s="15">
        <v>620</v>
      </c>
      <c r="B621" s="9" t="s">
        <v>68</v>
      </c>
      <c r="C621" s="9" t="s">
        <v>1374</v>
      </c>
      <c r="D621" s="10" t="s">
        <v>1465</v>
      </c>
      <c r="E621" s="21" t="s">
        <v>2541</v>
      </c>
      <c r="F621" s="22" t="s">
        <v>2542</v>
      </c>
      <c r="G621" s="12" t="s">
        <v>2543</v>
      </c>
      <c r="H621" s="13">
        <v>-0.95899999999999996</v>
      </c>
      <c r="I621" s="14"/>
      <c r="J621" s="22"/>
      <c r="K621" s="9"/>
      <c r="L621" s="15" t="s">
        <v>1479</v>
      </c>
      <c r="M621" s="16" t="s">
        <v>74</v>
      </c>
      <c r="N621" s="14"/>
      <c r="O621" s="15" t="s">
        <v>65</v>
      </c>
      <c r="P621" s="22" t="s">
        <v>2201</v>
      </c>
      <c r="Q621" s="15"/>
      <c r="R621" s="17" t="s">
        <v>74</v>
      </c>
      <c r="S621" s="18"/>
      <c r="T621" s="22" t="str">
        <f>IF(R621="維持",J621,IF(R621="排除","無關新聞事件",IFERROR(INDEX(事件規則!$B$2:$B$53,MATCH(S621,事件規則!$A$2:$A$53,0)),"")))</f>
        <v>無關新聞事件</v>
      </c>
      <c r="U621" s="9">
        <f>IF(R621="維持",K621,IF(R621="排除",0,IFERROR(INDEX(事件規則!$C$2:$C$53,MATCH(S621,事件規則!$A$2:$A$53,0)),"")))</f>
        <v>0</v>
      </c>
      <c r="V621" s="19"/>
      <c r="W621" s="20"/>
      <c r="X621" s="10" t="str">
        <f t="shared" si="9"/>
        <v/>
      </c>
      <c r="Y621" s="19"/>
      <c r="Z621" s="20"/>
      <c r="AA621" s="12" t="s">
        <v>2544</v>
      </c>
      <c r="AB621" s="23"/>
    </row>
    <row r="622" spans="1:28" ht="25.5">
      <c r="A622" s="15">
        <v>621</v>
      </c>
      <c r="B622" s="9" t="s">
        <v>68</v>
      </c>
      <c r="C622" s="15"/>
      <c r="D622" s="10" t="s">
        <v>696</v>
      </c>
      <c r="E622" s="11" t="s">
        <v>2545</v>
      </c>
      <c r="F622" s="22" t="s">
        <v>2546</v>
      </c>
      <c r="G622" s="12" t="s">
        <v>64</v>
      </c>
      <c r="H622" s="13">
        <v>-0.95899999999999996</v>
      </c>
      <c r="I622" s="14"/>
      <c r="J622" s="22"/>
      <c r="K622" s="9"/>
      <c r="L622" s="15" t="s">
        <v>1479</v>
      </c>
      <c r="M622" s="16" t="s">
        <v>130</v>
      </c>
      <c r="N622" s="14" t="s">
        <v>131</v>
      </c>
      <c r="O622" s="15" t="s">
        <v>211</v>
      </c>
      <c r="P622" s="22" t="s">
        <v>2547</v>
      </c>
      <c r="Q622" s="15" t="s">
        <v>213</v>
      </c>
      <c r="R622" s="17" t="s">
        <v>130</v>
      </c>
      <c r="S622" s="18" t="s">
        <v>131</v>
      </c>
      <c r="T622" s="22" t="str">
        <f>IF(R622="維持",J622,IF(R622="排除","無關新聞事件",IFERROR(INDEX(事件規則!$B$2:$B$53,MATCH(S622,事件規則!$A$2:$A$53,0)),"")))</f>
        <v>重大產品瑕疵</v>
      </c>
      <c r="U622" s="9">
        <f>IF(R622="維持",K622,IF(R622="排除",0,IFERROR(INDEX(事件規則!$C$2:$C$53,MATCH(S622,事件規則!$A$2:$A$53,0)),"")))</f>
        <v>3</v>
      </c>
      <c r="V622" s="19"/>
      <c r="W622" s="20" t="s">
        <v>695</v>
      </c>
      <c r="X622" s="10" t="str">
        <f t="shared" si="9"/>
        <v/>
      </c>
      <c r="Y622" s="19"/>
      <c r="Z622" s="20"/>
      <c r="AA622" s="12" t="s">
        <v>2548</v>
      </c>
      <c r="AB622" s="23"/>
    </row>
    <row r="623" spans="1:28" ht="25.5">
      <c r="A623" s="15">
        <v>622</v>
      </c>
      <c r="B623" s="9" t="s">
        <v>68</v>
      </c>
      <c r="C623" s="9" t="s">
        <v>347</v>
      </c>
      <c r="D623" s="10" t="s">
        <v>348</v>
      </c>
      <c r="E623" s="21" t="s">
        <v>2549</v>
      </c>
      <c r="F623" s="22" t="s">
        <v>2550</v>
      </c>
      <c r="G623" s="12" t="s">
        <v>2551</v>
      </c>
      <c r="H623" s="13">
        <v>-0.90200000000000002</v>
      </c>
      <c r="I623" s="14"/>
      <c r="J623" s="22"/>
      <c r="K623" s="9"/>
      <c r="L623" s="15" t="s">
        <v>1479</v>
      </c>
      <c r="M623" s="16" t="s">
        <v>74</v>
      </c>
      <c r="N623" s="14"/>
      <c r="O623" s="15" t="s">
        <v>65</v>
      </c>
      <c r="P623" s="22" t="s">
        <v>2201</v>
      </c>
      <c r="Q623" s="15"/>
      <c r="R623" s="17" t="s">
        <v>74</v>
      </c>
      <c r="S623" s="18"/>
      <c r="T623" s="22" t="str">
        <f>IF(R623="維持",J623,IF(R623="排除","無關新聞事件",IFERROR(INDEX(事件規則!$B$2:$B$53,MATCH(S623,事件規則!$A$2:$A$53,0)),"")))</f>
        <v>無關新聞事件</v>
      </c>
      <c r="U623" s="9">
        <f>IF(R623="維持",K623,IF(R623="排除",0,IFERROR(INDEX(事件規則!$C$2:$C$53,MATCH(S623,事件規則!$A$2:$A$53,0)),"")))</f>
        <v>0</v>
      </c>
      <c r="V623" s="19"/>
      <c r="W623" s="20"/>
      <c r="X623" s="10" t="str">
        <f t="shared" si="9"/>
        <v/>
      </c>
      <c r="Y623" s="19"/>
      <c r="Z623" s="20"/>
      <c r="AA623" s="12" t="s">
        <v>2552</v>
      </c>
      <c r="AB623" s="23"/>
    </row>
    <row r="624" spans="1:28" ht="38.25">
      <c r="A624" s="15">
        <v>623</v>
      </c>
      <c r="B624" s="9" t="s">
        <v>68</v>
      </c>
      <c r="C624" s="9" t="s">
        <v>2553</v>
      </c>
      <c r="D624" s="10" t="s">
        <v>2554</v>
      </c>
      <c r="E624" s="21" t="s">
        <v>2555</v>
      </c>
      <c r="F624" s="22" t="s">
        <v>2556</v>
      </c>
      <c r="G624" s="12" t="s">
        <v>2557</v>
      </c>
      <c r="H624" s="13">
        <v>-0.90100000000000002</v>
      </c>
      <c r="I624" s="14"/>
      <c r="J624" s="22"/>
      <c r="K624" s="9"/>
      <c r="L624" s="15" t="s">
        <v>1479</v>
      </c>
      <c r="M624" s="16" t="s">
        <v>74</v>
      </c>
      <c r="N624" s="14"/>
      <c r="O624" s="15" t="s">
        <v>65</v>
      </c>
      <c r="P624" s="22" t="s">
        <v>2201</v>
      </c>
      <c r="Q624" s="15"/>
      <c r="R624" s="17" t="s">
        <v>74</v>
      </c>
      <c r="S624" s="18"/>
      <c r="T624" s="22" t="str">
        <f>IF(R624="維持",J624,IF(R624="排除","無關新聞事件",IFERROR(INDEX(事件規則!$B$2:$B$53,MATCH(S624,事件規則!$A$2:$A$53,0)),"")))</f>
        <v>無關新聞事件</v>
      </c>
      <c r="U624" s="9">
        <f>IF(R624="維持",K624,IF(R624="排除",0,IFERROR(INDEX(事件規則!$C$2:$C$53,MATCH(S624,事件規則!$A$2:$A$53,0)),"")))</f>
        <v>0</v>
      </c>
      <c r="V624" s="19"/>
      <c r="W624" s="20"/>
      <c r="X624" s="10" t="str">
        <f t="shared" si="9"/>
        <v/>
      </c>
      <c r="Y624" s="19"/>
      <c r="Z624" s="20"/>
      <c r="AA624" s="12" t="s">
        <v>2558</v>
      </c>
      <c r="AB624" s="23"/>
    </row>
    <row r="625" spans="1:28" ht="25.5">
      <c r="A625" s="15">
        <v>624</v>
      </c>
      <c r="B625" s="9" t="s">
        <v>68</v>
      </c>
      <c r="C625" s="9" t="s">
        <v>2553</v>
      </c>
      <c r="D625" s="10" t="s">
        <v>2554</v>
      </c>
      <c r="E625" s="21" t="s">
        <v>2559</v>
      </c>
      <c r="F625" s="22" t="s">
        <v>2560</v>
      </c>
      <c r="G625" s="12" t="s">
        <v>2561</v>
      </c>
      <c r="H625" s="13">
        <v>-0.88800000000000001</v>
      </c>
      <c r="I625" s="14"/>
      <c r="J625" s="22"/>
      <c r="K625" s="9"/>
      <c r="L625" s="15" t="s">
        <v>1479</v>
      </c>
      <c r="M625" s="16" t="s">
        <v>74</v>
      </c>
      <c r="N625" s="14"/>
      <c r="O625" s="15" t="s">
        <v>65</v>
      </c>
      <c r="P625" s="22" t="s">
        <v>2201</v>
      </c>
      <c r="Q625" s="15"/>
      <c r="R625" s="17" t="s">
        <v>74</v>
      </c>
      <c r="S625" s="18"/>
      <c r="T625" s="22" t="str">
        <f>IF(R625="維持",J625,IF(R625="排除","無關新聞事件",IFERROR(INDEX(事件規則!$B$2:$B$53,MATCH(S625,事件規則!$A$2:$A$53,0)),"")))</f>
        <v>無關新聞事件</v>
      </c>
      <c r="U625" s="9">
        <f>IF(R625="維持",K625,IF(R625="排除",0,IFERROR(INDEX(事件規則!$C$2:$C$53,MATCH(S625,事件規則!$A$2:$A$53,0)),"")))</f>
        <v>0</v>
      </c>
      <c r="V625" s="19"/>
      <c r="W625" s="20"/>
      <c r="X625" s="10" t="str">
        <f t="shared" si="9"/>
        <v/>
      </c>
      <c r="Y625" s="19"/>
      <c r="Z625" s="20"/>
      <c r="AA625" s="12" t="s">
        <v>2562</v>
      </c>
      <c r="AB625" s="23"/>
    </row>
    <row r="626" spans="1:28" ht="25.5">
      <c r="A626" s="15">
        <v>625</v>
      </c>
      <c r="B626" s="9" t="s">
        <v>68</v>
      </c>
      <c r="C626" s="9" t="s">
        <v>78</v>
      </c>
      <c r="D626" s="10" t="s">
        <v>2563</v>
      </c>
      <c r="E626" s="21" t="s">
        <v>2564</v>
      </c>
      <c r="F626" s="22" t="s">
        <v>2565</v>
      </c>
      <c r="G626" s="12" t="s">
        <v>1444</v>
      </c>
      <c r="H626" s="13">
        <v>-0.873</v>
      </c>
      <c r="I626" s="14"/>
      <c r="J626" s="22"/>
      <c r="K626" s="9"/>
      <c r="L626" s="15" t="s">
        <v>1479</v>
      </c>
      <c r="M626" s="16" t="s">
        <v>74</v>
      </c>
      <c r="N626" s="14"/>
      <c r="O626" s="15" t="s">
        <v>65</v>
      </c>
      <c r="P626" s="22" t="s">
        <v>2201</v>
      </c>
      <c r="Q626" s="15"/>
      <c r="R626" s="17" t="s">
        <v>74</v>
      </c>
      <c r="S626" s="18"/>
      <c r="T626" s="22" t="str">
        <f>IF(R626="維持",J626,IF(R626="排除","無關新聞事件",IFERROR(INDEX(事件規則!$B$2:$B$53,MATCH(S626,事件規則!$A$2:$A$53,0)),"")))</f>
        <v>無關新聞事件</v>
      </c>
      <c r="U626" s="9">
        <f>IF(R626="維持",K626,IF(R626="排除",0,IFERROR(INDEX(事件規則!$C$2:$C$53,MATCH(S626,事件規則!$A$2:$A$53,0)),"")))</f>
        <v>0</v>
      </c>
      <c r="V626" s="19"/>
      <c r="W626" s="20"/>
      <c r="X626" s="10" t="str">
        <f t="shared" si="9"/>
        <v/>
      </c>
      <c r="Y626" s="19"/>
      <c r="Z626" s="20"/>
      <c r="AA626" s="12" t="s">
        <v>2566</v>
      </c>
      <c r="AB626" s="23"/>
    </row>
    <row r="627" spans="1:28" ht="25.5">
      <c r="A627" s="15">
        <v>626</v>
      </c>
      <c r="B627" s="9" t="s">
        <v>68</v>
      </c>
      <c r="C627" s="9" t="s">
        <v>1208</v>
      </c>
      <c r="D627" s="10" t="s">
        <v>1784</v>
      </c>
      <c r="E627" s="11" t="s">
        <v>2567</v>
      </c>
      <c r="F627" s="22" t="s">
        <v>2568</v>
      </c>
      <c r="G627" s="23" t="s">
        <v>110</v>
      </c>
      <c r="H627" s="13">
        <v>-0.63500000000000001</v>
      </c>
      <c r="I627" s="14"/>
      <c r="J627" s="22"/>
      <c r="K627" s="9"/>
      <c r="L627" s="15" t="s">
        <v>1479</v>
      </c>
      <c r="M627" s="16" t="s">
        <v>74</v>
      </c>
      <c r="N627" s="14"/>
      <c r="O627" s="15" t="s">
        <v>65</v>
      </c>
      <c r="P627" s="22" t="s">
        <v>2201</v>
      </c>
      <c r="Q627" s="15"/>
      <c r="R627" s="17" t="s">
        <v>74</v>
      </c>
      <c r="S627" s="18"/>
      <c r="T627" s="22" t="str">
        <f>IF(R627="維持",J627,IF(R627="排除","無關新聞事件",IFERROR(INDEX(事件規則!$B$2:$B$53,MATCH(S627,事件規則!$A$2:$A$53,0)),"")))</f>
        <v>無關新聞事件</v>
      </c>
      <c r="U627" s="9">
        <f>IF(R627="維持",K627,IF(R627="排除",0,IFERROR(INDEX(事件規則!$C$2:$C$53,MATCH(S627,事件規則!$A$2:$A$53,0)),"")))</f>
        <v>0</v>
      </c>
      <c r="V627" s="19"/>
      <c r="W627" s="20"/>
      <c r="X627" s="10" t="str">
        <f t="shared" si="9"/>
        <v/>
      </c>
      <c r="Y627" s="19"/>
      <c r="Z627" s="20"/>
      <c r="AA627" s="12" t="s">
        <v>2569</v>
      </c>
      <c r="AB627" s="23"/>
    </row>
    <row r="628" spans="1:28" ht="25.5">
      <c r="A628" s="15">
        <v>627</v>
      </c>
      <c r="B628" s="9" t="s">
        <v>68</v>
      </c>
      <c r="C628" s="9" t="s">
        <v>987</v>
      </c>
      <c r="D628" s="10" t="s">
        <v>988</v>
      </c>
      <c r="E628" s="21" t="s">
        <v>2570</v>
      </c>
      <c r="F628" s="22" t="s">
        <v>2571</v>
      </c>
      <c r="G628" s="12" t="s">
        <v>1568</v>
      </c>
      <c r="H628" s="13">
        <v>-2.7E-2</v>
      </c>
      <c r="I628" s="14"/>
      <c r="J628" s="22"/>
      <c r="K628" s="9"/>
      <c r="L628" s="15" t="s">
        <v>1479</v>
      </c>
      <c r="M628" s="16" t="s">
        <v>74</v>
      </c>
      <c r="N628" s="14"/>
      <c r="O628" s="15" t="s">
        <v>65</v>
      </c>
      <c r="P628" s="22" t="s">
        <v>2201</v>
      </c>
      <c r="Q628" s="15"/>
      <c r="R628" s="17" t="s">
        <v>74</v>
      </c>
      <c r="S628" s="18"/>
      <c r="T628" s="22" t="str">
        <f>IF(R628="維持",J628,IF(R628="排除","無關新聞事件",IFERROR(INDEX(事件規則!$B$2:$B$53,MATCH(S628,事件規則!$A$2:$A$53,0)),"")))</f>
        <v>無關新聞事件</v>
      </c>
      <c r="U628" s="9">
        <f>IF(R628="維持",K628,IF(R628="排除",0,IFERROR(INDEX(事件規則!$C$2:$C$53,MATCH(S628,事件規則!$A$2:$A$53,0)),"")))</f>
        <v>0</v>
      </c>
      <c r="V628" s="19"/>
      <c r="W628" s="20"/>
      <c r="X628" s="10" t="str">
        <f t="shared" si="9"/>
        <v/>
      </c>
      <c r="Y628" s="19"/>
      <c r="Z628" s="20"/>
      <c r="AA628" s="12" t="s">
        <v>2572</v>
      </c>
      <c r="AB628" s="23"/>
    </row>
    <row r="629" spans="1:28" ht="25.5">
      <c r="A629" s="15">
        <v>628</v>
      </c>
      <c r="B629" s="9" t="s">
        <v>68</v>
      </c>
      <c r="C629" s="9" t="s">
        <v>78</v>
      </c>
      <c r="D629" s="10" t="s">
        <v>2563</v>
      </c>
      <c r="E629" s="21" t="s">
        <v>2570</v>
      </c>
      <c r="F629" s="22" t="s">
        <v>2261</v>
      </c>
      <c r="G629" s="12" t="s">
        <v>1568</v>
      </c>
      <c r="H629" s="13">
        <v>-2.7E-2</v>
      </c>
      <c r="I629" s="14"/>
      <c r="J629" s="22"/>
      <c r="K629" s="9"/>
      <c r="L629" s="15" t="s">
        <v>1479</v>
      </c>
      <c r="M629" s="16" t="s">
        <v>74</v>
      </c>
      <c r="N629" s="14"/>
      <c r="O629" s="15" t="s">
        <v>65</v>
      </c>
      <c r="P629" s="22" t="s">
        <v>2201</v>
      </c>
      <c r="Q629" s="15"/>
      <c r="R629" s="17" t="s">
        <v>74</v>
      </c>
      <c r="S629" s="18"/>
      <c r="T629" s="22" t="str">
        <f>IF(R629="維持",J629,IF(R629="排除","無關新聞事件",IFERROR(INDEX(事件規則!$B$2:$B$53,MATCH(S629,事件規則!$A$2:$A$53,0)),"")))</f>
        <v>無關新聞事件</v>
      </c>
      <c r="U629" s="9">
        <f>IF(R629="維持",K629,IF(R629="排除",0,IFERROR(INDEX(事件規則!$C$2:$C$53,MATCH(S629,事件規則!$A$2:$A$53,0)),"")))</f>
        <v>0</v>
      </c>
      <c r="V629" s="19"/>
      <c r="W629" s="20"/>
      <c r="X629" s="10" t="str">
        <f t="shared" si="9"/>
        <v/>
      </c>
      <c r="Y629" s="19"/>
      <c r="Z629" s="20"/>
      <c r="AA629" s="12" t="s">
        <v>2573</v>
      </c>
      <c r="AB629" s="23"/>
    </row>
    <row r="630" spans="1:28" ht="25.5">
      <c r="A630" s="15">
        <v>629</v>
      </c>
      <c r="B630" s="9" t="s">
        <v>68</v>
      </c>
      <c r="C630" s="9" t="s">
        <v>595</v>
      </c>
      <c r="D630" s="10" t="s">
        <v>2574</v>
      </c>
      <c r="E630" s="21" t="s">
        <v>2575</v>
      </c>
      <c r="F630" s="22" t="s">
        <v>2242</v>
      </c>
      <c r="G630" s="12" t="s">
        <v>252</v>
      </c>
      <c r="H630" s="13">
        <v>-1.0999999999999999E-2</v>
      </c>
      <c r="I630" s="14"/>
      <c r="J630" s="22"/>
      <c r="K630" s="9"/>
      <c r="L630" s="15" t="s">
        <v>1479</v>
      </c>
      <c r="M630" s="16" t="s">
        <v>74</v>
      </c>
      <c r="N630" s="14"/>
      <c r="O630" s="15" t="s">
        <v>65</v>
      </c>
      <c r="P630" s="22" t="s">
        <v>2201</v>
      </c>
      <c r="Q630" s="15"/>
      <c r="R630" s="17" t="s">
        <v>74</v>
      </c>
      <c r="S630" s="18"/>
      <c r="T630" s="22" t="str">
        <f>IF(R630="維持",J630,IF(R630="排除","無關新聞事件",IFERROR(INDEX(事件規則!$B$2:$B$53,MATCH(S630,事件規則!$A$2:$A$53,0)),"")))</f>
        <v>無關新聞事件</v>
      </c>
      <c r="U630" s="9">
        <f>IF(R630="維持",K630,IF(R630="排除",0,IFERROR(INDEX(事件規則!$C$2:$C$53,MATCH(S630,事件規則!$A$2:$A$53,0)),"")))</f>
        <v>0</v>
      </c>
      <c r="V630" s="19"/>
      <c r="W630" s="20"/>
      <c r="X630" s="10" t="str">
        <f t="shared" si="9"/>
        <v/>
      </c>
      <c r="Y630" s="19"/>
      <c r="Z630" s="20"/>
      <c r="AA630" s="12" t="s">
        <v>2576</v>
      </c>
      <c r="AB630" s="23"/>
    </row>
    <row r="631" spans="1:28" ht="38.25">
      <c r="A631" s="15">
        <v>630</v>
      </c>
      <c r="B631" s="9" t="s">
        <v>68</v>
      </c>
      <c r="C631" s="15"/>
      <c r="D631" s="10" t="s">
        <v>2577</v>
      </c>
      <c r="E631" s="21" t="s">
        <v>2578</v>
      </c>
      <c r="F631" s="22" t="s">
        <v>2499</v>
      </c>
      <c r="G631" s="12" t="s">
        <v>1568</v>
      </c>
      <c r="H631" s="13">
        <v>7.0000000000000007E-2</v>
      </c>
      <c r="I631" s="14"/>
      <c r="J631" s="22"/>
      <c r="K631" s="9"/>
      <c r="L631" s="15" t="s">
        <v>1479</v>
      </c>
      <c r="M631" s="16" t="s">
        <v>74</v>
      </c>
      <c r="N631" s="14"/>
      <c r="O631" s="15" t="s">
        <v>65</v>
      </c>
      <c r="P631" s="22" t="s">
        <v>2201</v>
      </c>
      <c r="Q631" s="15"/>
      <c r="R631" s="17" t="s">
        <v>74</v>
      </c>
      <c r="S631" s="18"/>
      <c r="T631" s="22" t="str">
        <f>IF(R631="維持",J631,IF(R631="排除","無關新聞事件",IFERROR(INDEX(事件規則!$B$2:$B$53,MATCH(S631,事件規則!$A$2:$A$53,0)),"")))</f>
        <v>無關新聞事件</v>
      </c>
      <c r="U631" s="9">
        <f>IF(R631="維持",K631,IF(R631="排除",0,IFERROR(INDEX(事件規則!$C$2:$C$53,MATCH(S631,事件規則!$A$2:$A$53,0)),"")))</f>
        <v>0</v>
      </c>
      <c r="V631" s="19"/>
      <c r="W631" s="20"/>
      <c r="X631" s="10" t="str">
        <f t="shared" si="9"/>
        <v/>
      </c>
      <c r="Y631" s="19"/>
      <c r="Z631" s="20"/>
      <c r="AA631" s="12" t="s">
        <v>2579</v>
      </c>
      <c r="AB631" s="23"/>
    </row>
    <row r="632" spans="1:28" ht="38.25">
      <c r="A632" s="15">
        <v>631</v>
      </c>
      <c r="B632" s="9" t="s">
        <v>68</v>
      </c>
      <c r="C632" s="9" t="s">
        <v>1305</v>
      </c>
      <c r="D632" s="10" t="s">
        <v>2497</v>
      </c>
      <c r="E632" s="21" t="s">
        <v>2580</v>
      </c>
      <c r="F632" s="22" t="s">
        <v>2581</v>
      </c>
      <c r="G632" s="12" t="s">
        <v>850</v>
      </c>
      <c r="H632" s="13">
        <v>0.754</v>
      </c>
      <c r="I632" s="14"/>
      <c r="J632" s="22"/>
      <c r="K632" s="9"/>
      <c r="L632" s="15" t="s">
        <v>1479</v>
      </c>
      <c r="M632" s="16" t="s">
        <v>74</v>
      </c>
      <c r="N632" s="14"/>
      <c r="O632" s="15" t="s">
        <v>65</v>
      </c>
      <c r="P632" s="22" t="s">
        <v>2201</v>
      </c>
      <c r="Q632" s="15"/>
      <c r="R632" s="17" t="s">
        <v>74</v>
      </c>
      <c r="S632" s="18"/>
      <c r="T632" s="22" t="str">
        <f>IF(R632="維持",J632,IF(R632="排除","無關新聞事件",IFERROR(INDEX(事件規則!$B$2:$B$53,MATCH(S632,事件規則!$A$2:$A$53,0)),"")))</f>
        <v>無關新聞事件</v>
      </c>
      <c r="U632" s="9">
        <f>IF(R632="維持",K632,IF(R632="排除",0,IFERROR(INDEX(事件規則!$C$2:$C$53,MATCH(S632,事件規則!$A$2:$A$53,0)),"")))</f>
        <v>0</v>
      </c>
      <c r="V632" s="19"/>
      <c r="W632" s="20"/>
      <c r="X632" s="10" t="str">
        <f t="shared" si="9"/>
        <v/>
      </c>
      <c r="Y632" s="19"/>
      <c r="Z632" s="20"/>
      <c r="AA632" s="12" t="s">
        <v>2582</v>
      </c>
      <c r="AB632" s="23"/>
    </row>
    <row r="633" spans="1:28" ht="51">
      <c r="A633" s="15">
        <v>632</v>
      </c>
      <c r="B633" s="9" t="s">
        <v>68</v>
      </c>
      <c r="C633" s="9" t="s">
        <v>659</v>
      </c>
      <c r="D633" s="10" t="s">
        <v>2583</v>
      </c>
      <c r="E633" s="21" t="s">
        <v>2584</v>
      </c>
      <c r="F633" s="22" t="s">
        <v>2585</v>
      </c>
      <c r="G633" s="12" t="s">
        <v>850</v>
      </c>
      <c r="H633" s="13">
        <v>0.91600000000000004</v>
      </c>
      <c r="I633" s="14"/>
      <c r="J633" s="22"/>
      <c r="K633" s="9"/>
      <c r="L633" s="15" t="s">
        <v>1479</v>
      </c>
      <c r="M633" s="16" t="s">
        <v>74</v>
      </c>
      <c r="N633" s="14"/>
      <c r="O633" s="15" t="s">
        <v>65</v>
      </c>
      <c r="P633" s="22" t="s">
        <v>2201</v>
      </c>
      <c r="Q633" s="15"/>
      <c r="R633" s="17" t="s">
        <v>74</v>
      </c>
      <c r="S633" s="18"/>
      <c r="T633" s="22" t="str">
        <f>IF(R633="維持",J633,IF(R633="排除","無關新聞事件",IFERROR(INDEX(事件規則!$B$2:$B$53,MATCH(S633,事件規則!$A$2:$A$53,0)),"")))</f>
        <v>無關新聞事件</v>
      </c>
      <c r="U633" s="9">
        <f>IF(R633="維持",K633,IF(R633="排除",0,IFERROR(INDEX(事件規則!$C$2:$C$53,MATCH(S633,事件規則!$A$2:$A$53,0)),"")))</f>
        <v>0</v>
      </c>
      <c r="V633" s="19"/>
      <c r="W633" s="20"/>
      <c r="X633" s="10" t="str">
        <f t="shared" si="9"/>
        <v/>
      </c>
      <c r="Y633" s="19"/>
      <c r="Z633" s="20"/>
      <c r="AA633" s="12" t="s">
        <v>2586</v>
      </c>
      <c r="AB633" s="23"/>
    </row>
    <row r="634" spans="1:28" ht="25.5">
      <c r="A634" s="15">
        <v>633</v>
      </c>
      <c r="B634" s="9" t="s">
        <v>1470</v>
      </c>
      <c r="C634" s="9" t="s">
        <v>69</v>
      </c>
      <c r="D634" s="10" t="s">
        <v>70</v>
      </c>
      <c r="E634" s="21" t="s">
        <v>2587</v>
      </c>
      <c r="F634" s="22" t="s">
        <v>2588</v>
      </c>
      <c r="G634" s="12" t="s">
        <v>73</v>
      </c>
      <c r="H634" s="13">
        <v>-0.96499999999999997</v>
      </c>
      <c r="I634" s="14"/>
      <c r="J634" s="22"/>
      <c r="K634" s="9"/>
      <c r="L634" s="15" t="s">
        <v>1479</v>
      </c>
      <c r="M634" s="16" t="s">
        <v>74</v>
      </c>
      <c r="N634" s="14"/>
      <c r="O634" s="15" t="s">
        <v>65</v>
      </c>
      <c r="P634" s="22" t="s">
        <v>2201</v>
      </c>
      <c r="Q634" s="15"/>
      <c r="R634" s="17" t="s">
        <v>74</v>
      </c>
      <c r="S634" s="18"/>
      <c r="T634" s="22" t="str">
        <f>IF(R634="維持",J634,IF(R634="排除","無關新聞事件",IFERROR(INDEX(事件規則!$B$2:$B$53,MATCH(S634,事件規則!$A$2:$A$53,0)),"")))</f>
        <v>無關新聞事件</v>
      </c>
      <c r="U634" s="9">
        <f>IF(R634="維持",K634,IF(R634="排除",0,IFERROR(INDEX(事件規則!$C$2:$C$53,MATCH(S634,事件規則!$A$2:$A$53,0)),"")))</f>
        <v>0</v>
      </c>
      <c r="V634" s="19"/>
      <c r="W634" s="20"/>
      <c r="X634" s="10" t="str">
        <f t="shared" si="9"/>
        <v/>
      </c>
      <c r="Y634" s="19"/>
      <c r="Z634" s="20"/>
      <c r="AA634" s="12" t="s">
        <v>2589</v>
      </c>
      <c r="AB634" s="23"/>
    </row>
    <row r="635" spans="1:28" ht="25.5">
      <c r="A635" s="15">
        <v>634</v>
      </c>
      <c r="B635" s="9" t="s">
        <v>1470</v>
      </c>
      <c r="C635" s="9" t="s">
        <v>1374</v>
      </c>
      <c r="D635" s="10" t="s">
        <v>1465</v>
      </c>
      <c r="E635" s="21" t="s">
        <v>2590</v>
      </c>
      <c r="F635" s="22" t="s">
        <v>2591</v>
      </c>
      <c r="G635" s="12" t="s">
        <v>2592</v>
      </c>
      <c r="H635" s="13">
        <v>-0.96399999999999997</v>
      </c>
      <c r="I635" s="14"/>
      <c r="J635" s="22"/>
      <c r="K635" s="9"/>
      <c r="L635" s="15" t="s">
        <v>1479</v>
      </c>
      <c r="M635" s="16" t="s">
        <v>74</v>
      </c>
      <c r="N635" s="14"/>
      <c r="O635" s="15" t="s">
        <v>65</v>
      </c>
      <c r="P635" s="22" t="s">
        <v>2201</v>
      </c>
      <c r="Q635" s="15"/>
      <c r="R635" s="17" t="s">
        <v>74</v>
      </c>
      <c r="S635" s="18"/>
      <c r="T635" s="22" t="str">
        <f>IF(R635="維持",J635,IF(R635="排除","無關新聞事件",IFERROR(INDEX(事件規則!$B$2:$B$53,MATCH(S635,事件規則!$A$2:$A$53,0)),"")))</f>
        <v>無關新聞事件</v>
      </c>
      <c r="U635" s="9">
        <f>IF(R635="維持",K635,IF(R635="排除",0,IFERROR(INDEX(事件規則!$C$2:$C$53,MATCH(S635,事件規則!$A$2:$A$53,0)),"")))</f>
        <v>0</v>
      </c>
      <c r="V635" s="19"/>
      <c r="W635" s="20"/>
      <c r="X635" s="10" t="str">
        <f t="shared" si="9"/>
        <v/>
      </c>
      <c r="Y635" s="19"/>
      <c r="Z635" s="20"/>
      <c r="AA635" s="12" t="s">
        <v>2593</v>
      </c>
      <c r="AB635" s="23"/>
    </row>
    <row r="636" spans="1:28" ht="25.5">
      <c r="A636" s="15">
        <v>635</v>
      </c>
      <c r="B636" s="9" t="s">
        <v>1470</v>
      </c>
      <c r="C636" s="9" t="s">
        <v>69</v>
      </c>
      <c r="D636" s="10" t="s">
        <v>70</v>
      </c>
      <c r="E636" s="21" t="s">
        <v>2594</v>
      </c>
      <c r="F636" s="22" t="s">
        <v>2595</v>
      </c>
      <c r="G636" s="12" t="s">
        <v>2596</v>
      </c>
      <c r="H636" s="13">
        <v>-0.96399999999999997</v>
      </c>
      <c r="I636" s="14"/>
      <c r="J636" s="22"/>
      <c r="K636" s="9"/>
      <c r="L636" s="15" t="s">
        <v>1479</v>
      </c>
      <c r="M636" s="16" t="s">
        <v>74</v>
      </c>
      <c r="N636" s="14"/>
      <c r="O636" s="15" t="s">
        <v>65</v>
      </c>
      <c r="P636" s="22" t="s">
        <v>2201</v>
      </c>
      <c r="Q636" s="15"/>
      <c r="R636" s="17" t="s">
        <v>74</v>
      </c>
      <c r="S636" s="18"/>
      <c r="T636" s="22" t="str">
        <f>IF(R636="維持",J636,IF(R636="排除","無關新聞事件",IFERROR(INDEX(事件規則!$B$2:$B$53,MATCH(S636,事件規則!$A$2:$A$53,0)),"")))</f>
        <v>無關新聞事件</v>
      </c>
      <c r="U636" s="9">
        <f>IF(R636="維持",K636,IF(R636="排除",0,IFERROR(INDEX(事件規則!$C$2:$C$53,MATCH(S636,事件規則!$A$2:$A$53,0)),"")))</f>
        <v>0</v>
      </c>
      <c r="V636" s="19"/>
      <c r="W636" s="20"/>
      <c r="X636" s="10" t="str">
        <f t="shared" si="9"/>
        <v/>
      </c>
      <c r="Y636" s="19"/>
      <c r="Z636" s="20"/>
      <c r="AA636" s="12" t="s">
        <v>2597</v>
      </c>
      <c r="AB636" s="23"/>
    </row>
    <row r="637" spans="1:28" ht="38.25">
      <c r="A637" s="15">
        <v>636</v>
      </c>
      <c r="B637" s="9" t="s">
        <v>1470</v>
      </c>
      <c r="C637" s="9" t="s">
        <v>595</v>
      </c>
      <c r="D637" s="10" t="s">
        <v>2574</v>
      </c>
      <c r="E637" s="21" t="s">
        <v>2598</v>
      </c>
      <c r="F637" s="22" t="s">
        <v>2599</v>
      </c>
      <c r="G637" s="12" t="s">
        <v>351</v>
      </c>
      <c r="H637" s="13">
        <v>-0.96199999999999997</v>
      </c>
      <c r="I637" s="14"/>
      <c r="J637" s="22"/>
      <c r="K637" s="9"/>
      <c r="L637" s="15" t="s">
        <v>1479</v>
      </c>
      <c r="M637" s="16" t="s">
        <v>130</v>
      </c>
      <c r="N637" s="14" t="s">
        <v>293</v>
      </c>
      <c r="O637" s="15" t="s">
        <v>65</v>
      </c>
      <c r="P637" s="10" t="s">
        <v>2600</v>
      </c>
      <c r="Q637" s="15"/>
      <c r="R637" s="17" t="s">
        <v>130</v>
      </c>
      <c r="S637" s="18" t="s">
        <v>293</v>
      </c>
      <c r="T637" s="22" t="str">
        <f>IF(R637="維持",J637,IF(R637="排除","無關新聞事件",IFERROR(INDEX(事件規則!$B$2:$B$53,MATCH(S637,事件規則!$A$2:$A$53,0)),"")))</f>
        <v>財報不如預期</v>
      </c>
      <c r="U637" s="9">
        <f>IF(R637="維持",K637,IF(R637="排除",0,IFERROR(INDEX(事件規則!$C$2:$C$53,MATCH(S637,事件規則!$A$2:$A$53,0)),"")))</f>
        <v>3</v>
      </c>
      <c r="V637" s="19"/>
      <c r="W637" s="20"/>
      <c r="X637" s="10" t="str">
        <f t="shared" si="9"/>
        <v/>
      </c>
      <c r="Y637" s="19"/>
      <c r="Z637" s="20"/>
      <c r="AA637" s="12" t="s">
        <v>2601</v>
      </c>
      <c r="AB637" s="23"/>
    </row>
    <row r="638" spans="1:28" ht="25.5">
      <c r="A638" s="15">
        <v>637</v>
      </c>
      <c r="B638" s="9" t="s">
        <v>1470</v>
      </c>
      <c r="C638" s="9" t="s">
        <v>2602</v>
      </c>
      <c r="D638" s="10" t="s">
        <v>2603</v>
      </c>
      <c r="E638" s="21" t="s">
        <v>2604</v>
      </c>
      <c r="F638" s="22" t="s">
        <v>2605</v>
      </c>
      <c r="G638" s="12" t="s">
        <v>433</v>
      </c>
      <c r="H638" s="13">
        <v>-0.96199999999999997</v>
      </c>
      <c r="I638" s="14"/>
      <c r="J638" s="22"/>
      <c r="K638" s="9"/>
      <c r="L638" s="15" t="s">
        <v>1479</v>
      </c>
      <c r="M638" s="16" t="s">
        <v>74</v>
      </c>
      <c r="N638" s="14"/>
      <c r="O638" s="15" t="s">
        <v>65</v>
      </c>
      <c r="P638" s="22" t="s">
        <v>2201</v>
      </c>
      <c r="Q638" s="15"/>
      <c r="R638" s="17" t="s">
        <v>74</v>
      </c>
      <c r="S638" s="18"/>
      <c r="T638" s="22" t="str">
        <f>IF(R638="維持",J638,IF(R638="排除","無關新聞事件",IFERROR(INDEX(事件規則!$B$2:$B$53,MATCH(S638,事件規則!$A$2:$A$53,0)),"")))</f>
        <v>無關新聞事件</v>
      </c>
      <c r="U638" s="9">
        <f>IF(R638="維持",K638,IF(R638="排除",0,IFERROR(INDEX(事件規則!$C$2:$C$53,MATCH(S638,事件規則!$A$2:$A$53,0)),"")))</f>
        <v>0</v>
      </c>
      <c r="V638" s="19"/>
      <c r="W638" s="20"/>
      <c r="X638" s="10" t="str">
        <f t="shared" si="9"/>
        <v/>
      </c>
      <c r="Y638" s="19"/>
      <c r="Z638" s="20"/>
      <c r="AA638" s="12" t="s">
        <v>2606</v>
      </c>
      <c r="AB638" s="23"/>
    </row>
    <row r="639" spans="1:28" ht="51">
      <c r="A639" s="15">
        <v>638</v>
      </c>
      <c r="B639" s="9" t="s">
        <v>1470</v>
      </c>
      <c r="C639" s="9" t="s">
        <v>1136</v>
      </c>
      <c r="D639" s="10" t="s">
        <v>2450</v>
      </c>
      <c r="E639" s="21" t="s">
        <v>2607</v>
      </c>
      <c r="F639" s="22" t="s">
        <v>2608</v>
      </c>
      <c r="G639" s="12" t="s">
        <v>433</v>
      </c>
      <c r="H639" s="13">
        <v>-0.96</v>
      </c>
      <c r="I639" s="14"/>
      <c r="J639" s="22"/>
      <c r="K639" s="9"/>
      <c r="L639" s="15" t="s">
        <v>1479</v>
      </c>
      <c r="M639" s="16" t="s">
        <v>74</v>
      </c>
      <c r="N639" s="14"/>
      <c r="O639" s="15" t="s">
        <v>65</v>
      </c>
      <c r="P639" s="22" t="s">
        <v>2201</v>
      </c>
      <c r="Q639" s="15"/>
      <c r="R639" s="17" t="s">
        <v>74</v>
      </c>
      <c r="S639" s="18"/>
      <c r="T639" s="22" t="str">
        <f>IF(R639="維持",J639,IF(R639="排除","無關新聞事件",IFERROR(INDEX(事件規則!$B$2:$B$53,MATCH(S639,事件規則!$A$2:$A$53,0)),"")))</f>
        <v>無關新聞事件</v>
      </c>
      <c r="U639" s="9">
        <f>IF(R639="維持",K639,IF(R639="排除",0,IFERROR(INDEX(事件規則!$C$2:$C$53,MATCH(S639,事件規則!$A$2:$A$53,0)),"")))</f>
        <v>0</v>
      </c>
      <c r="V639" s="19"/>
      <c r="W639" s="20"/>
      <c r="X639" s="10" t="str">
        <f t="shared" si="9"/>
        <v/>
      </c>
      <c r="Y639" s="19"/>
      <c r="Z639" s="20"/>
      <c r="AA639" s="12" t="s">
        <v>2609</v>
      </c>
      <c r="AB639" s="23"/>
    </row>
    <row r="640" spans="1:28" ht="25.5">
      <c r="A640" s="15">
        <v>639</v>
      </c>
      <c r="B640" s="9" t="s">
        <v>1470</v>
      </c>
      <c r="C640" s="9" t="s">
        <v>69</v>
      </c>
      <c r="D640" s="10" t="s">
        <v>70</v>
      </c>
      <c r="E640" s="21" t="s">
        <v>2610</v>
      </c>
      <c r="F640" s="10" t="s">
        <v>2611</v>
      </c>
      <c r="G640" s="12" t="s">
        <v>2612</v>
      </c>
      <c r="H640" s="13">
        <v>-0.95899999999999996</v>
      </c>
      <c r="I640" s="14"/>
      <c r="J640" s="22"/>
      <c r="K640" s="9"/>
      <c r="L640" s="15" t="s">
        <v>1479</v>
      </c>
      <c r="M640" s="16" t="s">
        <v>74</v>
      </c>
      <c r="N640" s="14"/>
      <c r="O640" s="15" t="s">
        <v>65</v>
      </c>
      <c r="P640" s="22" t="s">
        <v>2201</v>
      </c>
      <c r="Q640" s="15"/>
      <c r="R640" s="17" t="s">
        <v>74</v>
      </c>
      <c r="S640" s="18"/>
      <c r="T640" s="22" t="str">
        <f>IF(R640="維持",J640,IF(R640="排除","無關新聞事件",IFERROR(INDEX(事件規則!$B$2:$B$53,MATCH(S640,事件規則!$A$2:$A$53,0)),"")))</f>
        <v>無關新聞事件</v>
      </c>
      <c r="U640" s="9">
        <f>IF(R640="維持",K640,IF(R640="排除",0,IFERROR(INDEX(事件規則!$C$2:$C$53,MATCH(S640,事件規則!$A$2:$A$53,0)),"")))</f>
        <v>0</v>
      </c>
      <c r="V640" s="19"/>
      <c r="W640" s="20"/>
      <c r="X640" s="10" t="str">
        <f t="shared" si="9"/>
        <v/>
      </c>
      <c r="Y640" s="19"/>
      <c r="Z640" s="20"/>
      <c r="AA640" s="12" t="s">
        <v>2613</v>
      </c>
      <c r="AB640" s="23"/>
    </row>
    <row r="641" spans="1:28" ht="51">
      <c r="A641" s="15">
        <v>640</v>
      </c>
      <c r="B641" s="9" t="s">
        <v>1470</v>
      </c>
      <c r="C641" s="9" t="s">
        <v>940</v>
      </c>
      <c r="D641" s="10" t="s">
        <v>1731</v>
      </c>
      <c r="E641" s="21" t="s">
        <v>2614</v>
      </c>
      <c r="F641" s="22" t="s">
        <v>2615</v>
      </c>
      <c r="G641" s="12" t="s">
        <v>2616</v>
      </c>
      <c r="H641" s="13">
        <v>-0.92700000000000005</v>
      </c>
      <c r="I641" s="14"/>
      <c r="J641" s="22"/>
      <c r="K641" s="9"/>
      <c r="L641" s="15" t="s">
        <v>1479</v>
      </c>
      <c r="M641" s="16" t="s">
        <v>74</v>
      </c>
      <c r="N641" s="14"/>
      <c r="O641" s="15" t="s">
        <v>65</v>
      </c>
      <c r="P641" s="22" t="s">
        <v>2201</v>
      </c>
      <c r="Q641" s="15"/>
      <c r="R641" s="17" t="s">
        <v>74</v>
      </c>
      <c r="S641" s="18"/>
      <c r="T641" s="22" t="str">
        <f>IF(R641="維持",J641,IF(R641="排除","無關新聞事件",IFERROR(INDEX(事件規則!$B$2:$B$53,MATCH(S641,事件規則!$A$2:$A$53,0)),"")))</f>
        <v>無關新聞事件</v>
      </c>
      <c r="U641" s="9">
        <f>IF(R641="維持",K641,IF(R641="排除",0,IFERROR(INDEX(事件規則!$C$2:$C$53,MATCH(S641,事件規則!$A$2:$A$53,0)),"")))</f>
        <v>0</v>
      </c>
      <c r="V641" s="19"/>
      <c r="W641" s="20"/>
      <c r="X641" s="10" t="str">
        <f t="shared" si="9"/>
        <v/>
      </c>
      <c r="Y641" s="19"/>
      <c r="Z641" s="20"/>
      <c r="AA641" s="12" t="s">
        <v>2617</v>
      </c>
      <c r="AB641" s="23"/>
    </row>
    <row r="642" spans="1:28" ht="25.5">
      <c r="A642" s="15">
        <v>641</v>
      </c>
      <c r="B642" s="9" t="s">
        <v>1470</v>
      </c>
      <c r="C642" s="9" t="s">
        <v>263</v>
      </c>
      <c r="D642" s="10" t="s">
        <v>264</v>
      </c>
      <c r="E642" s="21" t="s">
        <v>2618</v>
      </c>
      <c r="F642" s="22" t="s">
        <v>2499</v>
      </c>
      <c r="G642" s="12" t="s">
        <v>1568</v>
      </c>
      <c r="H642" s="13">
        <v>-0.91800000000000004</v>
      </c>
      <c r="I642" s="14"/>
      <c r="J642" s="22"/>
      <c r="K642" s="9"/>
      <c r="L642" s="15" t="s">
        <v>1479</v>
      </c>
      <c r="M642" s="16" t="s">
        <v>74</v>
      </c>
      <c r="N642" s="14"/>
      <c r="O642" s="15" t="s">
        <v>65</v>
      </c>
      <c r="P642" s="22" t="s">
        <v>2201</v>
      </c>
      <c r="Q642" s="15"/>
      <c r="R642" s="17" t="s">
        <v>74</v>
      </c>
      <c r="S642" s="18"/>
      <c r="T642" s="22" t="str">
        <f>IF(R642="維持",J642,IF(R642="排除","無關新聞事件",IFERROR(INDEX(事件規則!$B$2:$B$53,MATCH(S642,事件規則!$A$2:$A$53,0)),"")))</f>
        <v>無關新聞事件</v>
      </c>
      <c r="U642" s="9">
        <f>IF(R642="維持",K642,IF(R642="排除",0,IFERROR(INDEX(事件規則!$C$2:$C$53,MATCH(S642,事件規則!$A$2:$A$53,0)),"")))</f>
        <v>0</v>
      </c>
      <c r="V642" s="19"/>
      <c r="W642" s="20"/>
      <c r="X642" s="10" t="str">
        <f t="shared" si="9"/>
        <v/>
      </c>
      <c r="Y642" s="19"/>
      <c r="Z642" s="20"/>
      <c r="AA642" s="12" t="s">
        <v>2619</v>
      </c>
      <c r="AB642" s="23"/>
    </row>
    <row r="643" spans="1:28" ht="38.25">
      <c r="A643" s="15">
        <v>642</v>
      </c>
      <c r="B643" s="9" t="s">
        <v>1470</v>
      </c>
      <c r="C643" s="9" t="s">
        <v>1374</v>
      </c>
      <c r="D643" s="10" t="s">
        <v>1465</v>
      </c>
      <c r="E643" s="21" t="s">
        <v>2620</v>
      </c>
      <c r="F643" s="22" t="s">
        <v>2621</v>
      </c>
      <c r="G643" s="12" t="s">
        <v>850</v>
      </c>
      <c r="H643" s="13">
        <v>-0.27600000000000002</v>
      </c>
      <c r="I643" s="14"/>
      <c r="J643" s="22"/>
      <c r="K643" s="9"/>
      <c r="L643" s="15" t="s">
        <v>1479</v>
      </c>
      <c r="M643" s="16" t="s">
        <v>74</v>
      </c>
      <c r="N643" s="14"/>
      <c r="O643" s="15" t="s">
        <v>65</v>
      </c>
      <c r="P643" s="22" t="s">
        <v>2201</v>
      </c>
      <c r="Q643" s="15"/>
      <c r="R643" s="17" t="s">
        <v>74</v>
      </c>
      <c r="S643" s="18"/>
      <c r="T643" s="22" t="str">
        <f>IF(R643="維持",J643,IF(R643="排除","無關新聞事件",IFERROR(INDEX(事件規則!$B$2:$B$53,MATCH(S643,事件規則!$A$2:$A$53,0)),"")))</f>
        <v>無關新聞事件</v>
      </c>
      <c r="U643" s="9">
        <f>IF(R643="維持",K643,IF(R643="排除",0,IFERROR(INDEX(事件規則!$C$2:$C$53,MATCH(S643,事件規則!$A$2:$A$53,0)),"")))</f>
        <v>0</v>
      </c>
      <c r="V643" s="19"/>
      <c r="W643" s="20"/>
      <c r="X643" s="10" t="str">
        <f t="shared" si="9"/>
        <v/>
      </c>
      <c r="Y643" s="19"/>
      <c r="Z643" s="20"/>
      <c r="AA643" s="12" t="s">
        <v>2622</v>
      </c>
      <c r="AB643" s="23"/>
    </row>
    <row r="644" spans="1:28" ht="38.25">
      <c r="A644" s="15">
        <v>643</v>
      </c>
      <c r="B644" s="9" t="s">
        <v>1470</v>
      </c>
      <c r="C644" s="9" t="s">
        <v>78</v>
      </c>
      <c r="D644" s="10" t="s">
        <v>2563</v>
      </c>
      <c r="E644" s="21" t="s">
        <v>2623</v>
      </c>
      <c r="F644" s="22" t="s">
        <v>2624</v>
      </c>
      <c r="G644" s="12" t="s">
        <v>299</v>
      </c>
      <c r="H644" s="13">
        <v>-0.19400000000000001</v>
      </c>
      <c r="I644" s="14"/>
      <c r="J644" s="22"/>
      <c r="K644" s="9"/>
      <c r="L644" s="15" t="s">
        <v>1479</v>
      </c>
      <c r="M644" s="16" t="s">
        <v>74</v>
      </c>
      <c r="N644" s="14"/>
      <c r="O644" s="15" t="s">
        <v>65</v>
      </c>
      <c r="P644" s="22" t="s">
        <v>2201</v>
      </c>
      <c r="Q644" s="15"/>
      <c r="R644" s="17" t="s">
        <v>74</v>
      </c>
      <c r="S644" s="18"/>
      <c r="T644" s="22" t="str">
        <f>IF(R644="維持",J644,IF(R644="排除","無關新聞事件",IFERROR(INDEX(事件規則!$B$2:$B$53,MATCH(S644,事件規則!$A$2:$A$53,0)),"")))</f>
        <v>無關新聞事件</v>
      </c>
      <c r="U644" s="9">
        <f>IF(R644="維持",K644,IF(R644="排除",0,IFERROR(INDEX(事件規則!$C$2:$C$53,MATCH(S644,事件規則!$A$2:$A$53,0)),"")))</f>
        <v>0</v>
      </c>
      <c r="V644" s="19"/>
      <c r="W644" s="20"/>
      <c r="X644" s="10" t="str">
        <f t="shared" si="9"/>
        <v/>
      </c>
      <c r="Y644" s="19"/>
      <c r="Z644" s="20"/>
      <c r="AA644" s="12" t="s">
        <v>2625</v>
      </c>
      <c r="AB644" s="23"/>
    </row>
    <row r="645" spans="1:28" ht="25.5">
      <c r="A645" s="15">
        <v>644</v>
      </c>
      <c r="B645" s="9" t="s">
        <v>1470</v>
      </c>
      <c r="C645" s="15"/>
      <c r="D645" s="10" t="s">
        <v>696</v>
      </c>
      <c r="E645" s="21" t="s">
        <v>2626</v>
      </c>
      <c r="F645" s="10" t="s">
        <v>2627</v>
      </c>
      <c r="G645" s="23" t="s">
        <v>1575</v>
      </c>
      <c r="H645" s="13">
        <v>8.3000000000000004E-2</v>
      </c>
      <c r="I645" s="14"/>
      <c r="J645" s="22"/>
      <c r="K645" s="9"/>
      <c r="L645" s="15" t="s">
        <v>1479</v>
      </c>
      <c r="M645" s="16" t="s">
        <v>74</v>
      </c>
      <c r="N645" s="14"/>
      <c r="O645" s="15" t="s">
        <v>65</v>
      </c>
      <c r="P645" s="22" t="s">
        <v>2201</v>
      </c>
      <c r="Q645" s="15"/>
      <c r="R645" s="17" t="s">
        <v>74</v>
      </c>
      <c r="S645" s="18"/>
      <c r="T645" s="22" t="str">
        <f>IF(R645="維持",J645,IF(R645="排除","無關新聞事件",IFERROR(INDEX(事件規則!$B$2:$B$53,MATCH(S645,事件規則!$A$2:$A$53,0)),"")))</f>
        <v>無關新聞事件</v>
      </c>
      <c r="U645" s="9">
        <f>IF(R645="維持",K645,IF(R645="排除",0,IFERROR(INDEX(事件規則!$C$2:$C$53,MATCH(S645,事件規則!$A$2:$A$53,0)),"")))</f>
        <v>0</v>
      </c>
      <c r="V645" s="19"/>
      <c r="W645" s="20"/>
      <c r="X645" s="10" t="str">
        <f t="shared" si="9"/>
        <v/>
      </c>
      <c r="Y645" s="19"/>
      <c r="Z645" s="20"/>
      <c r="AA645" s="12" t="s">
        <v>2628</v>
      </c>
      <c r="AB645" s="23"/>
    </row>
    <row r="646" spans="1:28" ht="25.5">
      <c r="A646" s="15">
        <v>645</v>
      </c>
      <c r="B646" s="9" t="s">
        <v>468</v>
      </c>
      <c r="C646" s="9" t="s">
        <v>2629</v>
      </c>
      <c r="D646" s="10" t="s">
        <v>2630</v>
      </c>
      <c r="E646" s="21" t="s">
        <v>2631</v>
      </c>
      <c r="F646" s="22" t="s">
        <v>2632</v>
      </c>
      <c r="G646" s="12" t="s">
        <v>2633</v>
      </c>
      <c r="H646" s="13"/>
      <c r="I646" s="14" t="s">
        <v>2634</v>
      </c>
      <c r="J646" s="22" t="s">
        <v>2635</v>
      </c>
      <c r="K646" s="9"/>
      <c r="L646" s="15" t="s">
        <v>1479</v>
      </c>
      <c r="M646" s="16" t="s">
        <v>130</v>
      </c>
      <c r="N646" s="14" t="s">
        <v>480</v>
      </c>
      <c r="O646" s="15" t="s">
        <v>55</v>
      </c>
      <c r="P646" s="10" t="s">
        <v>2636</v>
      </c>
      <c r="Q646" s="15"/>
      <c r="R646" s="17" t="s">
        <v>130</v>
      </c>
      <c r="S646" s="18" t="s">
        <v>480</v>
      </c>
      <c r="T646" s="22" t="str">
        <f>IF(R646="維持",J646,IF(R646="排除","無關新聞事件",IFERROR(INDEX(事件規則!$B$2:$B$53,MATCH(S646,事件規則!$A$2:$A$53,0)),"")))</f>
        <v>財測下修</v>
      </c>
      <c r="U646" s="9">
        <f>IF(R646="維持",K646,IF(R646="排除",0,IFERROR(INDEX(事件規則!$C$2:$C$53,MATCH(S646,事件規則!$A$2:$A$53,0)),"")))</f>
        <v>3</v>
      </c>
      <c r="V646" s="19"/>
      <c r="W646" s="20"/>
      <c r="X646" s="10" t="str">
        <f t="shared" si="9"/>
        <v/>
      </c>
      <c r="Y646" s="19"/>
      <c r="Z646" s="20"/>
      <c r="AA646" s="12" t="s">
        <v>2637</v>
      </c>
      <c r="AB646" s="23"/>
    </row>
  </sheetData>
  <autoFilter ref="A1:AB646" xr:uid="{00000000-0009-0000-0000-000001000000}"/>
  <phoneticPr fontId="14" type="noConversion"/>
  <conditionalFormatting sqref="K2:K646">
    <cfRule type="expression" dxfId="14" priority="2">
      <formula>AND(ISNUMBER(K2),K2=5)</formula>
    </cfRule>
    <cfRule type="expression" dxfId="13" priority="3">
      <formula>AND(ISNUMBER(K2),K2=4)</formula>
    </cfRule>
    <cfRule type="expression" dxfId="12" priority="4">
      <formula>AND(ISNUMBER(K2),K2=3)</formula>
    </cfRule>
    <cfRule type="expression" dxfId="11" priority="5">
      <formula>AND(ISNUMBER(K2),K2=2)</formula>
    </cfRule>
    <cfRule type="expression" dxfId="10" priority="6">
      <formula>AND(ISNUMBER(K2),K2=1)</formula>
    </cfRule>
    <cfRule type="expression" dxfId="9" priority="7">
      <formula>AND(ISNUMBER(K2),K2=0)</formula>
    </cfRule>
  </conditionalFormatting>
  <conditionalFormatting sqref="O2:O646">
    <cfRule type="expression" dxfId="8" priority="15">
      <formula>O2="低"</formula>
    </cfRule>
  </conditionalFormatting>
  <conditionalFormatting sqref="Q2:Q646">
    <cfRule type="expression" dxfId="7" priority="16">
      <formula>Q2="是"</formula>
    </cfRule>
  </conditionalFormatting>
  <conditionalFormatting sqref="U2:U646">
    <cfRule type="expression" dxfId="6" priority="8">
      <formula>AND(ISNUMBER(U2),U2=5)</formula>
    </cfRule>
    <cfRule type="expression" dxfId="5" priority="9">
      <formula>AND(ISNUMBER(U2),U2=4)</formula>
    </cfRule>
    <cfRule type="expression" dxfId="4" priority="10">
      <formula>AND(ISNUMBER(U2),U2=3)</formula>
    </cfRule>
    <cfRule type="expression" dxfId="3" priority="11">
      <formula>AND(ISNUMBER(U2),U2=2)</formula>
    </cfRule>
    <cfRule type="expression" dxfId="2" priority="12">
      <formula>AND(ISNUMBER(U2),U2=1)</formula>
    </cfRule>
    <cfRule type="expression" dxfId="1" priority="13">
      <formula>AND(ISNUMBER(U2),U2=0)</formula>
    </cfRule>
  </conditionalFormatting>
  <conditionalFormatting sqref="X2:X646">
    <cfRule type="expression" dxfId="0" priority="14">
      <formula>X2&lt;&gt;""</formula>
    </cfRule>
  </conditionalFormatting>
  <dataValidations count="1">
    <dataValidation type="list" showErrorMessage="1" errorTitle="請選擇" error="只能選：維持、修改、排除" sqref="R2:R646" xr:uid="{00000000-0002-0000-0100-000000000000}">
      <formula1>"維持,修改,排除"</formula1>
      <formula2>0</formula2>
    </dataValidation>
  </dataValidations>
  <hyperlinks>
    <hyperlink ref="E2" r:id="rId1" xr:uid="{00000000-0004-0000-0100-000000000000}"/>
    <hyperlink ref="E3" r:id="rId2" xr:uid="{00000000-0004-0000-0100-000001000000}"/>
    <hyperlink ref="E4" r:id="rId3" xr:uid="{00000000-0004-0000-0100-000002000000}"/>
    <hyperlink ref="E5" r:id="rId4" xr:uid="{00000000-0004-0000-0100-000003000000}"/>
    <hyperlink ref="E6" r:id="rId5" xr:uid="{00000000-0004-0000-0100-000004000000}"/>
    <hyperlink ref="E7" r:id="rId6" xr:uid="{00000000-0004-0000-0100-000005000000}"/>
    <hyperlink ref="E8" r:id="rId7" xr:uid="{00000000-0004-0000-0100-000006000000}"/>
    <hyperlink ref="E9" r:id="rId8" xr:uid="{00000000-0004-0000-0100-000007000000}"/>
    <hyperlink ref="E10" r:id="rId9" xr:uid="{00000000-0004-0000-0100-000008000000}"/>
    <hyperlink ref="E11" r:id="rId10" xr:uid="{00000000-0004-0000-0100-000009000000}"/>
    <hyperlink ref="E12" r:id="rId11" xr:uid="{00000000-0004-0000-0100-00000A000000}"/>
    <hyperlink ref="E13" r:id="rId12" xr:uid="{00000000-0004-0000-0100-00000B000000}"/>
    <hyperlink ref="E14" r:id="rId13" xr:uid="{00000000-0004-0000-0100-00000C000000}"/>
    <hyperlink ref="E15" r:id="rId14" xr:uid="{00000000-0004-0000-0100-00000D000000}"/>
    <hyperlink ref="E16" r:id="rId15" xr:uid="{00000000-0004-0000-0100-00000E000000}"/>
    <hyperlink ref="E17" r:id="rId16" xr:uid="{00000000-0004-0000-0100-00000F000000}"/>
    <hyperlink ref="E18" r:id="rId17" xr:uid="{00000000-0004-0000-0100-000010000000}"/>
    <hyperlink ref="E19" r:id="rId18" xr:uid="{00000000-0004-0000-0100-000011000000}"/>
    <hyperlink ref="E20" r:id="rId19" xr:uid="{00000000-0004-0000-0100-000012000000}"/>
    <hyperlink ref="E21" r:id="rId20" xr:uid="{00000000-0004-0000-0100-000013000000}"/>
    <hyperlink ref="E22" r:id="rId21" xr:uid="{00000000-0004-0000-0100-000014000000}"/>
    <hyperlink ref="E23" r:id="rId22" xr:uid="{00000000-0004-0000-0100-000015000000}"/>
    <hyperlink ref="E24" r:id="rId23" xr:uid="{00000000-0004-0000-0100-000016000000}"/>
    <hyperlink ref="E25" r:id="rId24" xr:uid="{00000000-0004-0000-0100-000017000000}"/>
    <hyperlink ref="E26" r:id="rId25" xr:uid="{00000000-0004-0000-0100-000018000000}"/>
    <hyperlink ref="E27" r:id="rId26" xr:uid="{00000000-0004-0000-0100-000019000000}"/>
    <hyperlink ref="E28" r:id="rId27" xr:uid="{00000000-0004-0000-0100-00001A000000}"/>
    <hyperlink ref="E29" r:id="rId28" xr:uid="{00000000-0004-0000-0100-00001B000000}"/>
    <hyperlink ref="E30" r:id="rId29" xr:uid="{00000000-0004-0000-0100-00001C000000}"/>
    <hyperlink ref="E31" r:id="rId30" xr:uid="{00000000-0004-0000-0100-00001D000000}"/>
    <hyperlink ref="E32" r:id="rId31" xr:uid="{00000000-0004-0000-0100-00001E000000}"/>
    <hyperlink ref="E33" r:id="rId32" xr:uid="{00000000-0004-0000-0100-00001F000000}"/>
    <hyperlink ref="E34" r:id="rId33" xr:uid="{00000000-0004-0000-0100-000020000000}"/>
    <hyperlink ref="E35" r:id="rId34" xr:uid="{00000000-0004-0000-0100-000021000000}"/>
    <hyperlink ref="E36" r:id="rId35" xr:uid="{00000000-0004-0000-0100-000022000000}"/>
    <hyperlink ref="E37" r:id="rId36" xr:uid="{00000000-0004-0000-0100-000023000000}"/>
    <hyperlink ref="E38" r:id="rId37" xr:uid="{00000000-0004-0000-0100-000024000000}"/>
    <hyperlink ref="E39" r:id="rId38" xr:uid="{00000000-0004-0000-0100-000025000000}"/>
    <hyperlink ref="E40" r:id="rId39" xr:uid="{00000000-0004-0000-0100-000026000000}"/>
    <hyperlink ref="E41" r:id="rId40" xr:uid="{00000000-0004-0000-0100-000027000000}"/>
    <hyperlink ref="E42" r:id="rId41" xr:uid="{00000000-0004-0000-0100-000028000000}"/>
    <hyperlink ref="E43" r:id="rId42" xr:uid="{00000000-0004-0000-0100-000029000000}"/>
    <hyperlink ref="E44" r:id="rId43" xr:uid="{00000000-0004-0000-0100-00002A000000}"/>
    <hyperlink ref="E45" r:id="rId44" xr:uid="{00000000-0004-0000-0100-00002B000000}"/>
    <hyperlink ref="E46" r:id="rId45" xr:uid="{00000000-0004-0000-0100-00002C000000}"/>
    <hyperlink ref="E47" r:id="rId46" xr:uid="{00000000-0004-0000-0100-00002D000000}"/>
    <hyperlink ref="E48" r:id="rId47" xr:uid="{00000000-0004-0000-0100-00002E000000}"/>
    <hyperlink ref="E49" r:id="rId48" xr:uid="{00000000-0004-0000-0100-00002F000000}"/>
    <hyperlink ref="E50" r:id="rId49" xr:uid="{00000000-0004-0000-0100-000030000000}"/>
    <hyperlink ref="E51" r:id="rId50" xr:uid="{00000000-0004-0000-0100-000031000000}"/>
    <hyperlink ref="E52" r:id="rId51" xr:uid="{00000000-0004-0000-0100-000032000000}"/>
    <hyperlink ref="E53" r:id="rId52" xr:uid="{00000000-0004-0000-0100-000033000000}"/>
    <hyperlink ref="E54" r:id="rId53" xr:uid="{00000000-0004-0000-0100-000034000000}"/>
    <hyperlink ref="E55" r:id="rId54" xr:uid="{00000000-0004-0000-0100-000035000000}"/>
    <hyperlink ref="E56" r:id="rId55" xr:uid="{00000000-0004-0000-0100-000036000000}"/>
    <hyperlink ref="E57" r:id="rId56" xr:uid="{00000000-0004-0000-0100-000037000000}"/>
    <hyperlink ref="E58" r:id="rId57" xr:uid="{00000000-0004-0000-0100-000038000000}"/>
    <hyperlink ref="E59" r:id="rId58" xr:uid="{00000000-0004-0000-0100-000039000000}"/>
    <hyperlink ref="E60" r:id="rId59" xr:uid="{00000000-0004-0000-0100-00003A000000}"/>
    <hyperlink ref="E61" r:id="rId60" xr:uid="{00000000-0004-0000-0100-00003B000000}"/>
    <hyperlink ref="E62" r:id="rId61" xr:uid="{00000000-0004-0000-0100-00003C000000}"/>
    <hyperlink ref="E63" r:id="rId62" xr:uid="{00000000-0004-0000-0100-00003D000000}"/>
    <hyperlink ref="E64" r:id="rId63" xr:uid="{00000000-0004-0000-0100-00003E000000}"/>
    <hyperlink ref="E65" r:id="rId64" xr:uid="{00000000-0004-0000-0100-00003F000000}"/>
    <hyperlink ref="E66" r:id="rId65" xr:uid="{00000000-0004-0000-0100-000040000000}"/>
    <hyperlink ref="E67" r:id="rId66" xr:uid="{00000000-0004-0000-0100-000041000000}"/>
    <hyperlink ref="E68" r:id="rId67" xr:uid="{00000000-0004-0000-0100-000042000000}"/>
    <hyperlink ref="E69" r:id="rId68" xr:uid="{00000000-0004-0000-0100-000043000000}"/>
    <hyperlink ref="E70" r:id="rId69" xr:uid="{00000000-0004-0000-0100-000044000000}"/>
    <hyperlink ref="E71" r:id="rId70" xr:uid="{00000000-0004-0000-0100-000045000000}"/>
    <hyperlink ref="E72" r:id="rId71" xr:uid="{00000000-0004-0000-0100-000046000000}"/>
    <hyperlink ref="E73" r:id="rId72" xr:uid="{00000000-0004-0000-0100-000047000000}"/>
    <hyperlink ref="E74" r:id="rId73" xr:uid="{00000000-0004-0000-0100-000048000000}"/>
    <hyperlink ref="E75" r:id="rId74" xr:uid="{00000000-0004-0000-0100-000049000000}"/>
    <hyperlink ref="E76" r:id="rId75" xr:uid="{00000000-0004-0000-0100-00004A000000}"/>
    <hyperlink ref="E77" r:id="rId76" xr:uid="{00000000-0004-0000-0100-00004B000000}"/>
    <hyperlink ref="E78" r:id="rId77" xr:uid="{00000000-0004-0000-0100-00004C000000}"/>
    <hyperlink ref="E79" r:id="rId78" xr:uid="{00000000-0004-0000-0100-00004D000000}"/>
    <hyperlink ref="E80" r:id="rId79" xr:uid="{00000000-0004-0000-0100-00004E000000}"/>
    <hyperlink ref="E81" r:id="rId80" xr:uid="{00000000-0004-0000-0100-00004F000000}"/>
    <hyperlink ref="E82" r:id="rId81" xr:uid="{00000000-0004-0000-0100-000050000000}"/>
    <hyperlink ref="E83" r:id="rId82" xr:uid="{00000000-0004-0000-0100-000051000000}"/>
    <hyperlink ref="E84" r:id="rId83" xr:uid="{00000000-0004-0000-0100-000052000000}"/>
    <hyperlink ref="E85" r:id="rId84" xr:uid="{00000000-0004-0000-0100-000053000000}"/>
    <hyperlink ref="E86" r:id="rId85" xr:uid="{00000000-0004-0000-0100-000054000000}"/>
    <hyperlink ref="E87" r:id="rId86" xr:uid="{00000000-0004-0000-0100-000055000000}"/>
    <hyperlink ref="E88" r:id="rId87" xr:uid="{00000000-0004-0000-0100-000056000000}"/>
    <hyperlink ref="E89" r:id="rId88" xr:uid="{00000000-0004-0000-0100-000057000000}"/>
    <hyperlink ref="E90" r:id="rId89" xr:uid="{00000000-0004-0000-0100-000058000000}"/>
    <hyperlink ref="E91" r:id="rId90" xr:uid="{00000000-0004-0000-0100-000059000000}"/>
    <hyperlink ref="E92" r:id="rId91" xr:uid="{00000000-0004-0000-0100-00005A000000}"/>
    <hyperlink ref="E93" r:id="rId92" xr:uid="{00000000-0004-0000-0100-00005B000000}"/>
    <hyperlink ref="E94" r:id="rId93" xr:uid="{00000000-0004-0000-0100-00005C000000}"/>
    <hyperlink ref="E95" r:id="rId94" xr:uid="{00000000-0004-0000-0100-00005D000000}"/>
    <hyperlink ref="E96" r:id="rId95" xr:uid="{00000000-0004-0000-0100-00005E000000}"/>
    <hyperlink ref="E97" r:id="rId96" xr:uid="{00000000-0004-0000-0100-00005F000000}"/>
    <hyperlink ref="E98" r:id="rId97" xr:uid="{00000000-0004-0000-0100-000060000000}"/>
    <hyperlink ref="E99" r:id="rId98" xr:uid="{00000000-0004-0000-0100-000061000000}"/>
    <hyperlink ref="E100" r:id="rId99" xr:uid="{00000000-0004-0000-0100-000062000000}"/>
    <hyperlink ref="E101" r:id="rId100" xr:uid="{00000000-0004-0000-0100-000063000000}"/>
    <hyperlink ref="E102" r:id="rId101" xr:uid="{00000000-0004-0000-0100-000064000000}"/>
    <hyperlink ref="E103" r:id="rId102" xr:uid="{00000000-0004-0000-0100-000065000000}"/>
    <hyperlink ref="E104" r:id="rId103" xr:uid="{00000000-0004-0000-0100-000066000000}"/>
    <hyperlink ref="E105" r:id="rId104" xr:uid="{00000000-0004-0000-0100-000067000000}"/>
    <hyperlink ref="E106" r:id="rId105" xr:uid="{00000000-0004-0000-0100-000068000000}"/>
    <hyperlink ref="E107" r:id="rId106" xr:uid="{00000000-0004-0000-0100-000069000000}"/>
    <hyperlink ref="E108" r:id="rId107" xr:uid="{00000000-0004-0000-0100-00006A000000}"/>
    <hyperlink ref="E109" r:id="rId108" xr:uid="{00000000-0004-0000-0100-00006B000000}"/>
    <hyperlink ref="E110" r:id="rId109" xr:uid="{00000000-0004-0000-0100-00006C000000}"/>
    <hyperlink ref="E111" r:id="rId110" xr:uid="{00000000-0004-0000-0100-00006D000000}"/>
    <hyperlink ref="E112" r:id="rId111" xr:uid="{00000000-0004-0000-0100-00006E000000}"/>
    <hyperlink ref="E113" r:id="rId112" xr:uid="{00000000-0004-0000-0100-00006F000000}"/>
    <hyperlink ref="E114" r:id="rId113" xr:uid="{00000000-0004-0000-0100-000070000000}"/>
    <hyperlink ref="E115" r:id="rId114" xr:uid="{00000000-0004-0000-0100-000071000000}"/>
    <hyperlink ref="E116" r:id="rId115" xr:uid="{00000000-0004-0000-0100-000072000000}"/>
    <hyperlink ref="E117" r:id="rId116" xr:uid="{00000000-0004-0000-0100-000073000000}"/>
    <hyperlink ref="E118" r:id="rId117" xr:uid="{00000000-0004-0000-0100-000074000000}"/>
    <hyperlink ref="E119" r:id="rId118" xr:uid="{00000000-0004-0000-0100-000075000000}"/>
    <hyperlink ref="E120" r:id="rId119" xr:uid="{00000000-0004-0000-0100-000076000000}"/>
    <hyperlink ref="E121" r:id="rId120" xr:uid="{00000000-0004-0000-0100-000077000000}"/>
    <hyperlink ref="E122" r:id="rId121" xr:uid="{00000000-0004-0000-0100-000078000000}"/>
    <hyperlink ref="E123" r:id="rId122" xr:uid="{00000000-0004-0000-0100-000079000000}"/>
    <hyperlink ref="E124" r:id="rId123" xr:uid="{00000000-0004-0000-0100-00007A000000}"/>
    <hyperlink ref="E125" r:id="rId124" xr:uid="{00000000-0004-0000-0100-00007B000000}"/>
    <hyperlink ref="E126" r:id="rId125" xr:uid="{00000000-0004-0000-0100-00007C000000}"/>
    <hyperlink ref="E127" r:id="rId126" xr:uid="{00000000-0004-0000-0100-00007D000000}"/>
    <hyperlink ref="E128" r:id="rId127" xr:uid="{00000000-0004-0000-0100-00007E000000}"/>
    <hyperlink ref="E129" r:id="rId128" xr:uid="{00000000-0004-0000-0100-00007F000000}"/>
    <hyperlink ref="E130" r:id="rId129" xr:uid="{00000000-0004-0000-0100-000080000000}"/>
    <hyperlink ref="E131" r:id="rId130" xr:uid="{00000000-0004-0000-0100-000081000000}"/>
    <hyperlink ref="E132" r:id="rId131" xr:uid="{00000000-0004-0000-0100-000082000000}"/>
    <hyperlink ref="E133" r:id="rId132" xr:uid="{00000000-0004-0000-0100-000083000000}"/>
    <hyperlink ref="E134" r:id="rId133" xr:uid="{00000000-0004-0000-0100-000084000000}"/>
    <hyperlink ref="E135" r:id="rId134" xr:uid="{00000000-0004-0000-0100-000085000000}"/>
    <hyperlink ref="E136" r:id="rId135" xr:uid="{00000000-0004-0000-0100-000086000000}"/>
    <hyperlink ref="E137" r:id="rId136" xr:uid="{00000000-0004-0000-0100-000087000000}"/>
    <hyperlink ref="E138" r:id="rId137" xr:uid="{00000000-0004-0000-0100-000088000000}"/>
    <hyperlink ref="E139" r:id="rId138" xr:uid="{00000000-0004-0000-0100-000089000000}"/>
    <hyperlink ref="E140" r:id="rId139" xr:uid="{00000000-0004-0000-0100-00008A000000}"/>
    <hyperlink ref="E141" r:id="rId140" xr:uid="{00000000-0004-0000-0100-00008B000000}"/>
    <hyperlink ref="E142" r:id="rId141" xr:uid="{00000000-0004-0000-0100-00008C000000}"/>
    <hyperlink ref="E143" r:id="rId142" xr:uid="{00000000-0004-0000-0100-00008D000000}"/>
    <hyperlink ref="E144" r:id="rId143" xr:uid="{00000000-0004-0000-0100-00008E000000}"/>
    <hyperlink ref="E145" r:id="rId144" xr:uid="{00000000-0004-0000-0100-00008F000000}"/>
    <hyperlink ref="E146" r:id="rId145" xr:uid="{00000000-0004-0000-0100-000090000000}"/>
    <hyperlink ref="E147" r:id="rId146" xr:uid="{00000000-0004-0000-0100-000091000000}"/>
    <hyperlink ref="E148" r:id="rId147" xr:uid="{00000000-0004-0000-0100-000092000000}"/>
    <hyperlink ref="E149" r:id="rId148" xr:uid="{00000000-0004-0000-0100-000093000000}"/>
    <hyperlink ref="E150" r:id="rId149" xr:uid="{00000000-0004-0000-0100-000094000000}"/>
    <hyperlink ref="E151" r:id="rId150" xr:uid="{00000000-0004-0000-0100-000095000000}"/>
    <hyperlink ref="E152" r:id="rId151" xr:uid="{00000000-0004-0000-0100-000096000000}"/>
    <hyperlink ref="E153" r:id="rId152" xr:uid="{00000000-0004-0000-0100-000097000000}"/>
    <hyperlink ref="E154" r:id="rId153" xr:uid="{00000000-0004-0000-0100-000098000000}"/>
    <hyperlink ref="E155" r:id="rId154" xr:uid="{00000000-0004-0000-0100-000099000000}"/>
    <hyperlink ref="E156" r:id="rId155" xr:uid="{00000000-0004-0000-0100-00009A000000}"/>
    <hyperlink ref="E157" r:id="rId156" xr:uid="{00000000-0004-0000-0100-00009B000000}"/>
    <hyperlink ref="E158" r:id="rId157" xr:uid="{00000000-0004-0000-0100-00009C000000}"/>
    <hyperlink ref="E159" r:id="rId158" xr:uid="{00000000-0004-0000-0100-00009D000000}"/>
    <hyperlink ref="E160" r:id="rId159" xr:uid="{00000000-0004-0000-0100-00009E000000}"/>
    <hyperlink ref="E161" r:id="rId160" xr:uid="{00000000-0004-0000-0100-00009F000000}"/>
    <hyperlink ref="E162" r:id="rId161" xr:uid="{00000000-0004-0000-0100-0000A0000000}"/>
    <hyperlink ref="E163" r:id="rId162" xr:uid="{00000000-0004-0000-0100-0000A1000000}"/>
    <hyperlink ref="E164" r:id="rId163" xr:uid="{00000000-0004-0000-0100-0000A2000000}"/>
    <hyperlink ref="E165" r:id="rId164" xr:uid="{00000000-0004-0000-0100-0000A3000000}"/>
    <hyperlink ref="E166" r:id="rId165" xr:uid="{00000000-0004-0000-0100-0000A4000000}"/>
    <hyperlink ref="E167" r:id="rId166" xr:uid="{00000000-0004-0000-0100-0000A5000000}"/>
    <hyperlink ref="E168" r:id="rId167" xr:uid="{00000000-0004-0000-0100-0000A6000000}"/>
    <hyperlink ref="E169" r:id="rId168" xr:uid="{00000000-0004-0000-0100-0000A7000000}"/>
    <hyperlink ref="E170" r:id="rId169" xr:uid="{00000000-0004-0000-0100-0000A8000000}"/>
    <hyperlink ref="E171" r:id="rId170" xr:uid="{00000000-0004-0000-0100-0000A9000000}"/>
    <hyperlink ref="E172" r:id="rId171" xr:uid="{00000000-0004-0000-0100-0000AA000000}"/>
    <hyperlink ref="E173" r:id="rId172" xr:uid="{00000000-0004-0000-0100-0000AB000000}"/>
    <hyperlink ref="E174" r:id="rId173" xr:uid="{00000000-0004-0000-0100-0000AC000000}"/>
    <hyperlink ref="E175" r:id="rId174" xr:uid="{00000000-0004-0000-0100-0000AD000000}"/>
    <hyperlink ref="E176" r:id="rId175" xr:uid="{00000000-0004-0000-0100-0000AE000000}"/>
    <hyperlink ref="E177" r:id="rId176" xr:uid="{00000000-0004-0000-0100-0000AF000000}"/>
    <hyperlink ref="E178" r:id="rId177" xr:uid="{00000000-0004-0000-0100-0000B0000000}"/>
    <hyperlink ref="E179" r:id="rId178" xr:uid="{00000000-0004-0000-0100-0000B1000000}"/>
    <hyperlink ref="E180" r:id="rId179" xr:uid="{00000000-0004-0000-0100-0000B2000000}"/>
    <hyperlink ref="E181" r:id="rId180" xr:uid="{00000000-0004-0000-0100-0000B3000000}"/>
    <hyperlink ref="E182" r:id="rId181" xr:uid="{00000000-0004-0000-0100-0000B4000000}"/>
    <hyperlink ref="E183" r:id="rId182" xr:uid="{00000000-0004-0000-0100-0000B5000000}"/>
    <hyperlink ref="E184" r:id="rId183" xr:uid="{00000000-0004-0000-0100-0000B6000000}"/>
    <hyperlink ref="E185" r:id="rId184" xr:uid="{00000000-0004-0000-0100-0000B7000000}"/>
    <hyperlink ref="E186" r:id="rId185" xr:uid="{00000000-0004-0000-0100-0000B8000000}"/>
    <hyperlink ref="E187" r:id="rId186" xr:uid="{00000000-0004-0000-0100-0000B9000000}"/>
    <hyperlink ref="E188" r:id="rId187" xr:uid="{00000000-0004-0000-0100-0000BA000000}"/>
    <hyperlink ref="E189" r:id="rId188" xr:uid="{00000000-0004-0000-0100-0000BB000000}"/>
    <hyperlink ref="E190" r:id="rId189" xr:uid="{00000000-0004-0000-0100-0000BC000000}"/>
    <hyperlink ref="E191" r:id="rId190" xr:uid="{00000000-0004-0000-0100-0000BD000000}"/>
    <hyperlink ref="E192" r:id="rId191" xr:uid="{00000000-0004-0000-0100-0000BE000000}"/>
    <hyperlink ref="E193" r:id="rId192" xr:uid="{00000000-0004-0000-0100-0000BF000000}"/>
    <hyperlink ref="E194" r:id="rId193" xr:uid="{00000000-0004-0000-0100-0000C0000000}"/>
    <hyperlink ref="E195" r:id="rId194" xr:uid="{00000000-0004-0000-0100-0000C1000000}"/>
    <hyperlink ref="E196" r:id="rId195" xr:uid="{00000000-0004-0000-0100-0000C2000000}"/>
    <hyperlink ref="E197" r:id="rId196" xr:uid="{00000000-0004-0000-0100-0000C3000000}"/>
    <hyperlink ref="E198" r:id="rId197" xr:uid="{00000000-0004-0000-0100-0000C4000000}"/>
    <hyperlink ref="E199" r:id="rId198" xr:uid="{00000000-0004-0000-0100-0000C5000000}"/>
    <hyperlink ref="E200" r:id="rId199" xr:uid="{00000000-0004-0000-0100-0000C6000000}"/>
    <hyperlink ref="E201" r:id="rId200" xr:uid="{00000000-0004-0000-0100-0000C7000000}"/>
    <hyperlink ref="E202" r:id="rId201" xr:uid="{00000000-0004-0000-0100-0000C8000000}"/>
    <hyperlink ref="E203" r:id="rId202" xr:uid="{00000000-0004-0000-0100-0000C9000000}"/>
    <hyperlink ref="E204" r:id="rId203" xr:uid="{00000000-0004-0000-0100-0000CA000000}"/>
    <hyperlink ref="E205" r:id="rId204" xr:uid="{00000000-0004-0000-0100-0000CB000000}"/>
    <hyperlink ref="E206" r:id="rId205" xr:uid="{00000000-0004-0000-0100-0000CC000000}"/>
    <hyperlink ref="E207" r:id="rId206" xr:uid="{00000000-0004-0000-0100-0000CD000000}"/>
    <hyperlink ref="E208" r:id="rId207" xr:uid="{00000000-0004-0000-0100-0000CE000000}"/>
    <hyperlink ref="E209" r:id="rId208" xr:uid="{00000000-0004-0000-0100-0000CF000000}"/>
    <hyperlink ref="E210" r:id="rId209" xr:uid="{00000000-0004-0000-0100-0000D0000000}"/>
    <hyperlink ref="E211" r:id="rId210" xr:uid="{00000000-0004-0000-0100-0000D1000000}"/>
    <hyperlink ref="E212" r:id="rId211" xr:uid="{00000000-0004-0000-0100-0000D2000000}"/>
    <hyperlink ref="E213" r:id="rId212" xr:uid="{00000000-0004-0000-0100-0000D3000000}"/>
    <hyperlink ref="E214" r:id="rId213" xr:uid="{00000000-0004-0000-0100-0000D4000000}"/>
    <hyperlink ref="E215" r:id="rId214" xr:uid="{00000000-0004-0000-0100-0000D5000000}"/>
    <hyperlink ref="E216" r:id="rId215" xr:uid="{00000000-0004-0000-0100-0000D6000000}"/>
    <hyperlink ref="E217" r:id="rId216" xr:uid="{00000000-0004-0000-0100-0000D7000000}"/>
    <hyperlink ref="E218" r:id="rId217" xr:uid="{00000000-0004-0000-0100-0000D8000000}"/>
    <hyperlink ref="E219" r:id="rId218" xr:uid="{00000000-0004-0000-0100-0000D9000000}"/>
    <hyperlink ref="E220" r:id="rId219" xr:uid="{00000000-0004-0000-0100-0000DA000000}"/>
    <hyperlink ref="E221" r:id="rId220" xr:uid="{00000000-0004-0000-0100-0000DB000000}"/>
    <hyperlink ref="E222" r:id="rId221" xr:uid="{00000000-0004-0000-0100-0000DC000000}"/>
    <hyperlink ref="E223" r:id="rId222" xr:uid="{00000000-0004-0000-0100-0000DD000000}"/>
    <hyperlink ref="E224" r:id="rId223" xr:uid="{00000000-0004-0000-0100-0000DE000000}"/>
    <hyperlink ref="E225" r:id="rId224" xr:uid="{00000000-0004-0000-0100-0000DF000000}"/>
    <hyperlink ref="E226" r:id="rId225" xr:uid="{00000000-0004-0000-0100-0000E0000000}"/>
    <hyperlink ref="E227" r:id="rId226" xr:uid="{00000000-0004-0000-0100-0000E1000000}"/>
    <hyperlink ref="E228" r:id="rId227" xr:uid="{00000000-0004-0000-0100-0000E2000000}"/>
    <hyperlink ref="E229" r:id="rId228" xr:uid="{00000000-0004-0000-0100-0000E3000000}"/>
    <hyperlink ref="E230" r:id="rId229" xr:uid="{00000000-0004-0000-0100-0000E4000000}"/>
    <hyperlink ref="E231" r:id="rId230" xr:uid="{00000000-0004-0000-0100-0000E5000000}"/>
    <hyperlink ref="E232" r:id="rId231" xr:uid="{00000000-0004-0000-0100-0000E6000000}"/>
    <hyperlink ref="E233" r:id="rId232" xr:uid="{00000000-0004-0000-0100-0000E7000000}"/>
    <hyperlink ref="E234" r:id="rId233" xr:uid="{00000000-0004-0000-0100-0000E8000000}"/>
    <hyperlink ref="E235" r:id="rId234" xr:uid="{00000000-0004-0000-0100-0000E9000000}"/>
    <hyperlink ref="E236" r:id="rId235" xr:uid="{00000000-0004-0000-0100-0000EA000000}"/>
    <hyperlink ref="E237" r:id="rId236" xr:uid="{00000000-0004-0000-0100-0000EB000000}"/>
    <hyperlink ref="E238" r:id="rId237" xr:uid="{00000000-0004-0000-0100-0000EC000000}"/>
    <hyperlink ref="E239" r:id="rId238" xr:uid="{00000000-0004-0000-0100-0000ED000000}"/>
    <hyperlink ref="E240" r:id="rId239" xr:uid="{00000000-0004-0000-0100-0000EE000000}"/>
    <hyperlink ref="E241" r:id="rId240" xr:uid="{00000000-0004-0000-0100-0000EF000000}"/>
    <hyperlink ref="E242" r:id="rId241" xr:uid="{00000000-0004-0000-0100-0000F0000000}"/>
    <hyperlink ref="E243" r:id="rId242" xr:uid="{00000000-0004-0000-0100-0000F1000000}"/>
    <hyperlink ref="E244" r:id="rId243" xr:uid="{00000000-0004-0000-0100-0000F2000000}"/>
    <hyperlink ref="E245" r:id="rId244" xr:uid="{00000000-0004-0000-0100-0000F3000000}"/>
    <hyperlink ref="E246" r:id="rId245" xr:uid="{00000000-0004-0000-0100-0000F4000000}"/>
    <hyperlink ref="E247" r:id="rId246" xr:uid="{00000000-0004-0000-0100-0000F5000000}"/>
    <hyperlink ref="E248" r:id="rId247" xr:uid="{00000000-0004-0000-0100-0000F6000000}"/>
    <hyperlink ref="E249" r:id="rId248" xr:uid="{00000000-0004-0000-0100-0000F7000000}"/>
    <hyperlink ref="E250" r:id="rId249" xr:uid="{00000000-0004-0000-0100-0000F8000000}"/>
    <hyperlink ref="E251" r:id="rId250" xr:uid="{00000000-0004-0000-0100-0000F9000000}"/>
    <hyperlink ref="E252" r:id="rId251" xr:uid="{00000000-0004-0000-0100-0000FA000000}"/>
    <hyperlink ref="E253" r:id="rId252" xr:uid="{00000000-0004-0000-0100-0000FB000000}"/>
    <hyperlink ref="E254" r:id="rId253" xr:uid="{00000000-0004-0000-0100-0000FC000000}"/>
    <hyperlink ref="E255" r:id="rId254" xr:uid="{00000000-0004-0000-0100-0000FD000000}"/>
    <hyperlink ref="E256" r:id="rId255" xr:uid="{00000000-0004-0000-0100-0000FE000000}"/>
    <hyperlink ref="E257" r:id="rId256" xr:uid="{00000000-0004-0000-0100-0000FF000000}"/>
    <hyperlink ref="E258" r:id="rId257" xr:uid="{00000000-0004-0000-0100-000000010000}"/>
    <hyperlink ref="E259" r:id="rId258" xr:uid="{00000000-0004-0000-0100-000001010000}"/>
    <hyperlink ref="E260" r:id="rId259" xr:uid="{00000000-0004-0000-0100-000002010000}"/>
    <hyperlink ref="E261" r:id="rId260" xr:uid="{00000000-0004-0000-0100-000003010000}"/>
    <hyperlink ref="E262" r:id="rId261" xr:uid="{00000000-0004-0000-0100-000004010000}"/>
    <hyperlink ref="E263" r:id="rId262" xr:uid="{00000000-0004-0000-0100-000005010000}"/>
    <hyperlink ref="E264" r:id="rId263" xr:uid="{00000000-0004-0000-0100-000006010000}"/>
    <hyperlink ref="E265" r:id="rId264" xr:uid="{00000000-0004-0000-0100-000007010000}"/>
    <hyperlink ref="E266" r:id="rId265" xr:uid="{00000000-0004-0000-0100-000008010000}"/>
    <hyperlink ref="E267" r:id="rId266" xr:uid="{00000000-0004-0000-0100-000009010000}"/>
    <hyperlink ref="E268" r:id="rId267" xr:uid="{00000000-0004-0000-0100-00000A010000}"/>
    <hyperlink ref="E269" r:id="rId268" xr:uid="{00000000-0004-0000-0100-00000B010000}"/>
    <hyperlink ref="E270" r:id="rId269" xr:uid="{00000000-0004-0000-0100-00000C010000}"/>
    <hyperlink ref="E271" r:id="rId270" xr:uid="{00000000-0004-0000-0100-00000D010000}"/>
    <hyperlink ref="E272" r:id="rId271" xr:uid="{00000000-0004-0000-0100-00000E010000}"/>
    <hyperlink ref="E273" r:id="rId272" xr:uid="{00000000-0004-0000-0100-00000F010000}"/>
    <hyperlink ref="E274" r:id="rId273" xr:uid="{00000000-0004-0000-0100-000010010000}"/>
    <hyperlink ref="E275" r:id="rId274" xr:uid="{00000000-0004-0000-0100-000011010000}"/>
    <hyperlink ref="E276" r:id="rId275" xr:uid="{00000000-0004-0000-0100-000012010000}"/>
    <hyperlink ref="E277" r:id="rId276" xr:uid="{00000000-0004-0000-0100-000013010000}"/>
    <hyperlink ref="E278" r:id="rId277" xr:uid="{00000000-0004-0000-0100-000014010000}"/>
    <hyperlink ref="E279" r:id="rId278" xr:uid="{00000000-0004-0000-0100-000015010000}"/>
    <hyperlink ref="E280" r:id="rId279" xr:uid="{00000000-0004-0000-0100-000016010000}"/>
    <hyperlink ref="E281" r:id="rId280" xr:uid="{00000000-0004-0000-0100-000017010000}"/>
    <hyperlink ref="E282" r:id="rId281" xr:uid="{00000000-0004-0000-0100-000018010000}"/>
    <hyperlink ref="E283" r:id="rId282" xr:uid="{00000000-0004-0000-0100-000019010000}"/>
    <hyperlink ref="E284" r:id="rId283" xr:uid="{00000000-0004-0000-0100-00001A010000}"/>
    <hyperlink ref="E285" r:id="rId284" xr:uid="{00000000-0004-0000-0100-00001B010000}"/>
    <hyperlink ref="E286" r:id="rId285" display="Caption: Uber CEO Dara Khosrowshahi said people could see lower ride prices as a result of its recent layoffs. 🚖 The company cut about 10% of its workforce, nearly 3,300 people. Uber says it plans to use the money it's saving to &quot;reinvest it back in the busine" xr:uid="{00000000-0004-0000-0100-00001C010000}"/>
    <hyperlink ref="E287" r:id="rId286" xr:uid="{00000000-0004-0000-0100-00001D010000}"/>
    <hyperlink ref="E288" r:id="rId287" xr:uid="{00000000-0004-0000-0100-00001E010000}"/>
    <hyperlink ref="E289" r:id="rId288" xr:uid="{00000000-0004-0000-0100-00001F010000}"/>
    <hyperlink ref="E290" r:id="rId289" xr:uid="{00000000-0004-0000-0100-000020010000}"/>
    <hyperlink ref="E291" r:id="rId290" xr:uid="{00000000-0004-0000-0100-000021010000}"/>
    <hyperlink ref="E292" r:id="rId291" xr:uid="{00000000-0004-0000-0100-000022010000}"/>
    <hyperlink ref="E293" r:id="rId292" xr:uid="{00000000-0004-0000-0100-000023010000}"/>
    <hyperlink ref="E294" r:id="rId293" xr:uid="{00000000-0004-0000-0100-000024010000}"/>
    <hyperlink ref="E295" r:id="rId294" xr:uid="{00000000-0004-0000-0100-000025010000}"/>
    <hyperlink ref="E296" r:id="rId295" xr:uid="{00000000-0004-0000-0100-000026010000}"/>
    <hyperlink ref="E297" r:id="rId296" xr:uid="{00000000-0004-0000-0100-000027010000}"/>
    <hyperlink ref="E298" r:id="rId297" xr:uid="{00000000-0004-0000-0100-000028010000}"/>
    <hyperlink ref="E299" r:id="rId298" xr:uid="{00000000-0004-0000-0100-000029010000}"/>
    <hyperlink ref="E300" r:id="rId299" xr:uid="{00000000-0004-0000-0100-00002A010000}"/>
    <hyperlink ref="E301" r:id="rId300" xr:uid="{00000000-0004-0000-0100-00002B010000}"/>
    <hyperlink ref="E302" r:id="rId301" xr:uid="{00000000-0004-0000-0100-00002C010000}"/>
    <hyperlink ref="E303" r:id="rId302" xr:uid="{00000000-0004-0000-0100-00002D010000}"/>
    <hyperlink ref="E304" r:id="rId303" xr:uid="{00000000-0004-0000-0100-00002E010000}"/>
    <hyperlink ref="E305" r:id="rId304" xr:uid="{00000000-0004-0000-0100-00002F010000}"/>
    <hyperlink ref="E306" r:id="rId305" xr:uid="{00000000-0004-0000-0100-000030010000}"/>
    <hyperlink ref="E307" r:id="rId306" xr:uid="{00000000-0004-0000-0100-000031010000}"/>
    <hyperlink ref="E308" r:id="rId307" xr:uid="{00000000-0004-0000-0100-000032010000}"/>
    <hyperlink ref="E309" r:id="rId308" xr:uid="{00000000-0004-0000-0100-000033010000}"/>
    <hyperlink ref="E310" r:id="rId309" xr:uid="{00000000-0004-0000-0100-000034010000}"/>
    <hyperlink ref="E311" r:id="rId310" xr:uid="{00000000-0004-0000-0100-000035010000}"/>
    <hyperlink ref="E312" r:id="rId311" xr:uid="{00000000-0004-0000-0100-000036010000}"/>
    <hyperlink ref="E313" r:id="rId312" xr:uid="{00000000-0004-0000-0100-000037010000}"/>
    <hyperlink ref="E314" r:id="rId313" xr:uid="{00000000-0004-0000-0100-000038010000}"/>
    <hyperlink ref="E315" r:id="rId314" xr:uid="{00000000-0004-0000-0100-000039010000}"/>
    <hyperlink ref="E316" r:id="rId315" xr:uid="{00000000-0004-0000-0100-00003A010000}"/>
    <hyperlink ref="E317" r:id="rId316" xr:uid="{00000000-0004-0000-0100-00003B010000}"/>
    <hyperlink ref="E318" r:id="rId317" xr:uid="{00000000-0004-0000-0100-00003C010000}"/>
    <hyperlink ref="E319" r:id="rId318" xr:uid="{00000000-0004-0000-0100-00003D010000}"/>
    <hyperlink ref="E320" r:id="rId319" xr:uid="{00000000-0004-0000-0100-00003E010000}"/>
    <hyperlink ref="E321" r:id="rId320" xr:uid="{00000000-0004-0000-0100-00003F010000}"/>
    <hyperlink ref="E322" r:id="rId321" xr:uid="{00000000-0004-0000-0100-000040010000}"/>
    <hyperlink ref="E323" r:id="rId322" xr:uid="{00000000-0004-0000-0100-000041010000}"/>
    <hyperlink ref="E324" r:id="rId323" xr:uid="{00000000-0004-0000-0100-000042010000}"/>
    <hyperlink ref="E325" r:id="rId324" xr:uid="{00000000-0004-0000-0100-000043010000}"/>
    <hyperlink ref="E326" r:id="rId325" xr:uid="{00000000-0004-0000-0100-000044010000}"/>
    <hyperlink ref="E327" r:id="rId326" xr:uid="{00000000-0004-0000-0100-000045010000}"/>
    <hyperlink ref="E328" r:id="rId327" xr:uid="{00000000-0004-0000-0100-000046010000}"/>
    <hyperlink ref="E329" r:id="rId328" xr:uid="{00000000-0004-0000-0100-000047010000}"/>
    <hyperlink ref="E330" r:id="rId329" xr:uid="{00000000-0004-0000-0100-000048010000}"/>
    <hyperlink ref="E331" r:id="rId330" xr:uid="{00000000-0004-0000-0100-000049010000}"/>
    <hyperlink ref="E332" r:id="rId331" xr:uid="{00000000-0004-0000-0100-00004A010000}"/>
    <hyperlink ref="E333" r:id="rId332" xr:uid="{00000000-0004-0000-0100-00004B010000}"/>
    <hyperlink ref="E334" r:id="rId333" xr:uid="{00000000-0004-0000-0100-00004C010000}"/>
    <hyperlink ref="E335" r:id="rId334" xr:uid="{00000000-0004-0000-0100-00004D010000}"/>
    <hyperlink ref="E336" r:id="rId335" xr:uid="{00000000-0004-0000-0100-00004E010000}"/>
    <hyperlink ref="E337" r:id="rId336" xr:uid="{00000000-0004-0000-0100-00004F010000}"/>
    <hyperlink ref="E338" r:id="rId337" xr:uid="{00000000-0004-0000-0100-000050010000}"/>
    <hyperlink ref="E339" r:id="rId338" xr:uid="{00000000-0004-0000-0100-000051010000}"/>
    <hyperlink ref="E340" r:id="rId339" xr:uid="{00000000-0004-0000-0100-000052010000}"/>
    <hyperlink ref="E341" r:id="rId340" xr:uid="{00000000-0004-0000-0100-000053010000}"/>
    <hyperlink ref="E342" r:id="rId341" xr:uid="{00000000-0004-0000-0100-000054010000}"/>
    <hyperlink ref="E343" r:id="rId342" xr:uid="{00000000-0004-0000-0100-000055010000}"/>
    <hyperlink ref="E344" r:id="rId343" xr:uid="{00000000-0004-0000-0100-000056010000}"/>
    <hyperlink ref="E345" r:id="rId344" xr:uid="{00000000-0004-0000-0100-000057010000}"/>
    <hyperlink ref="E346" r:id="rId345" xr:uid="{00000000-0004-0000-0100-000058010000}"/>
    <hyperlink ref="E347" r:id="rId346" xr:uid="{00000000-0004-0000-0100-000059010000}"/>
    <hyperlink ref="E348" r:id="rId347" xr:uid="{00000000-0004-0000-0100-00005A010000}"/>
    <hyperlink ref="E349" r:id="rId348" xr:uid="{00000000-0004-0000-0100-00005B010000}"/>
    <hyperlink ref="E350" r:id="rId349" xr:uid="{00000000-0004-0000-0100-00005C010000}"/>
    <hyperlink ref="E351" r:id="rId350" xr:uid="{00000000-0004-0000-0100-00005D010000}"/>
    <hyperlink ref="E352" r:id="rId351" xr:uid="{00000000-0004-0000-0100-00005E010000}"/>
    <hyperlink ref="E353" r:id="rId352" xr:uid="{00000000-0004-0000-0100-00005F010000}"/>
    <hyperlink ref="E354" r:id="rId353" xr:uid="{00000000-0004-0000-0100-000060010000}"/>
    <hyperlink ref="E355" r:id="rId354" xr:uid="{00000000-0004-0000-0100-000061010000}"/>
    <hyperlink ref="E356" r:id="rId355" xr:uid="{00000000-0004-0000-0100-000062010000}"/>
    <hyperlink ref="E357" r:id="rId356" xr:uid="{00000000-0004-0000-0100-000063010000}"/>
    <hyperlink ref="E358" r:id="rId357" xr:uid="{00000000-0004-0000-0100-000064010000}"/>
    <hyperlink ref="E359" r:id="rId358" xr:uid="{00000000-0004-0000-0100-000065010000}"/>
    <hyperlink ref="E360" r:id="rId359" xr:uid="{00000000-0004-0000-0100-000066010000}"/>
    <hyperlink ref="E361" r:id="rId360" xr:uid="{00000000-0004-0000-0100-000067010000}"/>
    <hyperlink ref="E362" r:id="rId361" xr:uid="{00000000-0004-0000-0100-000068010000}"/>
    <hyperlink ref="E363" r:id="rId362" xr:uid="{00000000-0004-0000-0100-000069010000}"/>
    <hyperlink ref="E364" r:id="rId363" xr:uid="{00000000-0004-0000-0100-00006A010000}"/>
    <hyperlink ref="E365" r:id="rId364" xr:uid="{00000000-0004-0000-0100-00006B010000}"/>
    <hyperlink ref="E366" r:id="rId365" xr:uid="{00000000-0004-0000-0100-00006C010000}"/>
    <hyperlink ref="E367" r:id="rId366" xr:uid="{00000000-0004-0000-0100-00006D010000}"/>
    <hyperlink ref="E368" r:id="rId367" xr:uid="{00000000-0004-0000-0100-00006E010000}"/>
    <hyperlink ref="E369" r:id="rId368" xr:uid="{00000000-0004-0000-0100-00006F010000}"/>
    <hyperlink ref="E370" r:id="rId369" xr:uid="{00000000-0004-0000-0100-000070010000}"/>
    <hyperlink ref="E371" r:id="rId370" xr:uid="{00000000-0004-0000-0100-000071010000}"/>
    <hyperlink ref="E372" r:id="rId371" xr:uid="{00000000-0004-0000-0100-000072010000}"/>
    <hyperlink ref="E373" r:id="rId372" xr:uid="{00000000-0004-0000-0100-000073010000}"/>
    <hyperlink ref="E374" r:id="rId373" xr:uid="{00000000-0004-0000-0100-000074010000}"/>
    <hyperlink ref="E375" r:id="rId374" xr:uid="{00000000-0004-0000-0100-000075010000}"/>
    <hyperlink ref="E376" r:id="rId375" xr:uid="{00000000-0004-0000-0100-000076010000}"/>
    <hyperlink ref="E377" r:id="rId376" xr:uid="{00000000-0004-0000-0100-000077010000}"/>
    <hyperlink ref="E378" r:id="rId377" xr:uid="{00000000-0004-0000-0100-000078010000}"/>
    <hyperlink ref="E379" r:id="rId378" xr:uid="{00000000-0004-0000-0100-000079010000}"/>
    <hyperlink ref="E380" r:id="rId379" xr:uid="{00000000-0004-0000-0100-00007A010000}"/>
    <hyperlink ref="E381" r:id="rId380" xr:uid="{00000000-0004-0000-0100-00007B010000}"/>
    <hyperlink ref="E382" r:id="rId381" xr:uid="{00000000-0004-0000-0100-00007C010000}"/>
    <hyperlink ref="E383" r:id="rId382" xr:uid="{00000000-0004-0000-0100-00007D010000}"/>
    <hyperlink ref="E384" r:id="rId383" xr:uid="{00000000-0004-0000-0100-00007E010000}"/>
    <hyperlink ref="E385" r:id="rId384" xr:uid="{00000000-0004-0000-0100-00007F010000}"/>
    <hyperlink ref="E386" r:id="rId385" xr:uid="{00000000-0004-0000-0100-000080010000}"/>
    <hyperlink ref="E387" r:id="rId386" xr:uid="{00000000-0004-0000-0100-000081010000}"/>
    <hyperlink ref="E388" r:id="rId387" xr:uid="{00000000-0004-0000-0100-000082010000}"/>
    <hyperlink ref="E389" r:id="rId388" xr:uid="{00000000-0004-0000-0100-000083010000}"/>
    <hyperlink ref="E390" r:id="rId389" xr:uid="{00000000-0004-0000-0100-000084010000}"/>
    <hyperlink ref="E391" r:id="rId390" xr:uid="{00000000-0004-0000-0100-000085010000}"/>
    <hyperlink ref="E392" r:id="rId391" xr:uid="{00000000-0004-0000-0100-000086010000}"/>
    <hyperlink ref="E393" r:id="rId392" xr:uid="{00000000-0004-0000-0100-000087010000}"/>
    <hyperlink ref="E394" r:id="rId393" xr:uid="{00000000-0004-0000-0100-000088010000}"/>
    <hyperlink ref="E395" r:id="rId394" xr:uid="{00000000-0004-0000-0100-000089010000}"/>
    <hyperlink ref="E396" r:id="rId395" xr:uid="{00000000-0004-0000-0100-00008A010000}"/>
    <hyperlink ref="E397" r:id="rId396" xr:uid="{00000000-0004-0000-0100-00008B010000}"/>
    <hyperlink ref="E398" r:id="rId397" xr:uid="{00000000-0004-0000-0100-00008C010000}"/>
    <hyperlink ref="E399" r:id="rId398" xr:uid="{00000000-0004-0000-0100-00008D010000}"/>
    <hyperlink ref="E400" r:id="rId399" xr:uid="{00000000-0004-0000-0100-00008E010000}"/>
    <hyperlink ref="E401" r:id="rId400" xr:uid="{00000000-0004-0000-0100-00008F010000}"/>
    <hyperlink ref="E402" r:id="rId401" xr:uid="{00000000-0004-0000-0100-000090010000}"/>
    <hyperlink ref="E403" r:id="rId402" xr:uid="{00000000-0004-0000-0100-000091010000}"/>
    <hyperlink ref="E404" r:id="rId403" xr:uid="{00000000-0004-0000-0100-000092010000}"/>
    <hyperlink ref="E405" r:id="rId404" xr:uid="{00000000-0004-0000-0100-000093010000}"/>
    <hyperlink ref="E406" r:id="rId405" xr:uid="{00000000-0004-0000-0100-000094010000}"/>
    <hyperlink ref="E407" r:id="rId406" xr:uid="{00000000-0004-0000-0100-000095010000}"/>
    <hyperlink ref="E408" r:id="rId407" xr:uid="{00000000-0004-0000-0100-000096010000}"/>
    <hyperlink ref="E409" r:id="rId408" xr:uid="{00000000-0004-0000-0100-000097010000}"/>
    <hyperlink ref="E410" r:id="rId409" xr:uid="{00000000-0004-0000-0100-000098010000}"/>
    <hyperlink ref="E411" r:id="rId410" xr:uid="{00000000-0004-0000-0100-000099010000}"/>
    <hyperlink ref="E412" r:id="rId411" xr:uid="{00000000-0004-0000-0100-00009A010000}"/>
    <hyperlink ref="E413" r:id="rId412" xr:uid="{00000000-0004-0000-0100-00009B010000}"/>
    <hyperlink ref="E414" r:id="rId413" xr:uid="{00000000-0004-0000-0100-00009C010000}"/>
    <hyperlink ref="E415" r:id="rId414" xr:uid="{00000000-0004-0000-0100-00009D010000}"/>
    <hyperlink ref="E416" r:id="rId415" xr:uid="{00000000-0004-0000-0100-00009E010000}"/>
    <hyperlink ref="E417" r:id="rId416" xr:uid="{00000000-0004-0000-0100-00009F010000}"/>
    <hyperlink ref="E418" r:id="rId417" xr:uid="{00000000-0004-0000-0100-0000A0010000}"/>
    <hyperlink ref="E419" r:id="rId418" xr:uid="{00000000-0004-0000-0100-0000A1010000}"/>
    <hyperlink ref="E420" r:id="rId419" xr:uid="{00000000-0004-0000-0100-0000A2010000}"/>
    <hyperlink ref="E421" r:id="rId420" xr:uid="{00000000-0004-0000-0100-0000A3010000}"/>
    <hyperlink ref="E422" r:id="rId421" xr:uid="{00000000-0004-0000-0100-0000A4010000}"/>
    <hyperlink ref="E423" r:id="rId422" xr:uid="{00000000-0004-0000-0100-0000A5010000}"/>
    <hyperlink ref="E424" r:id="rId423" xr:uid="{00000000-0004-0000-0100-0000A6010000}"/>
    <hyperlink ref="E425" r:id="rId424" xr:uid="{00000000-0004-0000-0100-0000A7010000}"/>
    <hyperlink ref="E426" r:id="rId425" xr:uid="{00000000-0004-0000-0100-0000A8010000}"/>
    <hyperlink ref="E427" r:id="rId426" xr:uid="{00000000-0004-0000-0100-0000A9010000}"/>
    <hyperlink ref="E428" r:id="rId427" xr:uid="{00000000-0004-0000-0100-0000AA010000}"/>
    <hyperlink ref="E429" r:id="rId428" xr:uid="{00000000-0004-0000-0100-0000AB010000}"/>
    <hyperlink ref="E430" r:id="rId429" xr:uid="{00000000-0004-0000-0100-0000AC010000}"/>
    <hyperlink ref="E431" r:id="rId430" xr:uid="{00000000-0004-0000-0100-0000AD010000}"/>
    <hyperlink ref="E432" r:id="rId431" xr:uid="{00000000-0004-0000-0100-0000AE010000}"/>
    <hyperlink ref="E433" r:id="rId432" xr:uid="{00000000-0004-0000-0100-0000AF010000}"/>
    <hyperlink ref="E434" r:id="rId433" xr:uid="{00000000-0004-0000-0100-0000B0010000}"/>
    <hyperlink ref="E435" r:id="rId434" xr:uid="{00000000-0004-0000-0100-0000B1010000}"/>
    <hyperlink ref="E436" r:id="rId435" xr:uid="{00000000-0004-0000-0100-0000B2010000}"/>
    <hyperlink ref="E437" r:id="rId436" xr:uid="{00000000-0004-0000-0100-0000B3010000}"/>
    <hyperlink ref="E438" r:id="rId437" xr:uid="{00000000-0004-0000-0100-0000B4010000}"/>
    <hyperlink ref="E439" r:id="rId438" xr:uid="{00000000-0004-0000-0100-0000B5010000}"/>
    <hyperlink ref="E440" r:id="rId439" xr:uid="{00000000-0004-0000-0100-0000B6010000}"/>
    <hyperlink ref="E441" r:id="rId440" xr:uid="{00000000-0004-0000-0100-0000B7010000}"/>
    <hyperlink ref="E442" r:id="rId441" xr:uid="{00000000-0004-0000-0100-0000B8010000}"/>
    <hyperlink ref="E443" r:id="rId442" xr:uid="{00000000-0004-0000-0100-0000B9010000}"/>
    <hyperlink ref="E444" r:id="rId443" xr:uid="{00000000-0004-0000-0100-0000BA010000}"/>
    <hyperlink ref="E445" r:id="rId444" xr:uid="{00000000-0004-0000-0100-0000BB010000}"/>
    <hyperlink ref="E446" r:id="rId445" xr:uid="{00000000-0004-0000-0100-0000BC010000}"/>
    <hyperlink ref="E447" r:id="rId446" xr:uid="{00000000-0004-0000-0100-0000BD010000}"/>
    <hyperlink ref="E448" r:id="rId447" xr:uid="{00000000-0004-0000-0100-0000BE010000}"/>
    <hyperlink ref="E449" r:id="rId448" xr:uid="{00000000-0004-0000-0100-0000BF010000}"/>
    <hyperlink ref="E450" r:id="rId449" xr:uid="{00000000-0004-0000-0100-0000C0010000}"/>
    <hyperlink ref="E451" r:id="rId450" xr:uid="{00000000-0004-0000-0100-0000C1010000}"/>
    <hyperlink ref="E452" r:id="rId451" xr:uid="{00000000-0004-0000-0100-0000C2010000}"/>
    <hyperlink ref="E453" r:id="rId452" xr:uid="{00000000-0004-0000-0100-0000C3010000}"/>
    <hyperlink ref="E454" r:id="rId453" xr:uid="{00000000-0004-0000-0100-0000C4010000}"/>
    <hyperlink ref="E455" r:id="rId454" xr:uid="{00000000-0004-0000-0100-0000C5010000}"/>
    <hyperlink ref="E456" r:id="rId455" xr:uid="{00000000-0004-0000-0100-0000C6010000}"/>
    <hyperlink ref="E457" r:id="rId456" xr:uid="{00000000-0004-0000-0100-0000C7010000}"/>
    <hyperlink ref="E458" r:id="rId457" display="LOOK: Some areas in Manila are experiencing gutter-deep flooding amid moderate to heavy rains and strong winds as of 8:00 am this Monday, Aug. 17. Affected areas: - Mabini Street cor. Pedro Gil - Gutter Deep - Mabini Street cor. Arsenio Herrera - Gutter De" xr:uid="{00000000-0004-0000-0100-0000C8010000}"/>
    <hyperlink ref="E459" r:id="rId458" xr:uid="{00000000-0004-0000-0100-0000C9010000}"/>
    <hyperlink ref="E460" r:id="rId459" xr:uid="{00000000-0004-0000-0100-0000CA010000}"/>
    <hyperlink ref="E461" r:id="rId460" display="Moderate to heavy rain with strong winds are currently affecting parts of Manila as of 7:18 a.m., Aug. 17, 2026, according to the Manila DRRM. Gutter-deep flooding reported along: • Quirino Ave. (Vito Cruz) • Quirino Ave. cor. Taft Ave. • Quirino Ave. SB • Padre" xr:uid="{00000000-0004-0000-0100-0000CB010000}"/>
    <hyperlink ref="E462" r:id="rId461" xr:uid="{00000000-0004-0000-0100-0000CC010000}"/>
    <hyperlink ref="E463" r:id="rId462" xr:uid="{00000000-0004-0000-0100-0000CD010000}"/>
    <hyperlink ref="E464" r:id="rId463" xr:uid="{00000000-0004-0000-0100-0000CE010000}"/>
    <hyperlink ref="E465" r:id="rId464" xr:uid="{00000000-0004-0000-0100-0000CF010000}"/>
    <hyperlink ref="E466" r:id="rId465" xr:uid="{00000000-0004-0000-0100-0000D0010000}"/>
    <hyperlink ref="E467" r:id="rId466" xr:uid="{00000000-0004-0000-0100-0000D1010000}"/>
    <hyperlink ref="E468" r:id="rId467" xr:uid="{00000000-0004-0000-0100-0000D2010000}"/>
    <hyperlink ref="E469" r:id="rId468" xr:uid="{00000000-0004-0000-0100-0000D3010000}"/>
    <hyperlink ref="E470" r:id="rId469" xr:uid="{00000000-0004-0000-0100-0000D4010000}"/>
    <hyperlink ref="E471" r:id="rId470" xr:uid="{00000000-0004-0000-0100-0000D5010000}"/>
    <hyperlink ref="E472" r:id="rId471" xr:uid="{00000000-0004-0000-0100-0000D6010000}"/>
    <hyperlink ref="E473" r:id="rId472" xr:uid="{00000000-0004-0000-0100-0000D7010000}"/>
    <hyperlink ref="E474" r:id="rId473" xr:uid="{00000000-0004-0000-0100-0000D8010000}"/>
    <hyperlink ref="E475" r:id="rId474" xr:uid="{00000000-0004-0000-0100-0000D9010000}"/>
    <hyperlink ref="E476" r:id="rId475" xr:uid="{00000000-0004-0000-0100-0000DA010000}"/>
    <hyperlink ref="E477" r:id="rId476" xr:uid="{00000000-0004-0000-0100-0000DB010000}"/>
    <hyperlink ref="E478" r:id="rId477" xr:uid="{00000000-0004-0000-0100-0000DC010000}"/>
    <hyperlink ref="E479" r:id="rId478" xr:uid="{00000000-0004-0000-0100-0000DD010000}"/>
    <hyperlink ref="E480" r:id="rId479" xr:uid="{00000000-0004-0000-0100-0000DE010000}"/>
    <hyperlink ref="E481" r:id="rId480" xr:uid="{00000000-0004-0000-0100-0000DF010000}"/>
    <hyperlink ref="E482" r:id="rId481" xr:uid="{00000000-0004-0000-0100-0000E0010000}"/>
    <hyperlink ref="E483" r:id="rId482" xr:uid="{00000000-0004-0000-0100-0000E1010000}"/>
    <hyperlink ref="E484" r:id="rId483" xr:uid="{00000000-0004-0000-0100-0000E2010000}"/>
    <hyperlink ref="E485" r:id="rId484" xr:uid="{00000000-0004-0000-0100-0000E3010000}"/>
    <hyperlink ref="E486" r:id="rId485" xr:uid="{00000000-0004-0000-0100-0000E4010000}"/>
    <hyperlink ref="E487" r:id="rId486" xr:uid="{00000000-0004-0000-0100-0000E5010000}"/>
    <hyperlink ref="E488" r:id="rId487" xr:uid="{00000000-0004-0000-0100-0000E6010000}"/>
    <hyperlink ref="E489" r:id="rId488" xr:uid="{00000000-0004-0000-0100-0000E7010000}"/>
    <hyperlink ref="E490" r:id="rId489" xr:uid="{00000000-0004-0000-0100-0000E8010000}"/>
    <hyperlink ref="E491" r:id="rId490" xr:uid="{00000000-0004-0000-0100-0000E9010000}"/>
    <hyperlink ref="E492" r:id="rId491" xr:uid="{00000000-0004-0000-0100-0000EA010000}"/>
    <hyperlink ref="E493" r:id="rId492" xr:uid="{00000000-0004-0000-0100-0000EB010000}"/>
    <hyperlink ref="E494" r:id="rId493" xr:uid="{00000000-0004-0000-0100-0000EC010000}"/>
    <hyperlink ref="E495" r:id="rId494" xr:uid="{00000000-0004-0000-0100-0000ED010000}"/>
    <hyperlink ref="E496" r:id="rId495" xr:uid="{00000000-0004-0000-0100-0000EE010000}"/>
    <hyperlink ref="E497" r:id="rId496" xr:uid="{00000000-0004-0000-0100-0000EF010000}"/>
    <hyperlink ref="E498" r:id="rId497" xr:uid="{00000000-0004-0000-0100-0000F0010000}"/>
    <hyperlink ref="E499" r:id="rId498" xr:uid="{00000000-0004-0000-0100-0000F1010000}"/>
    <hyperlink ref="E500" r:id="rId499" xr:uid="{00000000-0004-0000-0100-0000F2010000}"/>
    <hyperlink ref="E501" r:id="rId500" xr:uid="{00000000-0004-0000-0100-0000F3010000}"/>
    <hyperlink ref="E502" r:id="rId501" xr:uid="{00000000-0004-0000-0100-0000F4010000}"/>
    <hyperlink ref="E503" r:id="rId502" xr:uid="{00000000-0004-0000-0100-0000F5010000}"/>
    <hyperlink ref="E504" r:id="rId503" xr:uid="{00000000-0004-0000-0100-0000F6010000}"/>
    <hyperlink ref="E505" r:id="rId504" xr:uid="{00000000-0004-0000-0100-0000F7010000}"/>
    <hyperlink ref="E506" r:id="rId505" xr:uid="{00000000-0004-0000-0100-0000F8010000}"/>
    <hyperlink ref="E507" r:id="rId506" xr:uid="{00000000-0004-0000-0100-0000F9010000}"/>
    <hyperlink ref="E508" r:id="rId507" xr:uid="{00000000-0004-0000-0100-0000FA010000}"/>
    <hyperlink ref="E509" r:id="rId508" xr:uid="{00000000-0004-0000-0100-0000FB010000}"/>
    <hyperlink ref="E510" r:id="rId509" xr:uid="{00000000-0004-0000-0100-0000FC010000}"/>
    <hyperlink ref="E511" r:id="rId510" xr:uid="{00000000-0004-0000-0100-0000FD010000}"/>
    <hyperlink ref="E512" r:id="rId511" xr:uid="{00000000-0004-0000-0100-0000FE010000}"/>
    <hyperlink ref="E513" r:id="rId512" xr:uid="{00000000-0004-0000-0100-0000FF010000}"/>
    <hyperlink ref="E514" r:id="rId513" xr:uid="{00000000-0004-0000-0100-000000020000}"/>
    <hyperlink ref="E515" r:id="rId514" xr:uid="{00000000-0004-0000-0100-000001020000}"/>
    <hyperlink ref="E516" r:id="rId515" xr:uid="{00000000-0004-0000-0100-000002020000}"/>
    <hyperlink ref="E517" r:id="rId516" xr:uid="{00000000-0004-0000-0100-000003020000}"/>
    <hyperlink ref="E518" r:id="rId517" xr:uid="{00000000-0004-0000-0100-000004020000}"/>
    <hyperlink ref="E519" r:id="rId518" xr:uid="{00000000-0004-0000-0100-000005020000}"/>
    <hyperlink ref="E520" r:id="rId519" xr:uid="{00000000-0004-0000-0100-000006020000}"/>
    <hyperlink ref="E521" r:id="rId520" xr:uid="{00000000-0004-0000-0100-000007020000}"/>
    <hyperlink ref="E522" r:id="rId521" xr:uid="{00000000-0004-0000-0100-000008020000}"/>
    <hyperlink ref="E523" r:id="rId522" xr:uid="{00000000-0004-0000-0100-000009020000}"/>
    <hyperlink ref="E524" r:id="rId523" xr:uid="{00000000-0004-0000-0100-00000A020000}"/>
    <hyperlink ref="E525" r:id="rId524" xr:uid="{00000000-0004-0000-0100-00000B020000}"/>
    <hyperlink ref="E526" r:id="rId525" xr:uid="{00000000-0004-0000-0100-00000C020000}"/>
    <hyperlink ref="E527" r:id="rId526" xr:uid="{00000000-0004-0000-0100-00000D020000}"/>
    <hyperlink ref="E528" r:id="rId527" xr:uid="{00000000-0004-0000-0100-00000E020000}"/>
    <hyperlink ref="E529" r:id="rId528" xr:uid="{00000000-0004-0000-0100-00000F020000}"/>
    <hyperlink ref="E530" r:id="rId529" xr:uid="{00000000-0004-0000-0100-000010020000}"/>
    <hyperlink ref="E531" r:id="rId530" xr:uid="{00000000-0004-0000-0100-000011020000}"/>
    <hyperlink ref="E532" r:id="rId531" xr:uid="{00000000-0004-0000-0100-000012020000}"/>
    <hyperlink ref="E533" r:id="rId532" xr:uid="{00000000-0004-0000-0100-000013020000}"/>
    <hyperlink ref="E534" r:id="rId533" xr:uid="{00000000-0004-0000-0100-000014020000}"/>
    <hyperlink ref="E535" r:id="rId534" xr:uid="{00000000-0004-0000-0100-000015020000}"/>
    <hyperlink ref="E536" r:id="rId535" xr:uid="{00000000-0004-0000-0100-000016020000}"/>
    <hyperlink ref="E537" r:id="rId536" xr:uid="{00000000-0004-0000-0100-000017020000}"/>
    <hyperlink ref="E538" r:id="rId537" xr:uid="{00000000-0004-0000-0100-000018020000}"/>
    <hyperlink ref="E539" r:id="rId538" xr:uid="{00000000-0004-0000-0100-000019020000}"/>
    <hyperlink ref="E540" r:id="rId539" xr:uid="{00000000-0004-0000-0100-00001A020000}"/>
    <hyperlink ref="E541" r:id="rId540" xr:uid="{00000000-0004-0000-0100-00001B020000}"/>
    <hyperlink ref="E542" r:id="rId541" xr:uid="{00000000-0004-0000-0100-00001C020000}"/>
    <hyperlink ref="E543" r:id="rId542" xr:uid="{00000000-0004-0000-0100-00001D020000}"/>
    <hyperlink ref="E544" r:id="rId543" xr:uid="{00000000-0004-0000-0100-00001E020000}"/>
    <hyperlink ref="E545" r:id="rId544" xr:uid="{00000000-0004-0000-0100-00001F020000}"/>
    <hyperlink ref="E546" r:id="rId545" xr:uid="{00000000-0004-0000-0100-000020020000}"/>
    <hyperlink ref="E547" r:id="rId546" xr:uid="{00000000-0004-0000-0100-000021020000}"/>
    <hyperlink ref="E548" r:id="rId547" xr:uid="{00000000-0004-0000-0100-000022020000}"/>
    <hyperlink ref="E549" r:id="rId548" xr:uid="{00000000-0004-0000-0100-000023020000}"/>
    <hyperlink ref="E550" r:id="rId549" xr:uid="{00000000-0004-0000-0100-000024020000}"/>
    <hyperlink ref="E551" r:id="rId550" xr:uid="{00000000-0004-0000-0100-000025020000}"/>
    <hyperlink ref="E552" r:id="rId551" xr:uid="{00000000-0004-0000-0100-000026020000}"/>
    <hyperlink ref="E553" r:id="rId552" xr:uid="{00000000-0004-0000-0100-000027020000}"/>
    <hyperlink ref="E554" r:id="rId553" xr:uid="{00000000-0004-0000-0100-000028020000}"/>
    <hyperlink ref="E555" r:id="rId554" xr:uid="{00000000-0004-0000-0100-000029020000}"/>
    <hyperlink ref="E556" r:id="rId555" xr:uid="{00000000-0004-0000-0100-00002A020000}"/>
    <hyperlink ref="E557" r:id="rId556" xr:uid="{00000000-0004-0000-0100-00002B020000}"/>
    <hyperlink ref="E558" r:id="rId557" xr:uid="{00000000-0004-0000-0100-00002C020000}"/>
    <hyperlink ref="E559" r:id="rId558" xr:uid="{00000000-0004-0000-0100-00002D020000}"/>
    <hyperlink ref="E560" r:id="rId559" xr:uid="{00000000-0004-0000-0100-00002E020000}"/>
    <hyperlink ref="E561" r:id="rId560" xr:uid="{00000000-0004-0000-0100-00002F020000}"/>
    <hyperlink ref="E562" r:id="rId561" xr:uid="{00000000-0004-0000-0100-000030020000}"/>
    <hyperlink ref="E563" r:id="rId562" xr:uid="{00000000-0004-0000-0100-000031020000}"/>
    <hyperlink ref="E564" r:id="rId563" xr:uid="{00000000-0004-0000-0100-000032020000}"/>
    <hyperlink ref="E565" r:id="rId564" xr:uid="{00000000-0004-0000-0100-000033020000}"/>
    <hyperlink ref="E566" r:id="rId565" xr:uid="{00000000-0004-0000-0100-000034020000}"/>
    <hyperlink ref="E567" r:id="rId566" xr:uid="{00000000-0004-0000-0100-000035020000}"/>
    <hyperlink ref="E568" r:id="rId567" xr:uid="{00000000-0004-0000-0100-000036020000}"/>
    <hyperlink ref="E569" r:id="rId568" xr:uid="{00000000-0004-0000-0100-000037020000}"/>
    <hyperlink ref="E570" r:id="rId569" xr:uid="{00000000-0004-0000-0100-000038020000}"/>
    <hyperlink ref="E571" r:id="rId570" xr:uid="{00000000-0004-0000-0100-000039020000}"/>
    <hyperlink ref="E572" r:id="rId571" xr:uid="{00000000-0004-0000-0100-00003A020000}"/>
    <hyperlink ref="E573" r:id="rId572" xr:uid="{00000000-0004-0000-0100-00003B020000}"/>
    <hyperlink ref="E574" r:id="rId573" xr:uid="{00000000-0004-0000-0100-00003C020000}"/>
    <hyperlink ref="E575" r:id="rId574" xr:uid="{00000000-0004-0000-0100-00003D020000}"/>
    <hyperlink ref="E576" r:id="rId575" xr:uid="{00000000-0004-0000-0100-00003E020000}"/>
    <hyperlink ref="E577" r:id="rId576" xr:uid="{00000000-0004-0000-0100-00003F020000}"/>
    <hyperlink ref="E578" r:id="rId577" xr:uid="{00000000-0004-0000-0100-000040020000}"/>
    <hyperlink ref="E579" r:id="rId578" xr:uid="{00000000-0004-0000-0100-000041020000}"/>
    <hyperlink ref="E580" r:id="rId579" xr:uid="{00000000-0004-0000-0100-000042020000}"/>
    <hyperlink ref="E581" r:id="rId580" xr:uid="{00000000-0004-0000-0100-000043020000}"/>
    <hyperlink ref="E582" r:id="rId581" xr:uid="{00000000-0004-0000-0100-000044020000}"/>
    <hyperlink ref="E583" r:id="rId582" xr:uid="{00000000-0004-0000-0100-000045020000}"/>
    <hyperlink ref="E584" r:id="rId583" xr:uid="{00000000-0004-0000-0100-000046020000}"/>
    <hyperlink ref="E585" r:id="rId584" xr:uid="{00000000-0004-0000-0100-000047020000}"/>
    <hyperlink ref="E586" r:id="rId585" xr:uid="{00000000-0004-0000-0100-000048020000}"/>
    <hyperlink ref="E587" r:id="rId586" xr:uid="{00000000-0004-0000-0100-000049020000}"/>
    <hyperlink ref="E588" r:id="rId587" xr:uid="{00000000-0004-0000-0100-00004A020000}"/>
    <hyperlink ref="E589" r:id="rId588" xr:uid="{00000000-0004-0000-0100-00004B020000}"/>
    <hyperlink ref="E590" r:id="rId589" xr:uid="{00000000-0004-0000-0100-00004C020000}"/>
    <hyperlink ref="E591" r:id="rId590" xr:uid="{00000000-0004-0000-0100-00004D020000}"/>
    <hyperlink ref="E592" r:id="rId591" xr:uid="{00000000-0004-0000-0100-00004E020000}"/>
    <hyperlink ref="E593" r:id="rId592" xr:uid="{00000000-0004-0000-0100-00004F020000}"/>
    <hyperlink ref="E594" r:id="rId593" xr:uid="{00000000-0004-0000-0100-000050020000}"/>
    <hyperlink ref="E595" r:id="rId594" xr:uid="{00000000-0004-0000-0100-000051020000}"/>
    <hyperlink ref="E596" r:id="rId595" xr:uid="{00000000-0004-0000-0100-000052020000}"/>
    <hyperlink ref="E597" r:id="rId596" xr:uid="{00000000-0004-0000-0100-000053020000}"/>
    <hyperlink ref="E598" r:id="rId597" xr:uid="{00000000-0004-0000-0100-000054020000}"/>
    <hyperlink ref="E599" r:id="rId598" xr:uid="{00000000-0004-0000-0100-000055020000}"/>
    <hyperlink ref="E600" r:id="rId599" xr:uid="{00000000-0004-0000-0100-000056020000}"/>
    <hyperlink ref="E601" r:id="rId600" xr:uid="{00000000-0004-0000-0100-000057020000}"/>
    <hyperlink ref="E602" r:id="rId601" xr:uid="{00000000-0004-0000-0100-000058020000}"/>
    <hyperlink ref="E603" r:id="rId602" xr:uid="{00000000-0004-0000-0100-000059020000}"/>
    <hyperlink ref="E604" r:id="rId603" xr:uid="{00000000-0004-0000-0100-00005A020000}"/>
    <hyperlink ref="E605" r:id="rId604" xr:uid="{00000000-0004-0000-0100-00005B020000}"/>
    <hyperlink ref="E606" r:id="rId605" xr:uid="{00000000-0004-0000-0100-00005C020000}"/>
    <hyperlink ref="E607" r:id="rId606" xr:uid="{00000000-0004-0000-0100-00005D020000}"/>
    <hyperlink ref="E608" r:id="rId607" xr:uid="{00000000-0004-0000-0100-00005E020000}"/>
    <hyperlink ref="E609" r:id="rId608" xr:uid="{00000000-0004-0000-0100-00005F020000}"/>
    <hyperlink ref="E610" r:id="rId609" xr:uid="{00000000-0004-0000-0100-000060020000}"/>
    <hyperlink ref="E611" r:id="rId610" xr:uid="{00000000-0004-0000-0100-000061020000}"/>
    <hyperlink ref="E612" r:id="rId611" xr:uid="{00000000-0004-0000-0100-000062020000}"/>
    <hyperlink ref="E613" r:id="rId612" xr:uid="{00000000-0004-0000-0100-000063020000}"/>
    <hyperlink ref="E614" r:id="rId613" xr:uid="{00000000-0004-0000-0100-000064020000}"/>
    <hyperlink ref="E615" r:id="rId614" xr:uid="{00000000-0004-0000-0100-000065020000}"/>
    <hyperlink ref="E616" r:id="rId615" xr:uid="{00000000-0004-0000-0100-000066020000}"/>
    <hyperlink ref="E617" r:id="rId616" xr:uid="{00000000-0004-0000-0100-000067020000}"/>
    <hyperlink ref="E618" r:id="rId617" xr:uid="{00000000-0004-0000-0100-000068020000}"/>
    <hyperlink ref="E619" r:id="rId618" xr:uid="{00000000-0004-0000-0100-000069020000}"/>
    <hyperlink ref="E620" r:id="rId619" xr:uid="{00000000-0004-0000-0100-00006A020000}"/>
    <hyperlink ref="E621" r:id="rId620" xr:uid="{00000000-0004-0000-0100-00006B020000}"/>
    <hyperlink ref="E622" r:id="rId621" xr:uid="{00000000-0004-0000-0100-00006C020000}"/>
    <hyperlink ref="E623" r:id="rId622" xr:uid="{00000000-0004-0000-0100-00006D020000}"/>
    <hyperlink ref="E624" r:id="rId623" xr:uid="{00000000-0004-0000-0100-00006E020000}"/>
    <hyperlink ref="E625" r:id="rId624" xr:uid="{00000000-0004-0000-0100-00006F020000}"/>
    <hyperlink ref="E626" r:id="rId625" xr:uid="{00000000-0004-0000-0100-000070020000}"/>
    <hyperlink ref="E627" r:id="rId626" xr:uid="{00000000-0004-0000-0100-000071020000}"/>
    <hyperlink ref="E628" r:id="rId627" xr:uid="{00000000-0004-0000-0100-000072020000}"/>
    <hyperlink ref="E629" r:id="rId628" xr:uid="{00000000-0004-0000-0100-000073020000}"/>
    <hyperlink ref="E630" r:id="rId629" xr:uid="{00000000-0004-0000-0100-000074020000}"/>
    <hyperlink ref="E631" r:id="rId630" xr:uid="{00000000-0004-0000-0100-000075020000}"/>
    <hyperlink ref="E632" r:id="rId631" xr:uid="{00000000-0004-0000-0100-000076020000}"/>
    <hyperlink ref="E633" r:id="rId632" xr:uid="{00000000-0004-0000-0100-000077020000}"/>
    <hyperlink ref="E634" r:id="rId633" xr:uid="{00000000-0004-0000-0100-000078020000}"/>
    <hyperlink ref="E635" r:id="rId634" xr:uid="{00000000-0004-0000-0100-000079020000}"/>
    <hyperlink ref="E636" r:id="rId635" xr:uid="{00000000-0004-0000-0100-00007A020000}"/>
    <hyperlink ref="E637" r:id="rId636" xr:uid="{00000000-0004-0000-0100-00007B020000}"/>
    <hyperlink ref="E638" r:id="rId637" xr:uid="{00000000-0004-0000-0100-00007C020000}"/>
    <hyperlink ref="E639" r:id="rId638" xr:uid="{00000000-0004-0000-0100-00007D020000}"/>
    <hyperlink ref="E640" r:id="rId639" xr:uid="{00000000-0004-0000-0100-00007E020000}"/>
    <hyperlink ref="E641" r:id="rId640" xr:uid="{00000000-0004-0000-0100-00007F020000}"/>
    <hyperlink ref="E642" r:id="rId641" xr:uid="{00000000-0004-0000-0100-000080020000}"/>
    <hyperlink ref="E643" r:id="rId642" xr:uid="{00000000-0004-0000-0100-000081020000}"/>
    <hyperlink ref="E644" r:id="rId643" xr:uid="{00000000-0004-0000-0100-000082020000}"/>
    <hyperlink ref="E645" r:id="rId644" xr:uid="{00000000-0004-0000-0100-000083020000}"/>
    <hyperlink ref="E646" r:id="rId645" xr:uid="{00000000-0004-0000-0100-000084020000}"/>
  </hyperlink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ErrorMessage="1" errorTitle="事件代碼" error="只能選規則表內的事件代碼" xr:uid="{00000000-0002-0000-0100-000001000000}">
          <x14:formula1>
            <xm:f>事件規則!$A$2:$A$53</xm:f>
          </x14:formula1>
          <x14:formula2>
            <xm:f>0</xm:f>
          </x14:formula2>
          <xm:sqref>S2:S646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5"/>
  <sheetViews>
    <sheetView zoomScaleNormal="100" workbookViewId="0"/>
  </sheetViews>
  <sheetFormatPr defaultColWidth="8.7109375" defaultRowHeight="15"/>
  <cols>
    <col min="1" max="1" width="38" customWidth="1"/>
    <col min="2" max="2" width="24" customWidth="1"/>
    <col min="3" max="3" width="8" customWidth="1"/>
  </cols>
  <sheetData>
    <row r="1" spans="1:3">
      <c r="A1" s="24" t="s">
        <v>2638</v>
      </c>
      <c r="B1" s="25" t="s">
        <v>2639</v>
      </c>
      <c r="C1" s="24" t="s">
        <v>2640</v>
      </c>
    </row>
    <row r="2" spans="1:3">
      <c r="A2" s="26" t="s">
        <v>2641</v>
      </c>
      <c r="B2" s="5" t="s">
        <v>2642</v>
      </c>
      <c r="C2" s="5">
        <v>5</v>
      </c>
    </row>
    <row r="3" spans="1:3">
      <c r="A3" s="26" t="s">
        <v>2643</v>
      </c>
      <c r="B3" s="5" t="s">
        <v>2644</v>
      </c>
      <c r="C3" s="5">
        <v>5</v>
      </c>
    </row>
    <row r="4" spans="1:3">
      <c r="A4" s="26" t="s">
        <v>2645</v>
      </c>
      <c r="B4" s="5" t="s">
        <v>2646</v>
      </c>
      <c r="C4" s="5">
        <v>5</v>
      </c>
    </row>
    <row r="5" spans="1:3">
      <c r="A5" s="26" t="s">
        <v>2647</v>
      </c>
      <c r="B5" s="5" t="s">
        <v>2648</v>
      </c>
      <c r="C5" s="5">
        <v>5</v>
      </c>
    </row>
    <row r="6" spans="1:3">
      <c r="A6" s="26" t="s">
        <v>2649</v>
      </c>
      <c r="B6" s="5" t="s">
        <v>2650</v>
      </c>
      <c r="C6" s="5">
        <v>5</v>
      </c>
    </row>
    <row r="7" spans="1:3">
      <c r="A7" s="26" t="s">
        <v>2651</v>
      </c>
      <c r="B7" s="5" t="s">
        <v>2652</v>
      </c>
      <c r="C7" s="5">
        <v>5</v>
      </c>
    </row>
    <row r="8" spans="1:3">
      <c r="A8" s="26" t="s">
        <v>2653</v>
      </c>
      <c r="B8" s="5" t="s">
        <v>2654</v>
      </c>
      <c r="C8" s="5">
        <v>5</v>
      </c>
    </row>
    <row r="9" spans="1:3">
      <c r="A9" s="26" t="s">
        <v>2655</v>
      </c>
      <c r="B9" s="5" t="s">
        <v>2656</v>
      </c>
      <c r="C9" s="5">
        <v>4</v>
      </c>
    </row>
    <row r="10" spans="1:3">
      <c r="A10" s="26" t="s">
        <v>2657</v>
      </c>
      <c r="B10" s="5" t="s">
        <v>2658</v>
      </c>
      <c r="C10" s="5">
        <v>4</v>
      </c>
    </row>
    <row r="11" spans="1:3">
      <c r="A11" s="26" t="s">
        <v>2659</v>
      </c>
      <c r="B11" s="5" t="s">
        <v>2660</v>
      </c>
      <c r="C11" s="5">
        <v>4</v>
      </c>
    </row>
    <row r="12" spans="1:3">
      <c r="A12" s="26" t="s">
        <v>2661</v>
      </c>
      <c r="B12" s="5" t="s">
        <v>2662</v>
      </c>
      <c r="C12" s="5">
        <v>4</v>
      </c>
    </row>
    <row r="13" spans="1:3">
      <c r="A13" s="26" t="s">
        <v>2663</v>
      </c>
      <c r="B13" s="5" t="s">
        <v>2664</v>
      </c>
      <c r="C13" s="5">
        <v>4</v>
      </c>
    </row>
    <row r="14" spans="1:3">
      <c r="A14" s="26" t="s">
        <v>2665</v>
      </c>
      <c r="B14" s="26" t="s">
        <v>2666</v>
      </c>
      <c r="C14" s="5">
        <v>4</v>
      </c>
    </row>
    <row r="15" spans="1:3">
      <c r="A15" s="26" t="s">
        <v>2667</v>
      </c>
      <c r="B15" s="5" t="s">
        <v>2668</v>
      </c>
      <c r="C15" s="5">
        <v>4</v>
      </c>
    </row>
    <row r="16" spans="1:3">
      <c r="A16" s="26" t="s">
        <v>2669</v>
      </c>
      <c r="B16" s="5" t="s">
        <v>2670</v>
      </c>
      <c r="C16" s="5">
        <v>4</v>
      </c>
    </row>
    <row r="17" spans="1:3">
      <c r="A17" s="26" t="s">
        <v>2219</v>
      </c>
      <c r="B17" s="5" t="s">
        <v>2671</v>
      </c>
      <c r="C17" s="5">
        <v>4</v>
      </c>
    </row>
    <row r="18" spans="1:3">
      <c r="A18" s="26" t="s">
        <v>2672</v>
      </c>
      <c r="B18" s="5" t="s">
        <v>2673</v>
      </c>
      <c r="C18" s="5">
        <v>4</v>
      </c>
    </row>
    <row r="19" spans="1:3">
      <c r="A19" s="26" t="s">
        <v>2674</v>
      </c>
      <c r="B19" s="5" t="s">
        <v>2675</v>
      </c>
      <c r="C19" s="5">
        <v>4</v>
      </c>
    </row>
    <row r="20" spans="1:3">
      <c r="A20" s="26" t="s">
        <v>2676</v>
      </c>
      <c r="B20" s="5" t="s">
        <v>2677</v>
      </c>
      <c r="C20" s="5">
        <v>4</v>
      </c>
    </row>
    <row r="21" spans="1:3">
      <c r="A21" s="26" t="s">
        <v>2678</v>
      </c>
      <c r="B21" s="5" t="s">
        <v>2679</v>
      </c>
      <c r="C21" s="5">
        <v>4</v>
      </c>
    </row>
    <row r="22" spans="1:3">
      <c r="A22" s="26" t="s">
        <v>51</v>
      </c>
      <c r="B22" s="26" t="s">
        <v>52</v>
      </c>
      <c r="C22" s="5">
        <v>3</v>
      </c>
    </row>
    <row r="23" spans="1:3">
      <c r="A23" s="26" t="s">
        <v>2680</v>
      </c>
      <c r="B23" s="26" t="s">
        <v>2681</v>
      </c>
      <c r="C23" s="5">
        <v>3</v>
      </c>
    </row>
    <row r="24" spans="1:3">
      <c r="A24" s="26" t="s">
        <v>2682</v>
      </c>
      <c r="B24" s="26" t="s">
        <v>2683</v>
      </c>
      <c r="C24" s="5">
        <v>3</v>
      </c>
    </row>
    <row r="25" spans="1:3">
      <c r="A25" s="26" t="s">
        <v>83</v>
      </c>
      <c r="B25" s="5" t="s">
        <v>84</v>
      </c>
      <c r="C25" s="5">
        <v>3</v>
      </c>
    </row>
    <row r="26" spans="1:3">
      <c r="A26" s="26" t="s">
        <v>155</v>
      </c>
      <c r="B26" s="5" t="s">
        <v>156</v>
      </c>
      <c r="C26" s="5">
        <v>3</v>
      </c>
    </row>
    <row r="27" spans="1:3">
      <c r="A27" s="26" t="s">
        <v>293</v>
      </c>
      <c r="B27" s="5" t="s">
        <v>294</v>
      </c>
      <c r="C27" s="5">
        <v>3</v>
      </c>
    </row>
    <row r="28" spans="1:3">
      <c r="A28" s="26" t="s">
        <v>480</v>
      </c>
      <c r="B28" s="5" t="s">
        <v>481</v>
      </c>
      <c r="C28" s="5">
        <v>3</v>
      </c>
    </row>
    <row r="29" spans="1:3">
      <c r="A29" s="26" t="s">
        <v>525</v>
      </c>
      <c r="B29" s="5" t="s">
        <v>526</v>
      </c>
      <c r="C29" s="5">
        <v>3</v>
      </c>
    </row>
    <row r="30" spans="1:3">
      <c r="A30" s="26" t="s">
        <v>2684</v>
      </c>
      <c r="B30" s="5" t="s">
        <v>2685</v>
      </c>
      <c r="C30" s="5">
        <v>3</v>
      </c>
    </row>
    <row r="31" spans="1:3">
      <c r="A31" s="26" t="s">
        <v>1560</v>
      </c>
      <c r="B31" s="5" t="s">
        <v>1561</v>
      </c>
      <c r="C31" s="5">
        <v>3</v>
      </c>
    </row>
    <row r="32" spans="1:3">
      <c r="A32" s="26" t="s">
        <v>548</v>
      </c>
      <c r="B32" s="5" t="s">
        <v>549</v>
      </c>
      <c r="C32" s="5">
        <v>3</v>
      </c>
    </row>
    <row r="33" spans="1:3">
      <c r="A33" s="26" t="s">
        <v>662</v>
      </c>
      <c r="B33" s="5" t="s">
        <v>663</v>
      </c>
      <c r="C33" s="5">
        <v>3</v>
      </c>
    </row>
    <row r="34" spans="1:3">
      <c r="A34" s="26" t="s">
        <v>131</v>
      </c>
      <c r="B34" s="5" t="s">
        <v>2686</v>
      </c>
      <c r="C34" s="5">
        <v>3</v>
      </c>
    </row>
    <row r="35" spans="1:3">
      <c r="A35" s="26" t="s">
        <v>671</v>
      </c>
      <c r="B35" s="5" t="s">
        <v>672</v>
      </c>
      <c r="C35" s="5">
        <v>3</v>
      </c>
    </row>
    <row r="36" spans="1:3">
      <c r="A36" s="26" t="s">
        <v>2687</v>
      </c>
      <c r="B36" s="5" t="s">
        <v>2688</v>
      </c>
      <c r="C36" s="5">
        <v>3</v>
      </c>
    </row>
    <row r="37" spans="1:3">
      <c r="A37" s="26" t="s">
        <v>687</v>
      </c>
      <c r="B37" s="5" t="s">
        <v>688</v>
      </c>
      <c r="C37" s="5">
        <v>3</v>
      </c>
    </row>
    <row r="38" spans="1:3">
      <c r="A38" s="26" t="s">
        <v>2689</v>
      </c>
      <c r="B38" s="5" t="s">
        <v>2690</v>
      </c>
      <c r="C38" s="5">
        <v>3</v>
      </c>
    </row>
    <row r="39" spans="1:3">
      <c r="A39" s="26" t="s">
        <v>906</v>
      </c>
      <c r="B39" s="5" t="s">
        <v>907</v>
      </c>
      <c r="C39" s="5">
        <v>3</v>
      </c>
    </row>
    <row r="40" spans="1:3">
      <c r="A40" s="26" t="s">
        <v>1672</v>
      </c>
      <c r="B40" s="5" t="s">
        <v>1673</v>
      </c>
      <c r="C40" s="5">
        <v>2</v>
      </c>
    </row>
    <row r="41" spans="1:3">
      <c r="A41" s="26" t="s">
        <v>2691</v>
      </c>
      <c r="B41" s="5" t="s">
        <v>2692</v>
      </c>
      <c r="C41" s="5">
        <v>2</v>
      </c>
    </row>
    <row r="42" spans="1:3">
      <c r="A42" s="26" t="s">
        <v>2693</v>
      </c>
      <c r="B42" s="5" t="s">
        <v>2694</v>
      </c>
      <c r="C42" s="5">
        <v>2</v>
      </c>
    </row>
    <row r="43" spans="1:3">
      <c r="A43" s="26" t="s">
        <v>1587</v>
      </c>
      <c r="B43" s="5" t="s">
        <v>1722</v>
      </c>
      <c r="C43" s="5">
        <v>2</v>
      </c>
    </row>
    <row r="44" spans="1:3">
      <c r="A44" s="26" t="s">
        <v>2695</v>
      </c>
      <c r="B44" s="5" t="s">
        <v>2696</v>
      </c>
      <c r="C44" s="5">
        <v>2</v>
      </c>
    </row>
    <row r="45" spans="1:3">
      <c r="A45" s="26" t="s">
        <v>1728</v>
      </c>
      <c r="B45" s="5" t="s">
        <v>1729</v>
      </c>
      <c r="C45" s="5">
        <v>2</v>
      </c>
    </row>
    <row r="46" spans="1:3">
      <c r="A46" s="26" t="s">
        <v>1797</v>
      </c>
      <c r="B46" s="5" t="s">
        <v>1798</v>
      </c>
      <c r="C46" s="5">
        <v>1</v>
      </c>
    </row>
    <row r="47" spans="1:3">
      <c r="A47" s="26" t="s">
        <v>1780</v>
      </c>
      <c r="B47" s="5" t="s">
        <v>2147</v>
      </c>
      <c r="C47" s="5">
        <v>1</v>
      </c>
    </row>
    <row r="48" spans="1:3">
      <c r="A48" s="26" t="s">
        <v>2697</v>
      </c>
      <c r="B48" s="5" t="s">
        <v>2698</v>
      </c>
      <c r="C48" s="5">
        <v>1</v>
      </c>
    </row>
    <row r="49" spans="1:3">
      <c r="A49" s="26" t="s">
        <v>2699</v>
      </c>
      <c r="B49" s="5" t="s">
        <v>2700</v>
      </c>
      <c r="C49" s="5">
        <v>1</v>
      </c>
    </row>
    <row r="50" spans="1:3">
      <c r="A50" s="26" t="s">
        <v>2634</v>
      </c>
      <c r="B50" s="5" t="s">
        <v>2635</v>
      </c>
      <c r="C50" s="5">
        <v>0</v>
      </c>
    </row>
    <row r="51" spans="1:3">
      <c r="A51" s="26" t="s">
        <v>2701</v>
      </c>
      <c r="B51" s="5" t="s">
        <v>2702</v>
      </c>
      <c r="C51" s="5">
        <v>0</v>
      </c>
    </row>
    <row r="52" spans="1:3">
      <c r="A52" s="26" t="s">
        <v>2703</v>
      </c>
      <c r="B52" s="5" t="s">
        <v>2704</v>
      </c>
      <c r="C52" s="5">
        <v>0</v>
      </c>
    </row>
    <row r="53" spans="1:3">
      <c r="A53" s="26" t="s">
        <v>2705</v>
      </c>
      <c r="B53" s="5" t="s">
        <v>1479</v>
      </c>
      <c r="C53" s="5">
        <v>0</v>
      </c>
    </row>
    <row r="55" spans="1:3">
      <c r="A55" s="27" t="s">
        <v>2706</v>
      </c>
    </row>
  </sheetData>
  <phoneticPr fontId="14" type="noConversion"/>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工作表</vt:lpstr>
      </vt:variant>
      <vt:variant>
        <vt:i4>3</vt:i4>
      </vt:variant>
    </vt:vector>
  </HeadingPairs>
  <TitlesOfParts>
    <vt:vector size="3" baseType="lpstr">
      <vt:lpstr>說明</vt:lpstr>
      <vt:lpstr>覆核</vt:lpstr>
      <vt:lpstr>事件規則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w ju</cp:lastModifiedBy>
  <cp:revision>0</cp:revision>
  <dcterms:created xsi:type="dcterms:W3CDTF">2026-10-26T07:48:47Z</dcterms:created>
  <dcterms:modified xsi:type="dcterms:W3CDTF">2026-10-26T07:53:02Z</dcterms:modified>
  <dc:language>en-US</dc:language>
</cp:coreProperties>
</file>