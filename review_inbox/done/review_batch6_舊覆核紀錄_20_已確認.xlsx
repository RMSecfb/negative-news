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覆核" sheetId="2" state="visible" r:id="rId4"/>
    <sheet name="事件規則" sheetId="3" state="visible" r:id="rId5"/>
  </sheets>
  <definedNames>
    <definedName function="false" hidden="true" localSheetId="1" name="_xlnm._FilterDatabase" vbProcedure="false">覆核!$A$1:$AB$21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<sst xmlns="http://schemas.openxmlformats.org/spreadsheetml/2006/main" count="394" uniqueCount="246">
  <si>
    <t xml:space="preserve">負面新聞離線覆核：第六批（早期人工標記紀錄複查）</t>
  </si>
  <si>
    <r>
      <rPr>
        <sz val="10"/>
        <rFont val="Noto Sans CJK SC"/>
        <family val="2"/>
      </rPr>
      <t xml:space="preserve">產生日期：</t>
    </r>
    <r>
      <rPr>
        <sz val="10"/>
        <rFont val="Arial"/>
        <family val="0"/>
        <charset val="1"/>
      </rPr>
      <t xml:space="preserve">2026-10-26</t>
    </r>
    <r>
      <rPr>
        <sz val="10"/>
        <rFont val="Noto Sans CJK SC"/>
        <family val="2"/>
      </rPr>
      <t xml:space="preserve">　筆數：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（早期已標為人工覆核、但缺少人工版本與覆核時間的舊紀錄；分類多有誤）</t>
    </r>
  </si>
  <si>
    <t xml:space="preserve">怎麼填（只動黃色欄位）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</si>
  <si>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最終決定（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欄）：已預填我的建議。維持＝沿用目前分類；修改＝改成「新事件代碼」；排除＝記為 </t>
    </r>
    <r>
      <rPr>
        <sz val="10"/>
        <rFont val="Arial"/>
        <family val="0"/>
        <charset val="1"/>
      </rPr>
      <t xml:space="preserve">NOT_RELEVANT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Level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Action</t>
    </r>
    <r>
      <rPr>
        <sz val="10"/>
        <rFont val="Noto Sans CJK SC"/>
        <family val="2"/>
      </rPr>
      <t xml:space="preserve">「排除、不納入風險事件」。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</si>
  <si>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新事件代碼（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欄）：只有「修改」才需要，從下拉選單選；新事件中文與新 </t>
    </r>
    <r>
      <rPr>
        <sz val="10"/>
        <rFont val="Arial"/>
        <family val="0"/>
        <charset val="1"/>
      </rPr>
      <t xml:space="preserve">Level </t>
    </r>
    <r>
      <rPr>
        <sz val="10"/>
        <rFont val="Noto Sans CJK SC"/>
        <family val="2"/>
      </rPr>
      <t xml:space="preserve">會自動帶出。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</si>
  <si>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更正公司（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欄）、更正</t>
    </r>
    <r>
      <rPr>
        <sz val="10"/>
        <rFont val="Arial"/>
        <family val="0"/>
        <charset val="1"/>
      </rPr>
      <t xml:space="preserve">Ticker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欄）：只在公司歸屬錯誤或 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空白時填寫，空白代表不更正。已依 </t>
    </r>
    <r>
      <rPr>
        <sz val="10"/>
        <rFont val="Arial"/>
        <family val="0"/>
        <charset val="1"/>
      </rPr>
      <t xml:space="preserve">S&amp;P 500 </t>
    </r>
    <r>
      <rPr>
        <sz val="10"/>
        <rFont val="Noto Sans CJK SC"/>
        <family val="2"/>
      </rPr>
      <t xml:space="preserve">清單預填 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空白的列。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</si>
  <si>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覆核註記（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欄）、覆核人（</t>
    </r>
    <r>
      <rPr>
        <sz val="10"/>
        <rFont val="Arial"/>
        <family val="0"/>
        <charset val="1"/>
      </rPr>
      <t xml:space="preserve">Z </t>
    </r>
    <r>
      <rPr>
        <sz val="10"/>
        <rFont val="Noto Sans CJK SC"/>
        <family val="2"/>
      </rPr>
      <t xml:space="preserve">欄）：請填你的姓名；註記可空白。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</si>
  <si>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把握程度為「低」或「建議看原文」為「是」的列（紅字），建議點標題開原文確認。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</si>
  <si>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檢查欄（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）若出現紅字，表示該列填寫不完整。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</si>
  <si>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不要修改 </t>
    </r>
    <r>
      <rPr>
        <sz val="10"/>
        <rFont val="Arial"/>
        <family val="0"/>
        <charset val="1"/>
      </rPr>
      <t xml:space="preserve">news_id</t>
    </r>
    <r>
      <rPr>
        <sz val="10"/>
        <rFont val="Noto Sans CJK SC"/>
        <family val="2"/>
      </rPr>
      <t xml:space="preserve">、人工版本欄；上傳時靠這兩欄對應與防衝突。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</si>
  <si>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確認後請另存為「檔名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已確認</t>
    </r>
    <r>
      <rPr>
        <sz val="10"/>
        <rFont val="Arial"/>
        <family val="0"/>
        <charset val="1"/>
      </rPr>
      <t xml:space="preserve">.xlsx</t>
    </r>
    <r>
      <rPr>
        <sz val="10"/>
        <rFont val="Noto Sans CJK SC"/>
        <family val="2"/>
      </rPr>
      <t xml:space="preserve">」。</t>
    </r>
  </si>
  <si>
    <t xml:space="preserve">我的建議統計（即時計算）</t>
  </si>
  <si>
    <t xml:space="preserve">建議維持：</t>
  </si>
  <si>
    <t xml:space="preserve">建議修改：</t>
  </si>
  <si>
    <t xml:space="preserve">建議排除：</t>
  </si>
  <si>
    <t xml:space="preserve">最終決定尚未填寫的列數：</t>
  </si>
  <si>
    <r>
      <rPr>
        <sz val="10"/>
        <rFont val="Noto Sans CJK SC"/>
        <family val="2"/>
      </rPr>
      <t xml:space="preserve">限制：我只看資料中的標題與摘要，沒有逐篇開原文；建議不保證全對，最終由你確認。</t>
    </r>
    <r>
      <rPr>
        <sz val="10"/>
        <rFont val="Arial"/>
        <family val="0"/>
        <charset val="1"/>
      </rPr>
      <t xml:space="preserve">Level </t>
    </r>
    <r>
      <rPr>
        <sz val="10"/>
        <rFont val="Noto Sans CJK SC"/>
        <family val="2"/>
      </rPr>
      <t xml:space="preserve">顏色：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紅、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橘、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黃、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淡藍、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淺灰、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深灰。</t>
    </r>
  </si>
  <si>
    <t xml:space="preserve">序號</t>
  </si>
  <si>
    <t xml:space="preserve">日期</t>
  </si>
  <si>
    <t xml:space="preserve">Ticker</t>
  </si>
  <si>
    <t xml:space="preserve">公司</t>
  </si>
  <si>
    <t xml:space="preserve">標題（點擊開原文）</t>
  </si>
  <si>
    <t xml:space="preserve">中文標題／摘要</t>
  </si>
  <si>
    <t xml:space="preserve">來源</t>
  </si>
  <si>
    <t xml:space="preserve">FinBERT</t>
  </si>
  <si>
    <t xml:space="preserve">目前事件代碼</t>
  </si>
  <si>
    <t xml:space="preserve">目前事件中文</t>
  </si>
  <si>
    <r>
      <rPr>
        <b val="true"/>
        <sz val="10"/>
        <color rgb="FFFFFFFF"/>
        <rFont val="Noto Sans CJK SC"/>
        <family val="2"/>
      </rPr>
      <t xml:space="preserve">目前</t>
    </r>
    <r>
      <rPr>
        <b val="true"/>
        <sz val="10"/>
        <color rgb="FFFFFFFF"/>
        <rFont val="Arial"/>
        <family val="0"/>
        <charset val="1"/>
      </rPr>
      <t xml:space="preserve">Level</t>
    </r>
  </si>
  <si>
    <t xml:space="preserve">目前分類狀態</t>
  </si>
  <si>
    <t xml:space="preserve">建議</t>
  </si>
  <si>
    <t xml:space="preserve">建議事件代碼</t>
  </si>
  <si>
    <t xml:space="preserve">把握程度</t>
  </si>
  <si>
    <t xml:space="preserve">理由</t>
  </si>
  <si>
    <t xml:space="preserve">建議看原文</t>
  </si>
  <si>
    <t xml:space="preserve">最終決定</t>
  </si>
  <si>
    <t xml:space="preserve">新事件代碼</t>
  </si>
  <si>
    <t xml:space="preserve">新事件中文</t>
  </si>
  <si>
    <r>
      <rPr>
        <b val="true"/>
        <sz val="10"/>
        <color rgb="FFFFFFFF"/>
        <rFont val="Noto Sans CJK SC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Level</t>
    </r>
  </si>
  <si>
    <t xml:space="preserve">更正公司</t>
  </si>
  <si>
    <r>
      <rPr>
        <b val="true"/>
        <sz val="10"/>
        <color rgb="FFFFFFFF"/>
        <rFont val="Noto Sans CJK SC"/>
        <family val="2"/>
      </rPr>
      <t xml:space="preserve">更正</t>
    </r>
    <r>
      <rPr>
        <b val="true"/>
        <sz val="10"/>
        <color rgb="FFFFFFFF"/>
        <rFont val="Arial"/>
        <family val="0"/>
        <charset val="1"/>
      </rPr>
      <t xml:space="preserve">Ticker</t>
    </r>
  </si>
  <si>
    <t xml:space="preserve">檢查</t>
  </si>
  <si>
    <t xml:space="preserve">覆核註記</t>
  </si>
  <si>
    <t xml:space="preserve">覆核人</t>
  </si>
  <si>
    <t xml:space="preserve">news_id</t>
  </si>
  <si>
    <t xml:space="preserve">人工版本</t>
  </si>
  <si>
    <t xml:space="preserve">2026-08-10</t>
  </si>
  <si>
    <t xml:space="preserve">COST</t>
  </si>
  <si>
    <t xml:space="preserve">Costco</t>
  </si>
  <si>
    <t xml:space="preserve">Eleven months cost Galaxy S23 owners what the Galaxy S24 got by default</t>
  </si>
  <si>
    <r>
      <rPr>
        <sz val="10"/>
        <rFont val="Arial"/>
        <family val="0"/>
        <charset val="1"/>
      </rPr>
      <t xml:space="preserve">Galaxy S23 </t>
    </r>
    <r>
      <rPr>
        <sz val="10"/>
        <rFont val="Noto Sans CJK SC"/>
        <family val="2"/>
      </rPr>
      <t xml:space="preserve">用戶在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個月內付出的代價相當於 </t>
    </r>
    <r>
      <rPr>
        <sz val="10"/>
        <rFont val="Arial"/>
        <family val="0"/>
        <charset val="1"/>
      </rPr>
      <t xml:space="preserve">Galaxy S24 </t>
    </r>
    <r>
      <rPr>
        <sz val="10"/>
        <rFont val="Noto Sans CJK SC"/>
        <family val="2"/>
      </rPr>
      <t xml:space="preserve">預設獲得的代價</t>
    </r>
  </si>
  <si>
    <t xml:space="preserve">PhoneArena</t>
  </si>
  <si>
    <t xml:space="preserve">DEFAULT</t>
  </si>
  <si>
    <t xml:space="preserve">違約</t>
  </si>
  <si>
    <t xml:space="preserve">排除</t>
  </si>
  <si>
    <t xml:space="preserve">中</t>
  </si>
  <si>
    <r>
      <rPr>
        <sz val="10"/>
        <rFont val="Noto Sans CJK SC"/>
        <family val="2"/>
      </rPr>
      <t xml:space="preserve">與公司風險無關：關鍵字或同名誤配（</t>
    </r>
    <r>
      <rPr>
        <sz val="10"/>
        <rFont val="Arial"/>
        <family val="0"/>
        <charset val="1"/>
      </rPr>
      <t xml:space="preserve">Costco=cost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Hasbro/Costco </t>
    </r>
    <r>
      <rPr>
        <sz val="10"/>
        <rFont val="Noto Sans CJK SC"/>
        <family val="2"/>
      </rPr>
      <t xml:space="preserve">野火費用、</t>
    </r>
    <r>
      <rPr>
        <sz val="10"/>
        <rFont val="Arial"/>
        <family val="0"/>
        <charset val="1"/>
      </rPr>
      <t xml:space="preserve">Amazon Linux default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AT&amp;T/Hasbro </t>
    </r>
    <r>
      <rPr>
        <sz val="10"/>
        <rFont val="Noto Sans CJK SC"/>
        <family val="2"/>
      </rPr>
      <t xml:space="preserve">關稅評論）或對公司屬正面／中性（升評、出售部門、併購）。</t>
    </r>
  </si>
  <si>
    <t xml:space="preserve">186edc11e6e2733c1b392fa0</t>
  </si>
  <si>
    <t xml:space="preserve">2026-08-19</t>
  </si>
  <si>
    <t xml:space="preserve">HAS</t>
  </si>
  <si>
    <t xml:space="preserve">Hasbro</t>
  </si>
  <si>
    <t xml:space="preserve">Cost to battle 20 wildfires in WA has topped $200M</t>
  </si>
  <si>
    <t xml:space="preserve">Washington State Standard</t>
  </si>
  <si>
    <t xml:space="preserve">NATURAL_DISASTER</t>
  </si>
  <si>
    <t xml:space="preserve">天災</t>
  </si>
  <si>
    <t xml:space="preserve">923a54dbb7f4a578eac7afb8</t>
  </si>
  <si>
    <t xml:space="preserve">f19851e67b627749486d6c9c</t>
  </si>
  <si>
    <t xml:space="preserve">2026-08-20</t>
  </si>
  <si>
    <t xml:space="preserve">T</t>
  </si>
  <si>
    <t xml:space="preserve">AT&amp;T</t>
  </si>
  <si>
    <t xml:space="preserve">Trump’s tariff strategy has changed. But his goal hasn’t | CNN Business</t>
  </si>
  <si>
    <t xml:space="preserve">CNN</t>
  </si>
  <si>
    <t xml:space="preserve">TARIFF</t>
  </si>
  <si>
    <t xml:space="preserve">關稅</t>
  </si>
  <si>
    <t xml:space="preserve">8951ae3cb35f7f6be454dab8</t>
  </si>
  <si>
    <t xml:space="preserve">fc2113953d40e000f93910c2</t>
  </si>
  <si>
    <t xml:space="preserve">2026-08-21</t>
  </si>
  <si>
    <t xml:space="preserve">AMZN</t>
  </si>
  <si>
    <t xml:space="preserve">Amazon</t>
  </si>
  <si>
    <t xml:space="preserve">Amazon Linux default SSM parameter will now track the latest kernel</t>
  </si>
  <si>
    <t xml:space="preserve">Amazon Web Services</t>
  </si>
  <si>
    <t xml:space="preserve">一般公司更新</t>
  </si>
  <si>
    <t xml:space="preserve">6bb0d2c21481e144b47096ef</t>
  </si>
  <si>
    <t xml:space="preserve">NOW</t>
  </si>
  <si>
    <t xml:space="preserve">ServiceNow</t>
  </si>
  <si>
    <t xml:space="preserve">7c24eb0447639164dbc4818e</t>
  </si>
  <si>
    <t xml:space="preserve">2026-10-01</t>
  </si>
  <si>
    <t xml:space="preserve">FDX</t>
  </si>
  <si>
    <t xml:space="preserve">FedEx</t>
  </si>
  <si>
    <t xml:space="preserve">CMA CGM Group completes acquisition of FedEx Supply Chain, strengthening its logistics presence in North America, and enters into multi-year commercial agreements related to air and ocean freight</t>
  </si>
  <si>
    <t xml:space="preserve">CMA CGM Group</t>
  </si>
  <si>
    <t xml:space="preserve">SUPPLY_CHAIN_DISRUPTION</t>
  </si>
  <si>
    <t xml:space="preserve">2ffb51a927beed95715fac74</t>
  </si>
  <si>
    <t xml:space="preserve">2026-10-02</t>
  </si>
  <si>
    <t xml:space="preserve">WDC</t>
  </si>
  <si>
    <t xml:space="preserve">Western Digital</t>
  </si>
  <si>
    <t xml:space="preserve">希捷和西部數據股價大跌，東芝擬提高硬盤產能</t>
  </si>
  <si>
    <t xml:space="preserve">TradingView</t>
  </si>
  <si>
    <t xml:space="preserve">PRICE_MOVEMENT</t>
  </si>
  <si>
    <t xml:space="preserve">股價下跌</t>
  </si>
  <si>
    <t xml:space="preserve">維持</t>
  </si>
  <si>
    <r>
      <rPr>
        <sz val="10"/>
        <rFont val="Noto Sans CJK SC"/>
        <family val="2"/>
      </rPr>
      <t xml:space="preserve">股價下跌有明確原因（硬碟股重挫／</t>
    </r>
    <r>
      <rPr>
        <sz val="10"/>
        <rFont val="Arial"/>
        <family val="0"/>
        <charset val="1"/>
      </rPr>
      <t xml:space="preserve">SpaceX </t>
    </r>
    <r>
      <rPr>
        <sz val="10"/>
        <rFont val="Noto Sans CJK SC"/>
        <family val="2"/>
      </rPr>
      <t xml:space="preserve">衝擊電信股）。</t>
    </r>
  </si>
  <si>
    <t xml:space="preserve">614ff8b8a90f2d0b6f1f886a</t>
  </si>
  <si>
    <t xml:space="preserve">STX</t>
  </si>
  <si>
    <t xml:space="preserve">Seagate Technology</t>
  </si>
  <si>
    <t xml:space="preserve">6b9a551ae5cb303f9ddedd6b</t>
  </si>
  <si>
    <t xml:space="preserve">2026-10-05</t>
  </si>
  <si>
    <t xml:space="preserve">DLTR</t>
  </si>
  <si>
    <t xml:space="preserve">Dollar Tree</t>
  </si>
  <si>
    <t xml:space="preserve">Dollar Tree Upgraded, Kroger Downgraded: Updated Rankings on Top Blue-Chip Stocks</t>
  </si>
  <si>
    <t xml:space="preserve">Yahoo Finance</t>
  </si>
  <si>
    <t xml:space="preserve">ANALYST_DOWNGRADE</t>
  </si>
  <si>
    <t xml:space="preserve">分析師降評</t>
  </si>
  <si>
    <t xml:space="preserve">238fbbb32cdb05e0b8ba5a1d</t>
  </si>
  <si>
    <t xml:space="preserve">KR</t>
  </si>
  <si>
    <t xml:space="preserve">Kroger</t>
  </si>
  <si>
    <t xml:space="preserve">高</t>
  </si>
  <si>
    <r>
      <rPr>
        <sz val="10"/>
        <rFont val="Arial"/>
        <family val="0"/>
        <charset val="1"/>
      </rPr>
      <t xml:space="preserve">Kroger </t>
    </r>
    <r>
      <rPr>
        <sz val="10"/>
        <rFont val="Noto Sans CJK SC"/>
        <family val="2"/>
      </rPr>
      <t xml:space="preserve">遭降評（升降評彙整報導）。</t>
    </r>
  </si>
  <si>
    <t xml:space="preserve">98e2cd757bfc1e8fdaadb03b</t>
  </si>
  <si>
    <t xml:space="preserve">2026-10-07</t>
  </si>
  <si>
    <t xml:space="preserve">DUK</t>
  </si>
  <si>
    <t xml:space="preserve">Duke Energy</t>
  </si>
  <si>
    <t xml:space="preserve">Duke Energy comes to an agreement on long-sought large load tariff for data centers in North Carolina</t>
  </si>
  <si>
    <t xml:space="preserve">WFAE</t>
  </si>
  <si>
    <t xml:space="preserve">1081cb3c87841c978edfc30c</t>
  </si>
  <si>
    <t xml:space="preserve">2026-10-08</t>
  </si>
  <si>
    <t xml:space="preserve">NTAP</t>
  </si>
  <si>
    <t xml:space="preserve">NetApp</t>
  </si>
  <si>
    <t xml:space="preserve">NetApp (NTAP) Wins An Analyst Upgrade, Is It 19% Overvalued?</t>
  </si>
  <si>
    <t xml:space="preserve">VALUATION_CONCERN</t>
  </si>
  <si>
    <t xml:space="preserve">7de6b6941ebfdc5d0cd651f7</t>
  </si>
  <si>
    <t xml:space="preserve">Duke Energy reaches settlement to enhance protections from data center costs (DUK:NYSE)</t>
  </si>
  <si>
    <t xml:space="preserve">Seeking Alpha</t>
  </si>
  <si>
    <t xml:space="preserve">REGULATORY_PENALTY</t>
  </si>
  <si>
    <t xml:space="preserve">為資料中心成本保護的費率協議，並非監管裁罰。</t>
  </si>
  <si>
    <t xml:space="preserve">91c9245aa9afef9c9febfba1</t>
  </si>
  <si>
    <t xml:space="preserve">2026-10-10</t>
  </si>
  <si>
    <t xml:space="preserve">TMUS</t>
  </si>
  <si>
    <t xml:space="preserve">T-Mobile US</t>
  </si>
  <si>
    <t xml:space="preserve">SpaceX挑戰美國三大運營商 美國運營商巨頭股價暴跌</t>
  </si>
  <si>
    <t xml:space="preserve">57c8e5c18b2c345a45a74c51</t>
  </si>
  <si>
    <t xml:space="preserve">f06fea4c38810e54c31c769d</t>
  </si>
  <si>
    <t xml:space="preserve">As AT&amp;T, Verizon and T-Mobile shares fall, Wall Street assesses the growing SpaceX threat</t>
  </si>
  <si>
    <t xml:space="preserve">MarketWatch</t>
  </si>
  <si>
    <t xml:space="preserve">30c6d5602c48c8a8e5daa9d9</t>
  </si>
  <si>
    <t xml:space="preserve">VZ</t>
  </si>
  <si>
    <t xml:space="preserve">Verizon</t>
  </si>
  <si>
    <t xml:space="preserve">e90ce4eaa1e16eddf83751f2</t>
  </si>
  <si>
    <t xml:space="preserve">UBER</t>
  </si>
  <si>
    <t xml:space="preserve">Uber</t>
  </si>
  <si>
    <t xml:space="preserve">Deal Dispatch: Uber Buys ezCater For $2.3B, Skydance Takes Over Warner Bros., True Food Kitchen Bankruptcy</t>
  </si>
  <si>
    <t xml:space="preserve">Benzinga</t>
  </si>
  <si>
    <t xml:space="preserve">BANKRUPTCY</t>
  </si>
  <si>
    <t xml:space="preserve">0cfaa1f223a91427c6a34408</t>
  </si>
  <si>
    <t xml:space="preserve">Event_Code</t>
  </si>
  <si>
    <t xml:space="preserve">事件中文</t>
  </si>
  <si>
    <t xml:space="preserve">Level</t>
  </si>
  <si>
    <t xml:space="preserve">ACCOUNTING_FRAUD</t>
  </si>
  <si>
    <t xml:space="preserve">會計舞弊</t>
  </si>
  <si>
    <t xml:space="preserve">破產</t>
  </si>
  <si>
    <t xml:space="preserve">DELISTING</t>
  </si>
  <si>
    <t xml:space="preserve">下市</t>
  </si>
  <si>
    <t xml:space="preserve">GOING_CONCERN</t>
  </si>
  <si>
    <t xml:space="preserve">繼續經營疑慮</t>
  </si>
  <si>
    <t xml:space="preserve">LIQUIDITY_CRISIS</t>
  </si>
  <si>
    <t xml:space="preserve">流動性危機</t>
  </si>
  <si>
    <t xml:space="preserve">TRADING_SUSPENSION</t>
  </si>
  <si>
    <t xml:space="preserve">停牌</t>
  </si>
  <si>
    <t xml:space="preserve">ANTITRUST_INVESTIGATION</t>
  </si>
  <si>
    <t xml:space="preserve">反壟斷調查</t>
  </si>
  <si>
    <t xml:space="preserve">AUDITOR_RESIGNATION</t>
  </si>
  <si>
    <t xml:space="preserve">會計師辭任</t>
  </si>
  <si>
    <t xml:space="preserve">CREDIT_DOWNGRADE</t>
  </si>
  <si>
    <t xml:space="preserve">信用調降</t>
  </si>
  <si>
    <t xml:space="preserve">ENVIRONMENTAL_INCIDENT</t>
  </si>
  <si>
    <t xml:space="preserve">重大環境事故</t>
  </si>
  <si>
    <t xml:space="preserve">EXECUTIVE_MISCONDUCT</t>
  </si>
  <si>
    <t xml:space="preserve">高管不當行為</t>
  </si>
  <si>
    <t xml:space="preserve">FDA_WARNING</t>
  </si>
  <si>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警告</t>
    </r>
  </si>
  <si>
    <t xml:space="preserve">GUIDANCE_WITHDRAWN</t>
  </si>
  <si>
    <t xml:space="preserve">撤回財測</t>
  </si>
  <si>
    <t xml:space="preserve">INSIDER_TRADING</t>
  </si>
  <si>
    <t xml:space="preserve">內線交易</t>
  </si>
  <si>
    <t xml:space="preserve">MAJOR_LITIGATION</t>
  </si>
  <si>
    <t xml:space="preserve">重大訴訟</t>
  </si>
  <si>
    <t xml:space="preserve">REGULATORY_INVESTIGATION</t>
  </si>
  <si>
    <t xml:space="preserve">監管調查</t>
  </si>
  <si>
    <t xml:space="preserve">監管裁罰</t>
  </si>
  <si>
    <t xml:space="preserve">RESTATEMENT</t>
  </si>
  <si>
    <t xml:space="preserve">重編財報</t>
  </si>
  <si>
    <t xml:space="preserve">SANCTION</t>
  </si>
  <si>
    <t xml:space="preserve">制裁</t>
  </si>
  <si>
    <t xml:space="preserve">CDS_SPREAD_WIDENING</t>
  </si>
  <si>
    <r>
      <rPr>
        <sz val="10"/>
        <rFont val="Arial"/>
        <family val="0"/>
        <charset val="1"/>
      </rPr>
      <t xml:space="preserve">CDS</t>
    </r>
    <r>
      <rPr>
        <sz val="10"/>
        <rFont val="Noto Sans CJK SC"/>
        <family val="2"/>
      </rPr>
      <t xml:space="preserve">利差擴大／信用風險升高</t>
    </r>
  </si>
  <si>
    <t xml:space="preserve">CEO_DEPARTURE</t>
  </si>
  <si>
    <r>
      <rPr>
        <sz val="10"/>
        <rFont val="Arial"/>
        <family val="0"/>
        <charset val="1"/>
      </rPr>
      <t xml:space="preserve">CEO</t>
    </r>
    <r>
      <rPr>
        <sz val="10"/>
        <rFont val="Noto Sans CJK SC"/>
        <family val="2"/>
      </rPr>
      <t xml:space="preserve">異動</t>
    </r>
  </si>
  <si>
    <t xml:space="preserve">CFO_DEPARTURE</t>
  </si>
  <si>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異動</t>
    </r>
  </si>
  <si>
    <t xml:space="preserve">CYBER_ATTACK</t>
  </si>
  <si>
    <t xml:space="preserve">資安攻擊</t>
  </si>
  <si>
    <t xml:space="preserve">DATA_BREACH</t>
  </si>
  <si>
    <t xml:space="preserve">資料外洩</t>
  </si>
  <si>
    <t xml:space="preserve">EARNINGS_MISS</t>
  </si>
  <si>
    <t xml:space="preserve">財報不如預期</t>
  </si>
  <si>
    <t xml:space="preserve">EARNINGS_WARNING</t>
  </si>
  <si>
    <t xml:space="preserve">財測下修</t>
  </si>
  <si>
    <t xml:space="preserve">EXPORT_RESTRICTION</t>
  </si>
  <si>
    <t xml:space="preserve">出口管制</t>
  </si>
  <si>
    <t xml:space="preserve">FACTORY_SHUTDOWN</t>
  </si>
  <si>
    <t xml:space="preserve">工廠停工</t>
  </si>
  <si>
    <t xml:space="preserve">MAJOR_CUSTOMER_LOSS</t>
  </si>
  <si>
    <t xml:space="preserve">重大客戶流失</t>
  </si>
  <si>
    <t xml:space="preserve">OPERATING_DETERIORATION</t>
  </si>
  <si>
    <t xml:space="preserve">營運惡化</t>
  </si>
  <si>
    <t xml:space="preserve">PATENT_LITIGATION</t>
  </si>
  <si>
    <t xml:space="preserve">專利訴訟</t>
  </si>
  <si>
    <t xml:space="preserve">PRODUCT_DEFECT</t>
  </si>
  <si>
    <t xml:space="preserve">重大產品瑕疵</t>
  </si>
  <si>
    <t xml:space="preserve">PRODUCT_RECALL</t>
  </si>
  <si>
    <t xml:space="preserve">產品召回</t>
  </si>
  <si>
    <t xml:space="preserve">SHORT_SELLER_REPORT</t>
  </si>
  <si>
    <t xml:space="preserve">放空機構報告</t>
  </si>
  <si>
    <t xml:space="preserve">供應鏈中斷</t>
  </si>
  <si>
    <t xml:space="preserve">TRADE_RESTRICTION</t>
  </si>
  <si>
    <t xml:space="preserve">貿易限制</t>
  </si>
  <si>
    <t xml:space="preserve">WORKFORCE_REDUCTION</t>
  </si>
  <si>
    <t xml:space="preserve">裁員或人力縮減</t>
  </si>
  <si>
    <t xml:space="preserve">BOARD_RESTRUCTURE</t>
  </si>
  <si>
    <t xml:space="preserve">董事會重大改組</t>
  </si>
  <si>
    <t xml:space="preserve">PRIVACY_INCIDENT</t>
  </si>
  <si>
    <t xml:space="preserve">隱私事件</t>
  </si>
  <si>
    <t xml:space="preserve">PRODUCTION_DELAY</t>
  </si>
  <si>
    <t xml:space="preserve">生產延遲</t>
  </si>
  <si>
    <t xml:space="preserve">PRODUCT_OR_SERVICE_DISCONTINUATION</t>
  </si>
  <si>
    <t xml:space="preserve">產品或服務終止</t>
  </si>
  <si>
    <t xml:space="preserve">SECTOR_MOVE</t>
  </si>
  <si>
    <t xml:space="preserve">產業下跌</t>
  </si>
  <si>
    <t xml:space="preserve">估值疑慮</t>
  </si>
  <si>
    <t xml:space="preserve">GENERAL_INFORMATION</t>
  </si>
  <si>
    <t xml:space="preserve">NON_CORE_SOURCE</t>
  </si>
  <si>
    <t xml:space="preserve">非主要公司網站</t>
  </si>
  <si>
    <t xml:space="preserve">NOT_RELEVANT</t>
  </si>
  <si>
    <t xml:space="preserve">無關新聞事件</t>
  </si>
  <si>
    <t xml:space="preserve">UNKNOWN</t>
  </si>
  <si>
    <t xml:space="preserve">待人工覆核</t>
  </si>
  <si>
    <r>
      <rPr>
        <i val="true"/>
        <sz val="9"/>
        <rFont val="Noto Sans CJK SC"/>
        <family val="2"/>
      </rPr>
      <t xml:space="preserve">來源：</t>
    </r>
    <r>
      <rPr>
        <i val="true"/>
        <sz val="9"/>
        <rFont val="Arial"/>
        <family val="0"/>
        <charset val="1"/>
      </rPr>
      <t xml:space="preserve">negative-news </t>
    </r>
    <r>
      <rPr>
        <i val="true"/>
        <sz val="9"/>
        <rFont val="Noto Sans CJK SC"/>
        <family val="2"/>
      </rPr>
      <t xml:space="preserve">的 </t>
    </r>
    <r>
      <rPr>
        <i val="true"/>
        <sz val="9"/>
        <rFont val="Arial"/>
        <family val="0"/>
        <charset val="1"/>
      </rPr>
      <t xml:space="preserve">Parameter_Event.xlsx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Event </t>
    </r>
    <r>
      <rPr>
        <i val="true"/>
        <sz val="9"/>
        <rFont val="Noto Sans CJK SC"/>
        <family val="2"/>
      </rPr>
      <t xml:space="preserve">工作表），</t>
    </r>
    <r>
      <rPr>
        <i val="true"/>
        <sz val="9"/>
        <rFont val="Arial"/>
        <family val="0"/>
        <charset val="1"/>
      </rPr>
      <t xml:space="preserve">2026-10-26 </t>
    </r>
    <r>
      <rPr>
        <i val="true"/>
        <sz val="9"/>
        <rFont val="Noto Sans CJK SC"/>
        <family val="2"/>
      </rPr>
      <t xml:space="preserve">讀取。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</si>
</sst>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u val="single"/>
      <sz val="10"/>
      <color rgb="FF0563C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>
          <bgColor rgb="FFA6A6A6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ews.google.com/rss/articles/CBMisgFBVV95cUxPUmNmWGFJVE5DRnZobTZXTEd1YndkbFdwYk1sMllFVmRfaDhBRWxGN1hrVlR4TnNMZGQ2eWV5OWg0cGZHbFNac1VscDB5YTQzVDRIVnpweExOYXlGaFFxa1E2bmhRVDhrQWpvUzB2OWd2enFObVNocmJ1UFNjZkNBN2g5dDlZZFpncGdBcVhwZEd2cU9KM2p4cGZqdGdDQU" TargetMode="External"/><Relationship Id="rId2" Type="http://schemas.openxmlformats.org/officeDocument/2006/relationships/hyperlink" Target="https://news.google.com/rss/articles/CBMingFBVV95cUxPZ0dseGpOOHc3RDZWRFRvbmhJcV9ZMEI2LXM4ZUhneWRmdUIwSnhZNm9xSlc4c3BTN1RRNDRTbzFpaWEtdVdpV3JSV3FRQmgtVU1IU2NTdi1kMHJyamJrdTRDenVaUmFWMy02bEk1OUpxYlBCVVVEaktHS1VUMEROOVh0ci01OWRYNWFZQ3VTaTZBM2c2VnlTSkdKaW41QQ" TargetMode="External"/><Relationship Id="rId3" Type="http://schemas.openxmlformats.org/officeDocument/2006/relationships/hyperlink" Target="https://news.google.com/rss/articles/CBMingFBVV95cUxPZ0dseGpOOHc3RDZWRFRvbmhJcV9ZMEI2LXM4ZUhneWRmdUIwSnhZNm9xSlc4c3BTN1RRNDRTbzFpaWEtdVdpV3JSV3FRQmgtVU1IU2NTdi1kMHJyamJrdTRDenVaUmFWMy02bEk1OUpxYlBCVVVEaktHS1VUMEROOVh0ci01OWRYNWFZQ3VTaTZBM2c2VnlTSkdKaW41QQ" TargetMode="External"/><Relationship Id="rId4" Type="http://schemas.openxmlformats.org/officeDocument/2006/relationships/hyperlink" Target="https://news.google.com/rss/articles/CBMib0FVX3lxTE0xbVRIcUpjdmI1bE40dDczNDFiWHhfVHJERWNHdVlZVHF1YWtKOUlfSE5FV2F0WWNXUTZVLXRNUmpnaHVHT1pGUV80SnI1N1gzQTh5X1JubUk5bE1jVmdVeVZ1TFNtb0xPYnVETFRuTQ?oc=5" TargetMode="External"/><Relationship Id="rId5" Type="http://schemas.openxmlformats.org/officeDocument/2006/relationships/hyperlink" Target="https://news.google.com/rss/articles/CBMib0FVX3lxTE0xbVRIcUpjdmI1bE40dDczNDFiWHhfVHJERWNHdVlZVHF1YWtKOUlfSE5FV2F0WWNXUTZVLXRNUmpnaHVHT1pGUV80SnI1N1gzQTh5X1JubUk5bE1jVmdVeVZ1TFNtb0xPYnVETFRuTQ?oc=5" TargetMode="External"/><Relationship Id="rId6" Type="http://schemas.openxmlformats.org/officeDocument/2006/relationships/hyperlink" Target="https://news.google.com/rss/articles/CBMiqAFBVV95cUxPSGQ3ZWZtRnV4Njk1ZHZBOXVCb2I2TDFudUx2YXNwTTZmRWt2dmpWRDk5YXlZYm1XWkJFSU1uZG9oQlg4SGxTRURhZldjc25YekdJSFZzWk1EcHdxQXp6NHpsU0RsMGNYUGR4TFNxUzhXbU5DRndJZldZNmZXWmx1WkJKWko3TVB1aF9WRF9XMThEaGRhSF9HSzB1Umcybi" TargetMode="External"/><Relationship Id="rId7" Type="http://schemas.openxmlformats.org/officeDocument/2006/relationships/hyperlink" Target="https://news.google.com/rss/articles/CBMiqAFBVV95cUxPSGQ3ZWZtRnV4Njk1ZHZBOXVCb2I2TDFudUx2YXNwTTZmRWt2dmpWRDk5YXlZYm1XWkJFSU1uZG9oQlg4SGxTRURhZldjc25YekdJSFZzWk1EcHdxQXp6NHpsU0RsMGNYUGR4TFNxUzhXbU5DRndJZldZNmZXWmx1WkJKWko3TVB1aF9WRF9XMThEaGRhSF9HSzB1Umcybi" TargetMode="External"/><Relationship Id="rId8" Type="http://schemas.openxmlformats.org/officeDocument/2006/relationships/hyperlink" Target="https://news.google.com/rss/articles/CBMiwwFBVV95cUxPRWQzWWFFWG1aT1ZQZldQdXVPam9zNVJpSHhRcUZtQV93VDJHMG9WTlpDLWJ5X2JWNzhYUXFOSTJLajh2d1pudXRhLWE3M05pSzA1OERoazRWajZxSi1NQ2lLQkRoRFU1V0lwV2VNOExfT0g2TldnWXZGX1ZVa3E4Y3hFZkZnbXRTWHM1V05RWWltbHRSUW52QXRPSW9PMz" TargetMode="External"/><Relationship Id="rId9" Type="http://schemas.openxmlformats.org/officeDocument/2006/relationships/hyperlink" Target="https://www.gelonghui.com/live/2697282" TargetMode="External"/><Relationship Id="rId10" Type="http://schemas.openxmlformats.org/officeDocument/2006/relationships/hyperlink" Target="https://www.gelonghui.com/live/2697282" TargetMode="External"/><Relationship Id="rId11" Type="http://schemas.openxmlformats.org/officeDocument/2006/relationships/hyperlink" Target="https://news.google.com/rss/articles/CBMipgFBVV95cUxPamFnZXd3UnBwUGtWZmFWLUxyMmR5Z3duU0d5WTBoSWU2Y0tYcnZuc2VBdkE1YmNuVHpFYjNyc1M5VXkwTVF0Y05mOHBIWmxhNzBuVTFROEowWEF4NzFoQmp4NVJUUmFtcGQ1VTJjbWFKblNTSUhjYm0xbDdTMWdsZXh2RXVvd1RZd3dCRTl1NEJ1TnRpelB0V2lBejM1NE" TargetMode="External"/><Relationship Id="rId12" Type="http://schemas.openxmlformats.org/officeDocument/2006/relationships/hyperlink" Target="https://news.google.com/rss/articles/CBMipgFBVV95cUxPamFnZXd3UnBwUGtWZmFWLUxyMmR5Z3duU0d5WTBoSWU2Y0tYcnZuc2VBdkE1YmNuVHpFYjNyc1M5VXkwTVF0Y05mOHBIWmxhNzBuVTFROEowWEF4NzFoQmp4NVJUUmFtcGQ1VTJjbWFKblNTSUhjYm0xbDdTMWdsZXh2RXVvd1RZd3dCRTl1NEJ1TnRpelB0V2lBejM1NE" TargetMode="External"/><Relationship Id="rId13" Type="http://schemas.openxmlformats.org/officeDocument/2006/relationships/hyperlink" Target="https://news.google.com/rss/articles/CBMi5wFBVV95cUxPMXFoXzZXaFAyYW0wSjhzTGFVNkVYLWtqa0ZXdlFPdmx6QmozRW5LNkFnamhBUkNzYndQSjkzSm93ZmU1ZDEzTFhrQ1JCVHJ3bkNnZUFaU2pMR2ozRktDMVk4amRsR2UwUDNJVXV1Qm91QVo5Mi1SSkVWMVJSZzZRcEd2ZzYta05yX2t2ZDdubXVSV2VSTC1ZeDFYT1JEUm" TargetMode="External"/><Relationship Id="rId14" Type="http://schemas.openxmlformats.org/officeDocument/2006/relationships/hyperlink" Target="https://news.google.com/rss/articles/CBMingFBVV95cUxOOVpLWUM1MzVUM0E2UE9SWTRvaGFPcUxJTWlNa2RHNXpjWmFUQzR2SnpRNGR0OXhnYnBndW5ZUFp0Q2xidHVIejdFYzBlX25XWkMtcXQyaDV5cVR5TGF6NUNRbEdTWXlfUHlIU0tFelhPeUZ4eDlOWDN4T0ZwVTJ3NjhRcS0wZEFmWjB0RTBfbnlIeDZoUVlTeUwxTUwxQQ" TargetMode="External"/><Relationship Id="rId15" Type="http://schemas.openxmlformats.org/officeDocument/2006/relationships/hyperlink" Target="https://news.google.com/rss/articles/CBMitAFBVV95cUxQNUgzQ2Iwd3BiZWxZOEF4a3g1RWFjREZ5RnFwYmtnd1JBRTlBZ3h0NmlDSm1BNTlONHEwbHRka1pMZ1JrQjZhN0taVGk5TFZjU2psQnYyMFlSemo0MElnRVJpcklGbnU3WE0zN1VUcnhETFJWamVUX3BKRXVGcmt2RU93Tnk0czFKZUd5YW9BNGhyeFYxWmcxYTREOGVncE" TargetMode="External"/><Relationship Id="rId16" Type="http://schemas.openxmlformats.org/officeDocument/2006/relationships/hyperlink" Target="https://www.gelonghui.com/live/2704388" TargetMode="External"/><Relationship Id="rId17" Type="http://schemas.openxmlformats.org/officeDocument/2006/relationships/hyperlink" Target="https://www.gelonghui.com/live/2704388" TargetMode="External"/><Relationship Id="rId18" Type="http://schemas.openxmlformats.org/officeDocument/2006/relationships/hyperlink" Target="https://news.google.com/rss/articles/CBMiygFBVV95cUxOeWhaS1NCZlJ4VnJsY1d5OFFTNnFPblRlQVBoTFdNeUg0M0JBTUNidVVXWlNMck41Tlc3eXotZjQ1eHBjMWtCbVh2WFFUTC04UHZIOFBpcHU3QUNMY2RxUHJydVQ0WEgwek5rSGU5cjFUcUlVOWE0WUNwOHNQOEVFMk0yZGRzeUsxM3ZRQ25TUENqcmtaVnZpOXV6Nkl2dy" TargetMode="External"/><Relationship Id="rId19" Type="http://schemas.openxmlformats.org/officeDocument/2006/relationships/hyperlink" Target="https://news.google.com/rss/articles/CBMiygFBVV95cUxOeWhaS1NCZlJ4VnJsY1d5OFFTNnFPblRlQVBoTFdNeUg0M0JBTUNidVVXWlNMck41Tlc3eXotZjQ1eHBjMWtCbVh2WFFUTC04UHZIOFBpcHU3QUNMY2RxUHJydVQ0WEgwek5rSGU5cjFUcUlVOWE0WUNwOHNQOEVFMk0yZGRzeUsxM3ZRQ25TUENqcmtaVnZpOXV6Nkl2dy" TargetMode="External"/><Relationship Id="rId20" Type="http://schemas.openxmlformats.org/officeDocument/2006/relationships/hyperlink" Target="https://news.google.com/rss/articles/CBMi3gFBVV95cUxQMW1EakJNTVNPUnFQcmNHNEFwRWVsX3l0OWU4dmx5M0h5emJOTkp4TzRjekJYVFMzdGtwbWp2SVNqTjh0VjVTcFNPdXltMlNjdVQtVUN3eFZJN2NraFVNUXFZTHlTeVdwcGxDZTZHSDZ5Z3JLMDBleV83ejNSY05NSThGWnIyQmtkUW5FaXZ1YXNkZTRPT2hiVXVNLVZWeH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9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29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5" t="s">
        <v>12</v>
      </c>
      <c r="B15" s="5" t="n">
        <f aca="false">COUNTIF(覆核!$M$2:$M$21,"維持")</f>
        <v>7</v>
      </c>
    </row>
    <row r="16" customFormat="false" ht="15" hidden="false" customHeight="false" outlineLevel="0" collapsed="false">
      <c r="A16" s="5" t="s">
        <v>13</v>
      </c>
      <c r="B16" s="5" t="n">
        <f aca="false">COUNTIF(覆核!$M$2:$M$21,"修改")</f>
        <v>0</v>
      </c>
    </row>
    <row r="17" customFormat="false" ht="15" hidden="false" customHeight="false" outlineLevel="0" collapsed="false">
      <c r="A17" s="5" t="s">
        <v>14</v>
      </c>
      <c r="B17" s="5" t="n">
        <f aca="false">COUNTIF(覆核!$M$2:$M$21,"排除")</f>
        <v>13</v>
      </c>
    </row>
    <row r="18" customFormat="false" ht="15" hidden="false" customHeight="false" outlineLevel="0" collapsed="false">
      <c r="A18" s="5" t="s">
        <v>15</v>
      </c>
      <c r="B18" s="5" t="n">
        <f aca="false">COUNTBLANK(覆核!$R$2:$R$21)</f>
        <v>0</v>
      </c>
    </row>
    <row r="20" customFormat="false" ht="15" hidden="false" customHeight="false" outlineLevel="0" collapsed="false">
      <c r="A20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22"/>
    <col collapsed="false" customWidth="true" hidden="false" outlineLevel="0" max="15" min="15" style="0" width="8"/>
    <col collapsed="false" customWidth="true" hidden="false" outlineLevel="0" max="16" min="16" style="0" width="48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16"/>
    <col collapsed="false" customWidth="true" hidden="false" outlineLevel="0" max="21" min="21" style="0" width="8"/>
    <col collapsed="false" customWidth="true" hidden="false" outlineLevel="0" max="22" min="22" style="0" width="20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5" min="25" style="0" width="22"/>
    <col collapsed="false" customWidth="true" hidden="false" outlineLevel="0" max="26" min="26" style="0" width="10"/>
    <col collapsed="false" customWidth="true" hidden="false" outlineLevel="0" max="27" min="27" style="0" width="26"/>
    <col collapsed="false" customWidth="true" hidden="false" outlineLevel="0" max="28" min="28" style="0" width="10"/>
  </cols>
  <sheetData>
    <row r="1" customFormat="false" ht="31.5" hidden="false" customHeight="true" outlineLevel="0" collapsed="false">
      <c r="A1" s="6" t="s">
        <v>17</v>
      </c>
      <c r="B1" s="6" t="s">
        <v>18</v>
      </c>
      <c r="C1" s="7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7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8" t="s">
        <v>34</v>
      </c>
      <c r="S1" s="8" t="s">
        <v>35</v>
      </c>
      <c r="T1" s="6" t="s">
        <v>36</v>
      </c>
      <c r="U1" s="6" t="s">
        <v>37</v>
      </c>
      <c r="V1" s="8" t="s">
        <v>38</v>
      </c>
      <c r="W1" s="8" t="s">
        <v>39</v>
      </c>
      <c r="X1" s="6" t="s">
        <v>40</v>
      </c>
      <c r="Y1" s="8" t="s">
        <v>41</v>
      </c>
      <c r="Z1" s="8" t="s">
        <v>42</v>
      </c>
      <c r="AA1" s="7" t="s">
        <v>43</v>
      </c>
      <c r="AB1" s="6" t="s">
        <v>44</v>
      </c>
    </row>
    <row r="2" customFormat="false" ht="58.2" hidden="false" customHeight="false" outlineLevel="0" collapsed="false">
      <c r="A2" s="9" t="n">
        <v>1</v>
      </c>
      <c r="B2" s="9" t="s">
        <v>45</v>
      </c>
      <c r="C2" s="9" t="s">
        <v>46</v>
      </c>
      <c r="D2" s="10" t="s">
        <v>47</v>
      </c>
      <c r="E2" s="11" t="s">
        <v>48</v>
      </c>
      <c r="F2" s="10" t="s">
        <v>49</v>
      </c>
      <c r="G2" s="12" t="s">
        <v>50</v>
      </c>
      <c r="H2" s="13" t="n">
        <v>-0.246</v>
      </c>
      <c r="I2" s="14" t="s">
        <v>51</v>
      </c>
      <c r="J2" s="15" t="s">
        <v>52</v>
      </c>
      <c r="K2" s="9" t="n">
        <v>3</v>
      </c>
      <c r="L2" s="9"/>
      <c r="M2" s="16" t="s">
        <v>53</v>
      </c>
      <c r="N2" s="14"/>
      <c r="O2" s="17" t="s">
        <v>54</v>
      </c>
      <c r="P2" s="15" t="s">
        <v>55</v>
      </c>
      <c r="Q2" s="9"/>
      <c r="R2" s="18" t="s">
        <v>53</v>
      </c>
      <c r="S2" s="19"/>
      <c r="T2" s="15" t="str">
        <f aca="false">IF(R2="維持",J2,IF(R2="排除","無關新聞事件",IFERROR(INDEX(事件規則!$B$2:$B$53,MATCH(S2,事件規則!$A$2:$A$53,0)),"")))</f>
        <v>無關新聞事件</v>
      </c>
      <c r="U2" s="20" t="n">
        <f aca="false">IF(R2="維持",K2,IF(R2="排除",0,IFERROR(INDEX(事件規則!$C$2:$C$53,MATCH(S2,事件規則!$A$2:$A$53,0)),"")))</f>
        <v>0</v>
      </c>
      <c r="V2" s="21"/>
      <c r="W2" s="22"/>
      <c r="X2" s="10" t="str">
        <f aca="false">IF(AND(R2="修改",S2=""),"請選新事件代碼",IF(AND(R2&lt;&gt;"修改",S2&lt;&gt;""),"只有「修改」才需填代碼",""))</f>
        <v/>
      </c>
      <c r="Y2" s="21"/>
      <c r="Z2" s="22"/>
      <c r="AA2" s="12" t="s">
        <v>56</v>
      </c>
      <c r="AB2" s="12"/>
    </row>
    <row r="3" customFormat="false" ht="58.2" hidden="false" customHeight="false" outlineLevel="0" collapsed="false">
      <c r="A3" s="9" t="n">
        <v>2</v>
      </c>
      <c r="B3" s="9" t="s">
        <v>57</v>
      </c>
      <c r="C3" s="9" t="s">
        <v>58</v>
      </c>
      <c r="D3" s="10" t="s">
        <v>59</v>
      </c>
      <c r="E3" s="11" t="s">
        <v>60</v>
      </c>
      <c r="F3" s="15"/>
      <c r="G3" s="12" t="s">
        <v>61</v>
      </c>
      <c r="H3" s="13" t="n">
        <v>0.585</v>
      </c>
      <c r="I3" s="14" t="s">
        <v>62</v>
      </c>
      <c r="J3" s="15" t="s">
        <v>63</v>
      </c>
      <c r="K3" s="9" t="n">
        <v>1</v>
      </c>
      <c r="L3" s="9"/>
      <c r="M3" s="16" t="s">
        <v>53</v>
      </c>
      <c r="N3" s="14"/>
      <c r="O3" s="17" t="s">
        <v>54</v>
      </c>
      <c r="P3" s="15" t="s">
        <v>55</v>
      </c>
      <c r="Q3" s="9"/>
      <c r="R3" s="18" t="s">
        <v>53</v>
      </c>
      <c r="S3" s="19"/>
      <c r="T3" s="15" t="str">
        <f aca="false">IF(R3="維持",J3,IF(R3="排除","無關新聞事件",IFERROR(INDEX(事件規則!$B$2:$B$53,MATCH(S3,事件規則!$A$2:$A$53,0)),"")))</f>
        <v>無關新聞事件</v>
      </c>
      <c r="U3" s="20" t="n">
        <f aca="false">IF(R3="維持",K3,IF(R3="排除",0,IFERROR(INDEX(事件規則!$C$2:$C$53,MATCH(S3,事件規則!$A$2:$A$53,0)),"")))</f>
        <v>0</v>
      </c>
      <c r="V3" s="21"/>
      <c r="W3" s="22"/>
      <c r="X3" s="10" t="str">
        <f aca="false">IF(AND(R3="修改",S3=""),"請選新事件代碼",IF(AND(R3&lt;&gt;"修改",S3&lt;&gt;""),"只有「修改」才需填代碼",""))</f>
        <v/>
      </c>
      <c r="Y3" s="21"/>
      <c r="Z3" s="22"/>
      <c r="AA3" s="12" t="s">
        <v>64</v>
      </c>
      <c r="AB3" s="12"/>
    </row>
    <row r="4" customFormat="false" ht="58.2" hidden="false" customHeight="false" outlineLevel="0" collapsed="false">
      <c r="A4" s="9" t="n">
        <v>3</v>
      </c>
      <c r="B4" s="9" t="s">
        <v>57</v>
      </c>
      <c r="C4" s="9" t="s">
        <v>46</v>
      </c>
      <c r="D4" s="10" t="s">
        <v>47</v>
      </c>
      <c r="E4" s="11" t="s">
        <v>60</v>
      </c>
      <c r="F4" s="15"/>
      <c r="G4" s="12" t="s">
        <v>61</v>
      </c>
      <c r="H4" s="13" t="n">
        <v>0.585</v>
      </c>
      <c r="I4" s="14" t="s">
        <v>62</v>
      </c>
      <c r="J4" s="15" t="s">
        <v>63</v>
      </c>
      <c r="K4" s="9" t="n">
        <v>1</v>
      </c>
      <c r="L4" s="9"/>
      <c r="M4" s="16" t="s">
        <v>53</v>
      </c>
      <c r="N4" s="14"/>
      <c r="O4" s="17" t="s">
        <v>54</v>
      </c>
      <c r="P4" s="15" t="s">
        <v>55</v>
      </c>
      <c r="Q4" s="9"/>
      <c r="R4" s="18" t="s">
        <v>53</v>
      </c>
      <c r="S4" s="19"/>
      <c r="T4" s="15" t="str">
        <f aca="false">IF(R4="維持",J4,IF(R4="排除","無關新聞事件",IFERROR(INDEX(事件規則!$B$2:$B$53,MATCH(S4,事件規則!$A$2:$A$53,0)),"")))</f>
        <v>無關新聞事件</v>
      </c>
      <c r="U4" s="20" t="n">
        <f aca="false">IF(R4="維持",K4,IF(R4="排除",0,IFERROR(INDEX(事件規則!$C$2:$C$53,MATCH(S4,事件規則!$A$2:$A$53,0)),"")))</f>
        <v>0</v>
      </c>
      <c r="V4" s="21"/>
      <c r="W4" s="22"/>
      <c r="X4" s="10" t="str">
        <f aca="false">IF(AND(R4="修改",S4=""),"請選新事件代碼",IF(AND(R4&lt;&gt;"修改",S4&lt;&gt;""),"只有「修改」才需填代碼",""))</f>
        <v/>
      </c>
      <c r="Y4" s="21"/>
      <c r="Z4" s="22"/>
      <c r="AA4" s="12" t="s">
        <v>65</v>
      </c>
      <c r="AB4" s="12"/>
    </row>
    <row r="5" customFormat="false" ht="58.2" hidden="false" customHeight="false" outlineLevel="0" collapsed="false">
      <c r="A5" s="9" t="n">
        <v>4</v>
      </c>
      <c r="B5" s="9" t="s">
        <v>66</v>
      </c>
      <c r="C5" s="9" t="s">
        <v>67</v>
      </c>
      <c r="D5" s="10" t="s">
        <v>68</v>
      </c>
      <c r="E5" s="11" t="s">
        <v>69</v>
      </c>
      <c r="F5" s="15"/>
      <c r="G5" s="12" t="s">
        <v>70</v>
      </c>
      <c r="H5" s="13" t="n">
        <v>0.119</v>
      </c>
      <c r="I5" s="14" t="s">
        <v>71</v>
      </c>
      <c r="J5" s="15" t="s">
        <v>72</v>
      </c>
      <c r="K5" s="9" t="n">
        <v>2</v>
      </c>
      <c r="L5" s="9"/>
      <c r="M5" s="16" t="s">
        <v>53</v>
      </c>
      <c r="N5" s="14"/>
      <c r="O5" s="17" t="s">
        <v>54</v>
      </c>
      <c r="P5" s="15" t="s">
        <v>55</v>
      </c>
      <c r="Q5" s="9"/>
      <c r="R5" s="18" t="s">
        <v>53</v>
      </c>
      <c r="S5" s="19"/>
      <c r="T5" s="15" t="str">
        <f aca="false">IF(R5="維持",J5,IF(R5="排除","無關新聞事件",IFERROR(INDEX(事件規則!$B$2:$B$53,MATCH(S5,事件規則!$A$2:$A$53,0)),"")))</f>
        <v>無關新聞事件</v>
      </c>
      <c r="U5" s="20" t="n">
        <f aca="false">IF(R5="維持",K5,IF(R5="排除",0,IFERROR(INDEX(事件規則!$C$2:$C$53,MATCH(S5,事件規則!$A$2:$A$53,0)),"")))</f>
        <v>0</v>
      </c>
      <c r="V5" s="21"/>
      <c r="W5" s="22"/>
      <c r="X5" s="10" t="str">
        <f aca="false">IF(AND(R5="修改",S5=""),"請選新事件代碼",IF(AND(R5&lt;&gt;"修改",S5&lt;&gt;""),"只有「修改」才需填代碼",""))</f>
        <v/>
      </c>
      <c r="Y5" s="21"/>
      <c r="Z5" s="22"/>
      <c r="AA5" s="12" t="s">
        <v>73</v>
      </c>
      <c r="AB5" s="12"/>
    </row>
    <row r="6" customFormat="false" ht="58.2" hidden="false" customHeight="false" outlineLevel="0" collapsed="false">
      <c r="A6" s="9" t="n">
        <v>5</v>
      </c>
      <c r="B6" s="9" t="s">
        <v>66</v>
      </c>
      <c r="C6" s="9" t="s">
        <v>58</v>
      </c>
      <c r="D6" s="10" t="s">
        <v>59</v>
      </c>
      <c r="E6" s="11" t="s">
        <v>69</v>
      </c>
      <c r="F6" s="15"/>
      <c r="G6" s="12" t="s">
        <v>70</v>
      </c>
      <c r="H6" s="13" t="n">
        <v>0.119</v>
      </c>
      <c r="I6" s="14" t="s">
        <v>71</v>
      </c>
      <c r="J6" s="15" t="s">
        <v>72</v>
      </c>
      <c r="K6" s="9" t="n">
        <v>2</v>
      </c>
      <c r="L6" s="9"/>
      <c r="M6" s="16" t="s">
        <v>53</v>
      </c>
      <c r="N6" s="14"/>
      <c r="O6" s="17" t="s">
        <v>54</v>
      </c>
      <c r="P6" s="15" t="s">
        <v>55</v>
      </c>
      <c r="Q6" s="9"/>
      <c r="R6" s="18" t="s">
        <v>53</v>
      </c>
      <c r="S6" s="19"/>
      <c r="T6" s="15" t="str">
        <f aca="false">IF(R6="維持",J6,IF(R6="排除","無關新聞事件",IFERROR(INDEX(事件規則!$B$2:$B$53,MATCH(S6,事件規則!$A$2:$A$53,0)),"")))</f>
        <v>無關新聞事件</v>
      </c>
      <c r="U6" s="20" t="n">
        <f aca="false">IF(R6="維持",K6,IF(R6="排除",0,IFERROR(INDEX(事件規則!$C$2:$C$53,MATCH(S6,事件規則!$A$2:$A$53,0)),"")))</f>
        <v>0</v>
      </c>
      <c r="V6" s="21"/>
      <c r="W6" s="22"/>
      <c r="X6" s="10" t="str">
        <f aca="false">IF(AND(R6="修改",S6=""),"請選新事件代碼",IF(AND(R6&lt;&gt;"修改",S6&lt;&gt;""),"只有「修改」才需填代碼",""))</f>
        <v/>
      </c>
      <c r="Y6" s="21"/>
      <c r="Z6" s="22"/>
      <c r="AA6" s="12" t="s">
        <v>74</v>
      </c>
      <c r="AB6" s="12"/>
    </row>
    <row r="7" customFormat="false" ht="58.2" hidden="false" customHeight="false" outlineLevel="0" collapsed="false">
      <c r="A7" s="9" t="n">
        <v>6</v>
      </c>
      <c r="B7" s="9" t="s">
        <v>75</v>
      </c>
      <c r="C7" s="9" t="s">
        <v>76</v>
      </c>
      <c r="D7" s="10" t="s">
        <v>77</v>
      </c>
      <c r="E7" s="11" t="s">
        <v>78</v>
      </c>
      <c r="F7" s="15"/>
      <c r="G7" s="12" t="s">
        <v>79</v>
      </c>
      <c r="H7" s="13" t="n">
        <v>0.02</v>
      </c>
      <c r="I7" s="14" t="s">
        <v>51</v>
      </c>
      <c r="J7" s="15" t="s">
        <v>80</v>
      </c>
      <c r="K7" s="9"/>
      <c r="L7" s="9"/>
      <c r="M7" s="16" t="s">
        <v>53</v>
      </c>
      <c r="N7" s="14"/>
      <c r="O7" s="17" t="s">
        <v>54</v>
      </c>
      <c r="P7" s="15" t="s">
        <v>55</v>
      </c>
      <c r="Q7" s="9"/>
      <c r="R7" s="18" t="s">
        <v>53</v>
      </c>
      <c r="S7" s="19"/>
      <c r="T7" s="15" t="str">
        <f aca="false">IF(R7="維持",J7,IF(R7="排除","無關新聞事件",IFERROR(INDEX(事件規則!$B$2:$B$53,MATCH(S7,事件規則!$A$2:$A$53,0)),"")))</f>
        <v>無關新聞事件</v>
      </c>
      <c r="U7" s="20" t="n">
        <f aca="false">IF(R7="維持",K7,IF(R7="排除",0,IFERROR(INDEX(事件規則!$C$2:$C$53,MATCH(S7,事件規則!$A$2:$A$53,0)),"")))</f>
        <v>0</v>
      </c>
      <c r="V7" s="21"/>
      <c r="W7" s="22"/>
      <c r="X7" s="10" t="str">
        <f aca="false">IF(AND(R7="修改",S7=""),"請選新事件代碼",IF(AND(R7&lt;&gt;"修改",S7&lt;&gt;""),"只有「修改」才需填代碼",""))</f>
        <v/>
      </c>
      <c r="Y7" s="21"/>
      <c r="Z7" s="22"/>
      <c r="AA7" s="12" t="s">
        <v>81</v>
      </c>
      <c r="AB7" s="12"/>
    </row>
    <row r="8" customFormat="false" ht="58.2" hidden="false" customHeight="false" outlineLevel="0" collapsed="false">
      <c r="A8" s="9" t="n">
        <v>7</v>
      </c>
      <c r="B8" s="9" t="s">
        <v>75</v>
      </c>
      <c r="C8" s="9" t="s">
        <v>82</v>
      </c>
      <c r="D8" s="10" t="s">
        <v>83</v>
      </c>
      <c r="E8" s="11" t="s">
        <v>78</v>
      </c>
      <c r="F8" s="15"/>
      <c r="G8" s="12" t="s">
        <v>79</v>
      </c>
      <c r="H8" s="13" t="n">
        <v>0.02</v>
      </c>
      <c r="I8" s="14" t="s">
        <v>51</v>
      </c>
      <c r="J8" s="15" t="s">
        <v>80</v>
      </c>
      <c r="K8" s="9"/>
      <c r="L8" s="9"/>
      <c r="M8" s="16" t="s">
        <v>53</v>
      </c>
      <c r="N8" s="14"/>
      <c r="O8" s="17" t="s">
        <v>54</v>
      </c>
      <c r="P8" s="15" t="s">
        <v>55</v>
      </c>
      <c r="Q8" s="9"/>
      <c r="R8" s="18" t="s">
        <v>53</v>
      </c>
      <c r="S8" s="19"/>
      <c r="T8" s="15" t="str">
        <f aca="false">IF(R8="維持",J8,IF(R8="排除","無關新聞事件",IFERROR(INDEX(事件規則!$B$2:$B$53,MATCH(S8,事件規則!$A$2:$A$53,0)),"")))</f>
        <v>無關新聞事件</v>
      </c>
      <c r="U8" s="20" t="n">
        <f aca="false">IF(R8="維持",K8,IF(R8="排除",0,IFERROR(INDEX(事件規則!$C$2:$C$53,MATCH(S8,事件規則!$A$2:$A$53,0)),"")))</f>
        <v>0</v>
      </c>
      <c r="V8" s="21"/>
      <c r="W8" s="22"/>
      <c r="X8" s="10" t="str">
        <f aca="false">IF(AND(R8="修改",S8=""),"請選新事件代碼",IF(AND(R8&lt;&gt;"修改",S8&lt;&gt;""),"只有「修改」才需填代碼",""))</f>
        <v/>
      </c>
      <c r="Y8" s="21"/>
      <c r="Z8" s="22"/>
      <c r="AA8" s="12" t="s">
        <v>84</v>
      </c>
      <c r="AB8" s="12"/>
    </row>
    <row r="9" customFormat="false" ht="58.2" hidden="false" customHeight="false" outlineLevel="0" collapsed="false">
      <c r="A9" s="9" t="n">
        <v>8</v>
      </c>
      <c r="B9" s="9" t="s">
        <v>85</v>
      </c>
      <c r="C9" s="9" t="s">
        <v>86</v>
      </c>
      <c r="D9" s="10" t="s">
        <v>87</v>
      </c>
      <c r="E9" s="11" t="s">
        <v>88</v>
      </c>
      <c r="F9" s="15"/>
      <c r="G9" s="12" t="s">
        <v>89</v>
      </c>
      <c r="H9" s="13" t="n">
        <v>0.935</v>
      </c>
      <c r="I9" s="14" t="s">
        <v>90</v>
      </c>
      <c r="J9" s="15" t="s">
        <v>80</v>
      </c>
      <c r="K9" s="9"/>
      <c r="L9" s="9"/>
      <c r="M9" s="16" t="s">
        <v>53</v>
      </c>
      <c r="N9" s="14"/>
      <c r="O9" s="17" t="s">
        <v>54</v>
      </c>
      <c r="P9" s="15" t="s">
        <v>55</v>
      </c>
      <c r="Q9" s="9"/>
      <c r="R9" s="18" t="s">
        <v>53</v>
      </c>
      <c r="S9" s="19"/>
      <c r="T9" s="15" t="str">
        <f aca="false">IF(R9="維持",J9,IF(R9="排除","無關新聞事件",IFERROR(INDEX(事件規則!$B$2:$B$53,MATCH(S9,事件規則!$A$2:$A$53,0)),"")))</f>
        <v>無關新聞事件</v>
      </c>
      <c r="U9" s="20" t="n">
        <f aca="false">IF(R9="維持",K9,IF(R9="排除",0,IFERROR(INDEX(事件規則!$C$2:$C$53,MATCH(S9,事件規則!$A$2:$A$53,0)),"")))</f>
        <v>0</v>
      </c>
      <c r="V9" s="21"/>
      <c r="W9" s="22"/>
      <c r="X9" s="10" t="str">
        <f aca="false">IF(AND(R9="修改",S9=""),"請選新事件代碼",IF(AND(R9&lt;&gt;"修改",S9&lt;&gt;""),"只有「修改」才需填代碼",""))</f>
        <v/>
      </c>
      <c r="Y9" s="21"/>
      <c r="Z9" s="22"/>
      <c r="AA9" s="12" t="s">
        <v>91</v>
      </c>
      <c r="AB9" s="12"/>
    </row>
    <row r="10" customFormat="false" ht="29.85" hidden="false" customHeight="false" outlineLevel="0" collapsed="false">
      <c r="A10" s="9" t="n">
        <v>9</v>
      </c>
      <c r="B10" s="9" t="s">
        <v>92</v>
      </c>
      <c r="C10" s="9" t="s">
        <v>93</v>
      </c>
      <c r="D10" s="10" t="s">
        <v>94</v>
      </c>
      <c r="E10" s="23" t="s">
        <v>95</v>
      </c>
      <c r="F10" s="15"/>
      <c r="G10" s="12" t="s">
        <v>96</v>
      </c>
      <c r="H10" s="13" t="n">
        <v>0.041</v>
      </c>
      <c r="I10" s="14" t="s">
        <v>97</v>
      </c>
      <c r="J10" s="15" t="s">
        <v>98</v>
      </c>
      <c r="K10" s="9" t="n">
        <v>1</v>
      </c>
      <c r="L10" s="9"/>
      <c r="M10" s="16" t="s">
        <v>99</v>
      </c>
      <c r="N10" s="14"/>
      <c r="O10" s="17" t="s">
        <v>54</v>
      </c>
      <c r="P10" s="15" t="s">
        <v>100</v>
      </c>
      <c r="Q10" s="9"/>
      <c r="R10" s="18" t="s">
        <v>99</v>
      </c>
      <c r="S10" s="19"/>
      <c r="T10" s="15" t="str">
        <f aca="false">IF(R10="維持",J10,IF(R10="排除","無關新聞事件",IFERROR(INDEX(事件規則!$B$2:$B$53,MATCH(S10,事件規則!$A$2:$A$53,0)),"")))</f>
        <v>股價下跌</v>
      </c>
      <c r="U10" s="20" t="n">
        <f aca="false">IF(R10="維持",K10,IF(R10="排除",0,IFERROR(INDEX(事件規則!$C$2:$C$53,MATCH(S10,事件規則!$A$2:$A$53,0)),"")))</f>
        <v>1</v>
      </c>
      <c r="V10" s="21"/>
      <c r="W10" s="22"/>
      <c r="X10" s="10" t="str">
        <f aca="false">IF(AND(R10="修改",S10=""),"請選新事件代碼",IF(AND(R10&lt;&gt;"修改",S10&lt;&gt;""),"只有「修改」才需填代碼",""))</f>
        <v/>
      </c>
      <c r="Y10" s="21"/>
      <c r="Z10" s="22"/>
      <c r="AA10" s="12" t="s">
        <v>101</v>
      </c>
      <c r="AB10" s="12"/>
    </row>
    <row r="11" customFormat="false" ht="29.85" hidden="false" customHeight="false" outlineLevel="0" collapsed="false">
      <c r="A11" s="9" t="n">
        <v>10</v>
      </c>
      <c r="B11" s="9" t="s">
        <v>92</v>
      </c>
      <c r="C11" s="9" t="s">
        <v>102</v>
      </c>
      <c r="D11" s="10" t="s">
        <v>103</v>
      </c>
      <c r="E11" s="23" t="s">
        <v>95</v>
      </c>
      <c r="F11" s="15"/>
      <c r="G11" s="12" t="s">
        <v>96</v>
      </c>
      <c r="H11" s="13" t="n">
        <v>0.041</v>
      </c>
      <c r="I11" s="14" t="s">
        <v>97</v>
      </c>
      <c r="J11" s="15" t="s">
        <v>98</v>
      </c>
      <c r="K11" s="9" t="n">
        <v>1</v>
      </c>
      <c r="L11" s="9"/>
      <c r="M11" s="16" t="s">
        <v>99</v>
      </c>
      <c r="N11" s="14"/>
      <c r="O11" s="17" t="s">
        <v>54</v>
      </c>
      <c r="P11" s="15" t="s">
        <v>100</v>
      </c>
      <c r="Q11" s="9"/>
      <c r="R11" s="18" t="s">
        <v>99</v>
      </c>
      <c r="S11" s="19"/>
      <c r="T11" s="15" t="str">
        <f aca="false">IF(R11="維持",J11,IF(R11="排除","無關新聞事件",IFERROR(INDEX(事件規則!$B$2:$B$53,MATCH(S11,事件規則!$A$2:$A$53,0)),"")))</f>
        <v>股價下跌</v>
      </c>
      <c r="U11" s="20" t="n">
        <f aca="false">IF(R11="維持",K11,IF(R11="排除",0,IFERROR(INDEX(事件規則!$C$2:$C$53,MATCH(S11,事件規則!$A$2:$A$53,0)),"")))</f>
        <v>1</v>
      </c>
      <c r="V11" s="21"/>
      <c r="W11" s="22"/>
      <c r="X11" s="10" t="str">
        <f aca="false">IF(AND(R11="修改",S11=""),"請選新事件代碼",IF(AND(R11&lt;&gt;"修改",S11&lt;&gt;""),"只有「修改」才需填代碼",""))</f>
        <v/>
      </c>
      <c r="Y11" s="21"/>
      <c r="Z11" s="22"/>
      <c r="AA11" s="12" t="s">
        <v>104</v>
      </c>
      <c r="AB11" s="12"/>
    </row>
    <row r="12" customFormat="false" ht="58.2" hidden="false" customHeight="false" outlineLevel="0" collapsed="false">
      <c r="A12" s="9" t="n">
        <v>11</v>
      </c>
      <c r="B12" s="9" t="s">
        <v>105</v>
      </c>
      <c r="C12" s="9" t="s">
        <v>106</v>
      </c>
      <c r="D12" s="10" t="s">
        <v>107</v>
      </c>
      <c r="E12" s="11" t="s">
        <v>108</v>
      </c>
      <c r="F12" s="15"/>
      <c r="G12" s="12" t="s">
        <v>109</v>
      </c>
      <c r="H12" s="13" t="n">
        <v>-0.065</v>
      </c>
      <c r="I12" s="14" t="s">
        <v>110</v>
      </c>
      <c r="J12" s="15" t="s">
        <v>111</v>
      </c>
      <c r="K12" s="9" t="n">
        <v>2</v>
      </c>
      <c r="L12" s="9"/>
      <c r="M12" s="16" t="s">
        <v>53</v>
      </c>
      <c r="N12" s="14"/>
      <c r="O12" s="17" t="s">
        <v>54</v>
      </c>
      <c r="P12" s="15" t="s">
        <v>55</v>
      </c>
      <c r="Q12" s="9"/>
      <c r="R12" s="18" t="s">
        <v>53</v>
      </c>
      <c r="S12" s="19"/>
      <c r="T12" s="15" t="str">
        <f aca="false">IF(R12="維持",J12,IF(R12="排除","無關新聞事件",IFERROR(INDEX(事件規則!$B$2:$B$53,MATCH(S12,事件規則!$A$2:$A$53,0)),"")))</f>
        <v>無關新聞事件</v>
      </c>
      <c r="U12" s="20" t="n">
        <f aca="false">IF(R12="維持",K12,IF(R12="排除",0,IFERROR(INDEX(事件規則!$C$2:$C$53,MATCH(S12,事件規則!$A$2:$A$53,0)),"")))</f>
        <v>0</v>
      </c>
      <c r="V12" s="21"/>
      <c r="W12" s="22"/>
      <c r="X12" s="10" t="str">
        <f aca="false">IF(AND(R12="修改",S12=""),"請選新事件代碼",IF(AND(R12&lt;&gt;"修改",S12&lt;&gt;""),"只有「修改」才需填代碼",""))</f>
        <v/>
      </c>
      <c r="Y12" s="21"/>
      <c r="Z12" s="22"/>
      <c r="AA12" s="12" t="s">
        <v>112</v>
      </c>
      <c r="AB12" s="12"/>
    </row>
    <row r="13" customFormat="false" ht="15" hidden="false" customHeight="false" outlineLevel="0" collapsed="false">
      <c r="A13" s="9" t="n">
        <v>12</v>
      </c>
      <c r="B13" s="9" t="s">
        <v>105</v>
      </c>
      <c r="C13" s="9" t="s">
        <v>113</v>
      </c>
      <c r="D13" s="10" t="s">
        <v>114</v>
      </c>
      <c r="E13" s="11" t="s">
        <v>108</v>
      </c>
      <c r="F13" s="15"/>
      <c r="G13" s="12" t="s">
        <v>109</v>
      </c>
      <c r="H13" s="13" t="n">
        <v>-0.065</v>
      </c>
      <c r="I13" s="14" t="s">
        <v>110</v>
      </c>
      <c r="J13" s="15" t="s">
        <v>111</v>
      </c>
      <c r="K13" s="9" t="n">
        <v>2</v>
      </c>
      <c r="L13" s="9"/>
      <c r="M13" s="16" t="s">
        <v>99</v>
      </c>
      <c r="N13" s="14"/>
      <c r="O13" s="17" t="s">
        <v>115</v>
      </c>
      <c r="P13" s="10" t="s">
        <v>116</v>
      </c>
      <c r="Q13" s="9"/>
      <c r="R13" s="18" t="s">
        <v>99</v>
      </c>
      <c r="S13" s="19"/>
      <c r="T13" s="15" t="str">
        <f aca="false">IF(R13="維持",J13,IF(R13="排除","無關新聞事件",IFERROR(INDEX(事件規則!$B$2:$B$53,MATCH(S13,事件規則!$A$2:$A$53,0)),"")))</f>
        <v>分析師降評</v>
      </c>
      <c r="U13" s="20" t="n">
        <f aca="false">IF(R13="維持",K13,IF(R13="排除",0,IFERROR(INDEX(事件規則!$C$2:$C$53,MATCH(S13,事件規則!$A$2:$A$53,0)),"")))</f>
        <v>2</v>
      </c>
      <c r="V13" s="21"/>
      <c r="W13" s="22"/>
      <c r="X13" s="10" t="str">
        <f aca="false">IF(AND(R13="修改",S13=""),"請選新事件代碼",IF(AND(R13&lt;&gt;"修改",S13&lt;&gt;""),"只有「修改」才需填代碼",""))</f>
        <v/>
      </c>
      <c r="Y13" s="21"/>
      <c r="Z13" s="22"/>
      <c r="AA13" s="12" t="s">
        <v>117</v>
      </c>
      <c r="AB13" s="12"/>
    </row>
    <row r="14" customFormat="false" ht="58.2" hidden="false" customHeight="false" outlineLevel="0" collapsed="false">
      <c r="A14" s="9" t="n">
        <v>13</v>
      </c>
      <c r="B14" s="9" t="s">
        <v>118</v>
      </c>
      <c r="C14" s="9" t="s">
        <v>119</v>
      </c>
      <c r="D14" s="10" t="s">
        <v>120</v>
      </c>
      <c r="E14" s="11" t="s">
        <v>121</v>
      </c>
      <c r="F14" s="15"/>
      <c r="G14" s="12" t="s">
        <v>122</v>
      </c>
      <c r="H14" s="13" t="n">
        <v>0.924</v>
      </c>
      <c r="I14" s="14" t="s">
        <v>71</v>
      </c>
      <c r="J14" s="15" t="s">
        <v>80</v>
      </c>
      <c r="K14" s="9"/>
      <c r="L14" s="9"/>
      <c r="M14" s="16" t="s">
        <v>53</v>
      </c>
      <c r="N14" s="14"/>
      <c r="O14" s="17" t="s">
        <v>54</v>
      </c>
      <c r="P14" s="15" t="s">
        <v>55</v>
      </c>
      <c r="Q14" s="9"/>
      <c r="R14" s="18" t="s">
        <v>53</v>
      </c>
      <c r="S14" s="19"/>
      <c r="T14" s="15" t="str">
        <f aca="false">IF(R14="維持",J14,IF(R14="排除","無關新聞事件",IFERROR(INDEX(事件規則!$B$2:$B$53,MATCH(S14,事件規則!$A$2:$A$53,0)),"")))</f>
        <v>無關新聞事件</v>
      </c>
      <c r="U14" s="20" t="n">
        <f aca="false">IF(R14="維持",K14,IF(R14="排除",0,IFERROR(INDEX(事件規則!$C$2:$C$53,MATCH(S14,事件規則!$A$2:$A$53,0)),"")))</f>
        <v>0</v>
      </c>
      <c r="V14" s="21"/>
      <c r="W14" s="22"/>
      <c r="X14" s="10" t="str">
        <f aca="false">IF(AND(R14="修改",S14=""),"請選新事件代碼",IF(AND(R14&lt;&gt;"修改",S14&lt;&gt;""),"只有「修改」才需填代碼",""))</f>
        <v/>
      </c>
      <c r="Y14" s="21"/>
      <c r="Z14" s="22"/>
      <c r="AA14" s="12" t="s">
        <v>123</v>
      </c>
      <c r="AB14" s="12"/>
    </row>
    <row r="15" customFormat="false" ht="58.2" hidden="false" customHeight="false" outlineLevel="0" collapsed="false">
      <c r="A15" s="9" t="n">
        <v>14</v>
      </c>
      <c r="B15" s="9" t="s">
        <v>124</v>
      </c>
      <c r="C15" s="9" t="s">
        <v>125</v>
      </c>
      <c r="D15" s="10" t="s">
        <v>126</v>
      </c>
      <c r="E15" s="11" t="s">
        <v>127</v>
      </c>
      <c r="F15" s="15"/>
      <c r="G15" s="12" t="s">
        <v>109</v>
      </c>
      <c r="H15" s="13" t="n">
        <v>0.941</v>
      </c>
      <c r="I15" s="14" t="s">
        <v>128</v>
      </c>
      <c r="J15" s="15" t="s">
        <v>80</v>
      </c>
      <c r="K15" s="9"/>
      <c r="L15" s="9"/>
      <c r="M15" s="16" t="s">
        <v>53</v>
      </c>
      <c r="N15" s="14"/>
      <c r="O15" s="17" t="s">
        <v>54</v>
      </c>
      <c r="P15" s="15" t="s">
        <v>55</v>
      </c>
      <c r="Q15" s="9"/>
      <c r="R15" s="18" t="s">
        <v>53</v>
      </c>
      <c r="S15" s="19"/>
      <c r="T15" s="15" t="str">
        <f aca="false">IF(R15="維持",J15,IF(R15="排除","無關新聞事件",IFERROR(INDEX(事件規則!$B$2:$B$53,MATCH(S15,事件規則!$A$2:$A$53,0)),"")))</f>
        <v>無關新聞事件</v>
      </c>
      <c r="U15" s="20" t="n">
        <f aca="false">IF(R15="維持",K15,IF(R15="排除",0,IFERROR(INDEX(事件規則!$C$2:$C$53,MATCH(S15,事件規則!$A$2:$A$53,0)),"")))</f>
        <v>0</v>
      </c>
      <c r="V15" s="21"/>
      <c r="W15" s="22"/>
      <c r="X15" s="10" t="str">
        <f aca="false">IF(AND(R15="修改",S15=""),"請選新事件代碼",IF(AND(R15&lt;&gt;"修改",S15&lt;&gt;""),"只有「修改」才需填代碼",""))</f>
        <v/>
      </c>
      <c r="Y15" s="21"/>
      <c r="Z15" s="22"/>
      <c r="AA15" s="12" t="s">
        <v>129</v>
      </c>
      <c r="AB15" s="12"/>
    </row>
    <row r="16" customFormat="false" ht="23.85" hidden="false" customHeight="false" outlineLevel="0" collapsed="false">
      <c r="A16" s="9" t="n">
        <v>15</v>
      </c>
      <c r="B16" s="9" t="s">
        <v>124</v>
      </c>
      <c r="C16" s="9" t="s">
        <v>119</v>
      </c>
      <c r="D16" s="10" t="s">
        <v>120</v>
      </c>
      <c r="E16" s="11" t="s">
        <v>130</v>
      </c>
      <c r="F16" s="15"/>
      <c r="G16" s="12" t="s">
        <v>131</v>
      </c>
      <c r="H16" s="13" t="n">
        <v>0.915</v>
      </c>
      <c r="I16" s="14" t="s">
        <v>132</v>
      </c>
      <c r="J16" s="15" t="s">
        <v>80</v>
      </c>
      <c r="K16" s="9"/>
      <c r="L16" s="9"/>
      <c r="M16" s="16" t="s">
        <v>53</v>
      </c>
      <c r="N16" s="14"/>
      <c r="O16" s="17" t="s">
        <v>54</v>
      </c>
      <c r="P16" s="15" t="s">
        <v>133</v>
      </c>
      <c r="Q16" s="9"/>
      <c r="R16" s="18" t="s">
        <v>53</v>
      </c>
      <c r="S16" s="19"/>
      <c r="T16" s="15" t="str">
        <f aca="false">IF(R16="維持",J16,IF(R16="排除","無關新聞事件",IFERROR(INDEX(事件規則!$B$2:$B$53,MATCH(S16,事件規則!$A$2:$A$53,0)),"")))</f>
        <v>無關新聞事件</v>
      </c>
      <c r="U16" s="20" t="n">
        <f aca="false">IF(R16="維持",K16,IF(R16="排除",0,IFERROR(INDEX(事件規則!$C$2:$C$53,MATCH(S16,事件規則!$A$2:$A$53,0)),"")))</f>
        <v>0</v>
      </c>
      <c r="V16" s="21"/>
      <c r="W16" s="22"/>
      <c r="X16" s="10" t="str">
        <f aca="false">IF(AND(R16="修改",S16=""),"請選新事件代碼",IF(AND(R16&lt;&gt;"修改",S16&lt;&gt;""),"只有「修改」才需填代碼",""))</f>
        <v/>
      </c>
      <c r="Y16" s="21"/>
      <c r="Z16" s="22"/>
      <c r="AA16" s="12" t="s">
        <v>134</v>
      </c>
      <c r="AB16" s="12"/>
    </row>
    <row r="17" customFormat="false" ht="29.85" hidden="false" customHeight="false" outlineLevel="0" collapsed="false">
      <c r="A17" s="9" t="n">
        <v>16</v>
      </c>
      <c r="B17" s="9" t="s">
        <v>135</v>
      </c>
      <c r="C17" s="9" t="s">
        <v>136</v>
      </c>
      <c r="D17" s="10" t="s">
        <v>137</v>
      </c>
      <c r="E17" s="11" t="s">
        <v>138</v>
      </c>
      <c r="F17" s="15"/>
      <c r="G17" s="12" t="s">
        <v>96</v>
      </c>
      <c r="H17" s="13" t="n">
        <v>0.036</v>
      </c>
      <c r="I17" s="14" t="s">
        <v>97</v>
      </c>
      <c r="J17" s="15" t="s">
        <v>98</v>
      </c>
      <c r="K17" s="9" t="n">
        <v>1</v>
      </c>
      <c r="L17" s="9"/>
      <c r="M17" s="16" t="s">
        <v>99</v>
      </c>
      <c r="N17" s="14"/>
      <c r="O17" s="17" t="s">
        <v>54</v>
      </c>
      <c r="P17" s="15" t="s">
        <v>100</v>
      </c>
      <c r="Q17" s="9"/>
      <c r="R17" s="18" t="s">
        <v>99</v>
      </c>
      <c r="S17" s="19"/>
      <c r="T17" s="15" t="str">
        <f aca="false">IF(R17="維持",J17,IF(R17="排除","無關新聞事件",IFERROR(INDEX(事件規則!$B$2:$B$53,MATCH(S17,事件規則!$A$2:$A$53,0)),"")))</f>
        <v>股價下跌</v>
      </c>
      <c r="U17" s="20" t="n">
        <f aca="false">IF(R17="維持",K17,IF(R17="排除",0,IFERROR(INDEX(事件規則!$C$2:$C$53,MATCH(S17,事件規則!$A$2:$A$53,0)),"")))</f>
        <v>1</v>
      </c>
      <c r="V17" s="21"/>
      <c r="W17" s="22"/>
      <c r="X17" s="10" t="str">
        <f aca="false">IF(AND(R17="修改",S17=""),"請選新事件代碼",IF(AND(R17&lt;&gt;"修改",S17&lt;&gt;""),"只有「修改」才需填代碼",""))</f>
        <v/>
      </c>
      <c r="Y17" s="21"/>
      <c r="Z17" s="22"/>
      <c r="AA17" s="12" t="s">
        <v>139</v>
      </c>
      <c r="AB17" s="12"/>
    </row>
    <row r="18" customFormat="false" ht="29.85" hidden="false" customHeight="false" outlineLevel="0" collapsed="false">
      <c r="A18" s="9" t="n">
        <v>17</v>
      </c>
      <c r="B18" s="9" t="s">
        <v>135</v>
      </c>
      <c r="C18" s="9" t="s">
        <v>67</v>
      </c>
      <c r="D18" s="10" t="s">
        <v>68</v>
      </c>
      <c r="E18" s="11" t="s">
        <v>138</v>
      </c>
      <c r="F18" s="15"/>
      <c r="G18" s="12" t="s">
        <v>96</v>
      </c>
      <c r="H18" s="13" t="n">
        <v>0.036</v>
      </c>
      <c r="I18" s="14" t="s">
        <v>97</v>
      </c>
      <c r="J18" s="15" t="s">
        <v>98</v>
      </c>
      <c r="K18" s="9" t="n">
        <v>1</v>
      </c>
      <c r="L18" s="9"/>
      <c r="M18" s="16" t="s">
        <v>99</v>
      </c>
      <c r="N18" s="14"/>
      <c r="O18" s="17" t="s">
        <v>54</v>
      </c>
      <c r="P18" s="15" t="s">
        <v>100</v>
      </c>
      <c r="Q18" s="9"/>
      <c r="R18" s="18" t="s">
        <v>99</v>
      </c>
      <c r="S18" s="19"/>
      <c r="T18" s="15" t="str">
        <f aca="false">IF(R18="維持",J18,IF(R18="排除","無關新聞事件",IFERROR(INDEX(事件規則!$B$2:$B$53,MATCH(S18,事件規則!$A$2:$A$53,0)),"")))</f>
        <v>股價下跌</v>
      </c>
      <c r="U18" s="20" t="n">
        <f aca="false">IF(R18="維持",K18,IF(R18="排除",0,IFERROR(INDEX(事件規則!$C$2:$C$53,MATCH(S18,事件規則!$A$2:$A$53,0)),"")))</f>
        <v>1</v>
      </c>
      <c r="V18" s="21"/>
      <c r="W18" s="22"/>
      <c r="X18" s="10" t="str">
        <f aca="false">IF(AND(R18="修改",S18=""),"請選新事件代碼",IF(AND(R18&lt;&gt;"修改",S18&lt;&gt;""),"只有「修改」才需填代碼",""))</f>
        <v/>
      </c>
      <c r="Y18" s="21"/>
      <c r="Z18" s="22"/>
      <c r="AA18" s="12" t="s">
        <v>140</v>
      </c>
      <c r="AB18" s="12"/>
    </row>
    <row r="19" customFormat="false" ht="29.85" hidden="false" customHeight="false" outlineLevel="0" collapsed="false">
      <c r="A19" s="9" t="n">
        <v>18</v>
      </c>
      <c r="B19" s="9" t="s">
        <v>135</v>
      </c>
      <c r="C19" s="9" t="s">
        <v>67</v>
      </c>
      <c r="D19" s="10" t="s">
        <v>68</v>
      </c>
      <c r="E19" s="11" t="s">
        <v>141</v>
      </c>
      <c r="F19" s="15"/>
      <c r="G19" s="12" t="s">
        <v>142</v>
      </c>
      <c r="H19" s="13" t="n">
        <v>-0.908</v>
      </c>
      <c r="I19" s="14" t="s">
        <v>97</v>
      </c>
      <c r="J19" s="15" t="s">
        <v>98</v>
      </c>
      <c r="K19" s="9" t="n">
        <v>1</v>
      </c>
      <c r="L19" s="9"/>
      <c r="M19" s="16" t="s">
        <v>99</v>
      </c>
      <c r="N19" s="14"/>
      <c r="O19" s="17" t="s">
        <v>54</v>
      </c>
      <c r="P19" s="15" t="s">
        <v>100</v>
      </c>
      <c r="Q19" s="9"/>
      <c r="R19" s="18" t="s">
        <v>99</v>
      </c>
      <c r="S19" s="19"/>
      <c r="T19" s="15" t="str">
        <f aca="false">IF(R19="維持",J19,IF(R19="排除","無關新聞事件",IFERROR(INDEX(事件規則!$B$2:$B$53,MATCH(S19,事件規則!$A$2:$A$53,0)),"")))</f>
        <v>股價下跌</v>
      </c>
      <c r="U19" s="20" t="n">
        <f aca="false">IF(R19="維持",K19,IF(R19="排除",0,IFERROR(INDEX(事件規則!$C$2:$C$53,MATCH(S19,事件規則!$A$2:$A$53,0)),"")))</f>
        <v>1</v>
      </c>
      <c r="V19" s="21"/>
      <c r="W19" s="22"/>
      <c r="X19" s="10" t="str">
        <f aca="false">IF(AND(R19="修改",S19=""),"請選新事件代碼",IF(AND(R19&lt;&gt;"修改",S19&lt;&gt;""),"只有「修改」才需填代碼",""))</f>
        <v/>
      </c>
      <c r="Y19" s="21"/>
      <c r="Z19" s="22"/>
      <c r="AA19" s="12" t="s">
        <v>143</v>
      </c>
      <c r="AB19" s="12"/>
    </row>
    <row r="20" customFormat="false" ht="29.85" hidden="false" customHeight="false" outlineLevel="0" collapsed="false">
      <c r="A20" s="9" t="n">
        <v>19</v>
      </c>
      <c r="B20" s="9" t="s">
        <v>135</v>
      </c>
      <c r="C20" s="9" t="s">
        <v>144</v>
      </c>
      <c r="D20" s="10" t="s">
        <v>145</v>
      </c>
      <c r="E20" s="11" t="s">
        <v>141</v>
      </c>
      <c r="F20" s="15"/>
      <c r="G20" s="12" t="s">
        <v>142</v>
      </c>
      <c r="H20" s="13" t="n">
        <v>-0.908</v>
      </c>
      <c r="I20" s="14" t="s">
        <v>97</v>
      </c>
      <c r="J20" s="15" t="s">
        <v>98</v>
      </c>
      <c r="K20" s="9" t="n">
        <v>1</v>
      </c>
      <c r="L20" s="9"/>
      <c r="M20" s="16" t="s">
        <v>99</v>
      </c>
      <c r="N20" s="14"/>
      <c r="O20" s="17" t="s">
        <v>54</v>
      </c>
      <c r="P20" s="15" t="s">
        <v>100</v>
      </c>
      <c r="Q20" s="9"/>
      <c r="R20" s="18" t="s">
        <v>99</v>
      </c>
      <c r="S20" s="19"/>
      <c r="T20" s="15" t="str">
        <f aca="false">IF(R20="維持",J20,IF(R20="排除","無關新聞事件",IFERROR(INDEX(事件規則!$B$2:$B$53,MATCH(S20,事件規則!$A$2:$A$53,0)),"")))</f>
        <v>股價下跌</v>
      </c>
      <c r="U20" s="20" t="n">
        <f aca="false">IF(R20="維持",K20,IF(R20="排除",0,IFERROR(INDEX(事件規則!$C$2:$C$53,MATCH(S20,事件規則!$A$2:$A$53,0)),"")))</f>
        <v>1</v>
      </c>
      <c r="V20" s="21"/>
      <c r="W20" s="22"/>
      <c r="X20" s="10" t="str">
        <f aca="false">IF(AND(R20="修改",S20=""),"請選新事件代碼",IF(AND(R20&lt;&gt;"修改",S20&lt;&gt;""),"只有「修改」才需填代碼",""))</f>
        <v/>
      </c>
      <c r="Y20" s="21"/>
      <c r="Z20" s="22"/>
      <c r="AA20" s="12" t="s">
        <v>146</v>
      </c>
      <c r="AB20" s="12"/>
    </row>
    <row r="21" customFormat="false" ht="58.2" hidden="false" customHeight="false" outlineLevel="0" collapsed="false">
      <c r="A21" s="9" t="n">
        <v>20</v>
      </c>
      <c r="B21" s="9" t="s">
        <v>135</v>
      </c>
      <c r="C21" s="9" t="s">
        <v>147</v>
      </c>
      <c r="D21" s="10" t="s">
        <v>148</v>
      </c>
      <c r="E21" s="11" t="s">
        <v>149</v>
      </c>
      <c r="F21" s="15"/>
      <c r="G21" s="12" t="s">
        <v>150</v>
      </c>
      <c r="H21" s="13" t="n">
        <v>0.057</v>
      </c>
      <c r="I21" s="14" t="s">
        <v>151</v>
      </c>
      <c r="J21" s="15" t="s">
        <v>80</v>
      </c>
      <c r="K21" s="9"/>
      <c r="L21" s="9"/>
      <c r="M21" s="16" t="s">
        <v>53</v>
      </c>
      <c r="N21" s="14"/>
      <c r="O21" s="17" t="s">
        <v>54</v>
      </c>
      <c r="P21" s="15" t="s">
        <v>55</v>
      </c>
      <c r="Q21" s="9"/>
      <c r="R21" s="18" t="s">
        <v>53</v>
      </c>
      <c r="S21" s="19"/>
      <c r="T21" s="15" t="str">
        <f aca="false">IF(R21="維持",J21,IF(R21="排除","無關新聞事件",IFERROR(INDEX(事件規則!$B$2:$B$53,MATCH(S21,事件規則!$A$2:$A$53,0)),"")))</f>
        <v>無關新聞事件</v>
      </c>
      <c r="U21" s="20" t="n">
        <f aca="false">IF(R21="維持",K21,IF(R21="排除",0,IFERROR(INDEX(事件規則!$C$2:$C$53,MATCH(S21,事件規則!$A$2:$A$53,0)),"")))</f>
        <v>0</v>
      </c>
      <c r="V21" s="21"/>
      <c r="W21" s="22"/>
      <c r="X21" s="10" t="str">
        <f aca="false">IF(AND(R21="修改",S21=""),"請選新事件代碼",IF(AND(R21&lt;&gt;"修改",S21&lt;&gt;""),"只有「修改」才需填代碼",""))</f>
        <v/>
      </c>
      <c r="Y21" s="21"/>
      <c r="Z21" s="22"/>
      <c r="AA21" s="12" t="s">
        <v>152</v>
      </c>
      <c r="AB21" s="12"/>
    </row>
  </sheetData>
  <autoFilter ref="A1:AB21"/>
  <conditionalFormatting sqref="K2:K21">
    <cfRule type="expression" priority="2" aboveAverage="0" equalAverage="0" bottom="0" percent="0" rank="0" text="" dxfId="10">
      <formula>AND(ISNUMBER(K2),K2=5)</formula>
    </cfRule>
    <cfRule type="expression" priority="3" aboveAverage="0" equalAverage="0" bottom="0" percent="0" rank="0" text="" dxfId="11">
      <formula>AND(ISNUMBER(K2),K2=4)</formula>
    </cfRule>
    <cfRule type="expression" priority="4" aboveAverage="0" equalAverage="0" bottom="0" percent="0" rank="0" text="" dxfId="12">
      <formula>AND(ISNUMBER(K2),K2=3)</formula>
    </cfRule>
    <cfRule type="expression" priority="5" aboveAverage="0" equalAverage="0" bottom="0" percent="0" rank="0" text="" dxfId="13">
      <formula>AND(ISNUMBER(K2),K2=2)</formula>
    </cfRule>
    <cfRule type="expression" priority="6" aboveAverage="0" equalAverage="0" bottom="0" percent="0" rank="0" text="" dxfId="14">
      <formula>AND(ISNUMBER(K2),K2=1)</formula>
    </cfRule>
    <cfRule type="expression" priority="7" aboveAverage="0" equalAverage="0" bottom="0" percent="0" rank="0" text="" dxfId="15">
      <formula>AND(ISNUMBER(K2),K2=0)</formula>
    </cfRule>
  </conditionalFormatting>
  <conditionalFormatting sqref="U2:U21">
    <cfRule type="expression" priority="8" aboveAverage="0" equalAverage="0" bottom="0" percent="0" rank="0" text="" dxfId="10">
      <formula>AND(ISNUMBER(U2),U2=5)</formula>
    </cfRule>
    <cfRule type="expression" priority="9" aboveAverage="0" equalAverage="0" bottom="0" percent="0" rank="0" text="" dxfId="11">
      <formula>AND(ISNUMBER(U2),U2=4)</formula>
    </cfRule>
    <cfRule type="expression" priority="10" aboveAverage="0" equalAverage="0" bottom="0" percent="0" rank="0" text="" dxfId="12">
      <formula>AND(ISNUMBER(U2),U2=3)</formula>
    </cfRule>
    <cfRule type="expression" priority="11" aboveAverage="0" equalAverage="0" bottom="0" percent="0" rank="0" text="" dxfId="13">
      <formula>AND(ISNUMBER(U2),U2=2)</formula>
    </cfRule>
    <cfRule type="expression" priority="12" aboveAverage="0" equalAverage="0" bottom="0" percent="0" rank="0" text="" dxfId="14">
      <formula>AND(ISNUMBER(U2),U2=1)</formula>
    </cfRule>
    <cfRule type="expression" priority="13" aboveAverage="0" equalAverage="0" bottom="0" percent="0" rank="0" text="" dxfId="15">
      <formula>AND(ISNUMBER(U2),U2=0)</formula>
    </cfRule>
  </conditionalFormatting>
  <conditionalFormatting sqref="X2:X21">
    <cfRule type="expression" priority="14" aboveAverage="0" equalAverage="0" bottom="0" percent="0" rank="0" text="" dxfId="16">
      <formula>X2&lt;&gt;""</formula>
    </cfRule>
  </conditionalFormatting>
  <conditionalFormatting sqref="O2:O21">
    <cfRule type="expression" priority="15" aboveAverage="0" equalAverage="0" bottom="0" percent="0" rank="0" text="" dxfId="16">
      <formula>O2="低"</formula>
    </cfRule>
  </conditionalFormatting>
  <conditionalFormatting sqref="Q2:Q21">
    <cfRule type="expression" priority="16" aboveAverage="0" equalAverage="0" bottom="0" percent="0" rank="0" text="" dxfId="16">
      <formula>Q2="是"</formula>
    </cfRule>
  </conditionalFormatting>
  <dataValidations count="2">
    <dataValidation allowBlank="false" error="只能選：維持、修改、排除" errorStyle="stop" errorTitle="請選擇" operator="between" showDropDown="false" showErrorMessage="true" showInputMessage="false" sqref="R2:R21" type="list">
      <formula1>"維持,修改,排除"</formula1>
      <formula2>0</formula2>
    </dataValidation>
    <dataValidation allowBlank="true" error="只能選規則表內的事件代碼" errorStyle="stop" errorTitle="事件代碼" operator="between" showDropDown="false" showErrorMessage="true" showInputMessage="false" sqref="S2:S21" type="list">
      <formula1>事件規則!$A$2:$A$53</formula1>
      <formula2>0</formula2>
    </dataValidation>
  </dataValidations>
  <hyperlinks>
    <hyperlink ref="E2" r:id="rId1" display="Eleven months cost Galaxy S23 owners what the Galaxy S24 got by default"/>
    <hyperlink ref="E3" r:id="rId2" display="Cost to battle 20 wildfires in WA has topped $200M"/>
    <hyperlink ref="E4" r:id="rId3" display="Cost to battle 20 wildfires in WA has topped $200M"/>
    <hyperlink ref="E5" r:id="rId4" display="Trump’s tariff strategy has changed. But his goal hasn’t | CNN Business"/>
    <hyperlink ref="E6" r:id="rId5" display="Trump’s tariff strategy has changed. But his goal hasn’t | CNN Business"/>
    <hyperlink ref="E7" r:id="rId6" display="Amazon Linux default SSM parameter will now track the latest kernel"/>
    <hyperlink ref="E8" r:id="rId7" display="Amazon Linux default SSM parameter will now track the latest kernel"/>
    <hyperlink ref="E9" r:id="rId8" display="CMA CGM Group completes acquisition of FedEx Supply Chain, strengthening its logistics presence in North America, and enters into multi-year commercial agreements related to air and ocean freight"/>
    <hyperlink ref="E10" r:id="rId9" display="希捷和西部數據股價大跌，東芝擬提高硬盤產能"/>
    <hyperlink ref="E11" r:id="rId10" display="希捷和西部數據股價大跌，東芝擬提高硬盤產能"/>
    <hyperlink ref="E12" r:id="rId11" display="Dollar Tree Upgraded, Kroger Downgraded: Updated Rankings on Top Blue-Chip Stocks"/>
    <hyperlink ref="E13" r:id="rId12" display="Dollar Tree Upgraded, Kroger Downgraded: Updated Rankings on Top Blue-Chip Stocks"/>
    <hyperlink ref="E14" r:id="rId13" display="Duke Energy comes to an agreement on long-sought large load tariff for data centers in North Carolina"/>
    <hyperlink ref="E15" r:id="rId14" display="NetApp (NTAP) Wins An Analyst Upgrade, Is It 19% Overvalued?"/>
    <hyperlink ref="E16" r:id="rId15" display="Duke Energy reaches settlement to enhance protections from data center costs (DUK:NYSE)"/>
    <hyperlink ref="E17" r:id="rId16" display="SpaceX挑戰美國三大運營商 美國運營商巨頭股價暴跌"/>
    <hyperlink ref="E18" r:id="rId17" display="SpaceX挑戰美國三大運營商 美國運營商巨頭股價暴跌"/>
    <hyperlink ref="E19" r:id="rId18" display="As AT&amp;T, Verizon and T-Mobile shares fall, Wall Street assesses the growing SpaceX threat"/>
    <hyperlink ref="E20" r:id="rId19" display="As AT&amp;T, Verizon and T-Mobile shares fall, Wall Street assesses the growing SpaceX threat"/>
    <hyperlink ref="E21" r:id="rId20" display="Deal Dispatch: Uber Buys ezCater For $2.3B, Skydance Takes Over Warner Bros., True Food Kitchen Bankruptc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8"/>
  </cols>
  <sheetData>
    <row r="1" customFormat="false" ht="15" hidden="false" customHeight="false" outlineLevel="0" collapsed="false">
      <c r="A1" s="24" t="s">
        <v>153</v>
      </c>
      <c r="B1" s="25" t="s">
        <v>154</v>
      </c>
      <c r="C1" s="24" t="s">
        <v>155</v>
      </c>
    </row>
    <row r="2" customFormat="false" ht="15" hidden="false" customHeight="false" outlineLevel="0" collapsed="false">
      <c r="A2" s="26" t="s">
        <v>156</v>
      </c>
      <c r="B2" s="5" t="s">
        <v>157</v>
      </c>
      <c r="C2" s="5" t="n">
        <v>5</v>
      </c>
    </row>
    <row r="3" customFormat="false" ht="15" hidden="false" customHeight="false" outlineLevel="0" collapsed="false">
      <c r="A3" s="26" t="s">
        <v>151</v>
      </c>
      <c r="B3" s="5" t="s">
        <v>158</v>
      </c>
      <c r="C3" s="5" t="n">
        <v>5</v>
      </c>
    </row>
    <row r="4" customFormat="false" ht="15" hidden="false" customHeight="false" outlineLevel="0" collapsed="false">
      <c r="A4" s="26" t="s">
        <v>51</v>
      </c>
      <c r="B4" s="5" t="s">
        <v>52</v>
      </c>
      <c r="C4" s="5" t="n">
        <v>5</v>
      </c>
    </row>
    <row r="5" customFormat="false" ht="15" hidden="false" customHeight="false" outlineLevel="0" collapsed="false">
      <c r="A5" s="26" t="s">
        <v>159</v>
      </c>
      <c r="B5" s="5" t="s">
        <v>160</v>
      </c>
      <c r="C5" s="5" t="n">
        <v>5</v>
      </c>
    </row>
    <row r="6" customFormat="false" ht="15" hidden="false" customHeight="false" outlineLevel="0" collapsed="false">
      <c r="A6" s="26" t="s">
        <v>161</v>
      </c>
      <c r="B6" s="5" t="s">
        <v>162</v>
      </c>
      <c r="C6" s="5" t="n">
        <v>5</v>
      </c>
    </row>
    <row r="7" customFormat="false" ht="15" hidden="false" customHeight="false" outlineLevel="0" collapsed="false">
      <c r="A7" s="26" t="s">
        <v>163</v>
      </c>
      <c r="B7" s="5" t="s">
        <v>164</v>
      </c>
      <c r="C7" s="5" t="n">
        <v>5</v>
      </c>
    </row>
    <row r="8" customFormat="false" ht="15" hidden="false" customHeight="false" outlineLevel="0" collapsed="false">
      <c r="A8" s="26" t="s">
        <v>165</v>
      </c>
      <c r="B8" s="5" t="s">
        <v>166</v>
      </c>
      <c r="C8" s="5" t="n">
        <v>5</v>
      </c>
    </row>
    <row r="9" customFormat="false" ht="15" hidden="false" customHeight="false" outlineLevel="0" collapsed="false">
      <c r="A9" s="26" t="s">
        <v>167</v>
      </c>
      <c r="B9" s="5" t="s">
        <v>168</v>
      </c>
      <c r="C9" s="5" t="n">
        <v>4</v>
      </c>
    </row>
    <row r="10" customFormat="false" ht="15" hidden="false" customHeight="false" outlineLevel="0" collapsed="false">
      <c r="A10" s="26" t="s">
        <v>169</v>
      </c>
      <c r="B10" s="5" t="s">
        <v>170</v>
      </c>
      <c r="C10" s="5" t="n">
        <v>4</v>
      </c>
    </row>
    <row r="11" customFormat="false" ht="15" hidden="false" customHeight="false" outlineLevel="0" collapsed="false">
      <c r="A11" s="26" t="s">
        <v>171</v>
      </c>
      <c r="B11" s="5" t="s">
        <v>172</v>
      </c>
      <c r="C11" s="5" t="n">
        <v>4</v>
      </c>
    </row>
    <row r="12" customFormat="false" ht="15" hidden="false" customHeight="false" outlineLevel="0" collapsed="false">
      <c r="A12" s="26" t="s">
        <v>173</v>
      </c>
      <c r="B12" s="5" t="s">
        <v>174</v>
      </c>
      <c r="C12" s="5" t="n">
        <v>4</v>
      </c>
    </row>
    <row r="13" customFormat="false" ht="15" hidden="false" customHeight="false" outlineLevel="0" collapsed="false">
      <c r="A13" s="26" t="s">
        <v>175</v>
      </c>
      <c r="B13" s="5" t="s">
        <v>176</v>
      </c>
      <c r="C13" s="5" t="n">
        <v>4</v>
      </c>
    </row>
    <row r="14" customFormat="false" ht="15" hidden="false" customHeight="false" outlineLevel="0" collapsed="false">
      <c r="A14" s="26" t="s">
        <v>177</v>
      </c>
      <c r="B14" s="26" t="s">
        <v>178</v>
      </c>
      <c r="C14" s="5" t="n">
        <v>4</v>
      </c>
    </row>
    <row r="15" customFormat="false" ht="15" hidden="false" customHeight="false" outlineLevel="0" collapsed="false">
      <c r="A15" s="26" t="s">
        <v>179</v>
      </c>
      <c r="B15" s="5" t="s">
        <v>180</v>
      </c>
      <c r="C15" s="5" t="n">
        <v>4</v>
      </c>
    </row>
    <row r="16" customFormat="false" ht="15" hidden="false" customHeight="false" outlineLevel="0" collapsed="false">
      <c r="A16" s="26" t="s">
        <v>181</v>
      </c>
      <c r="B16" s="5" t="s">
        <v>182</v>
      </c>
      <c r="C16" s="5" t="n">
        <v>4</v>
      </c>
    </row>
    <row r="17" customFormat="false" ht="15" hidden="false" customHeight="false" outlineLevel="0" collapsed="false">
      <c r="A17" s="26" t="s">
        <v>183</v>
      </c>
      <c r="B17" s="5" t="s">
        <v>184</v>
      </c>
      <c r="C17" s="5" t="n">
        <v>4</v>
      </c>
    </row>
    <row r="18" customFormat="false" ht="15" hidden="false" customHeight="false" outlineLevel="0" collapsed="false">
      <c r="A18" s="26" t="s">
        <v>185</v>
      </c>
      <c r="B18" s="5" t="s">
        <v>186</v>
      </c>
      <c r="C18" s="5" t="n">
        <v>4</v>
      </c>
    </row>
    <row r="19" customFormat="false" ht="15" hidden="false" customHeight="false" outlineLevel="0" collapsed="false">
      <c r="A19" s="26" t="s">
        <v>132</v>
      </c>
      <c r="B19" s="5" t="s">
        <v>187</v>
      </c>
      <c r="C19" s="5" t="n">
        <v>4</v>
      </c>
    </row>
    <row r="20" customFormat="false" ht="15" hidden="false" customHeight="false" outlineLevel="0" collapsed="false">
      <c r="A20" s="26" t="s">
        <v>188</v>
      </c>
      <c r="B20" s="5" t="s">
        <v>189</v>
      </c>
      <c r="C20" s="5" t="n">
        <v>4</v>
      </c>
    </row>
    <row r="21" customFormat="false" ht="15" hidden="false" customHeight="false" outlineLevel="0" collapsed="false">
      <c r="A21" s="26" t="s">
        <v>190</v>
      </c>
      <c r="B21" s="5" t="s">
        <v>191</v>
      </c>
      <c r="C21" s="5" t="n">
        <v>4</v>
      </c>
    </row>
    <row r="22" customFormat="false" ht="15" hidden="false" customHeight="false" outlineLevel="0" collapsed="false">
      <c r="A22" s="26" t="s">
        <v>192</v>
      </c>
      <c r="B22" s="26" t="s">
        <v>193</v>
      </c>
      <c r="C22" s="5" t="n">
        <v>3</v>
      </c>
    </row>
    <row r="23" customFormat="false" ht="15" hidden="false" customHeight="false" outlineLevel="0" collapsed="false">
      <c r="A23" s="26" t="s">
        <v>194</v>
      </c>
      <c r="B23" s="26" t="s">
        <v>195</v>
      </c>
      <c r="C23" s="5" t="n">
        <v>3</v>
      </c>
    </row>
    <row r="24" customFormat="false" ht="15" hidden="false" customHeight="false" outlineLevel="0" collapsed="false">
      <c r="A24" s="26" t="s">
        <v>196</v>
      </c>
      <c r="B24" s="26" t="s">
        <v>197</v>
      </c>
      <c r="C24" s="5" t="n">
        <v>3</v>
      </c>
    </row>
    <row r="25" customFormat="false" ht="15" hidden="false" customHeight="false" outlineLevel="0" collapsed="false">
      <c r="A25" s="26" t="s">
        <v>198</v>
      </c>
      <c r="B25" s="5" t="s">
        <v>199</v>
      </c>
      <c r="C25" s="5" t="n">
        <v>3</v>
      </c>
    </row>
    <row r="26" customFormat="false" ht="15" hidden="false" customHeight="false" outlineLevel="0" collapsed="false">
      <c r="A26" s="26" t="s">
        <v>200</v>
      </c>
      <c r="B26" s="5" t="s">
        <v>201</v>
      </c>
      <c r="C26" s="5" t="n">
        <v>3</v>
      </c>
    </row>
    <row r="27" customFormat="false" ht="15" hidden="false" customHeight="false" outlineLevel="0" collapsed="false">
      <c r="A27" s="26" t="s">
        <v>202</v>
      </c>
      <c r="B27" s="5" t="s">
        <v>203</v>
      </c>
      <c r="C27" s="5" t="n">
        <v>3</v>
      </c>
    </row>
    <row r="28" customFormat="false" ht="15" hidden="false" customHeight="false" outlineLevel="0" collapsed="false">
      <c r="A28" s="26" t="s">
        <v>204</v>
      </c>
      <c r="B28" s="5" t="s">
        <v>205</v>
      </c>
      <c r="C28" s="5" t="n">
        <v>3</v>
      </c>
    </row>
    <row r="29" customFormat="false" ht="15" hidden="false" customHeight="false" outlineLevel="0" collapsed="false">
      <c r="A29" s="26" t="s">
        <v>206</v>
      </c>
      <c r="B29" s="5" t="s">
        <v>207</v>
      </c>
      <c r="C29" s="5" t="n">
        <v>3</v>
      </c>
    </row>
    <row r="30" customFormat="false" ht="15" hidden="false" customHeight="false" outlineLevel="0" collapsed="false">
      <c r="A30" s="26" t="s">
        <v>208</v>
      </c>
      <c r="B30" s="5" t="s">
        <v>209</v>
      </c>
      <c r="C30" s="5" t="n">
        <v>3</v>
      </c>
    </row>
    <row r="31" customFormat="false" ht="15" hidden="false" customHeight="false" outlineLevel="0" collapsed="false">
      <c r="A31" s="26" t="s">
        <v>210</v>
      </c>
      <c r="B31" s="5" t="s">
        <v>211</v>
      </c>
      <c r="C31" s="5" t="n">
        <v>3</v>
      </c>
    </row>
    <row r="32" customFormat="false" ht="15" hidden="false" customHeight="false" outlineLevel="0" collapsed="false">
      <c r="A32" s="26" t="s">
        <v>212</v>
      </c>
      <c r="B32" s="5" t="s">
        <v>213</v>
      </c>
      <c r="C32" s="5" t="n">
        <v>3</v>
      </c>
    </row>
    <row r="33" customFormat="false" ht="15" hidden="false" customHeight="false" outlineLevel="0" collapsed="false">
      <c r="A33" s="26" t="s">
        <v>214</v>
      </c>
      <c r="B33" s="5" t="s">
        <v>215</v>
      </c>
      <c r="C33" s="5" t="n">
        <v>3</v>
      </c>
    </row>
    <row r="34" customFormat="false" ht="15" hidden="false" customHeight="false" outlineLevel="0" collapsed="false">
      <c r="A34" s="26" t="s">
        <v>216</v>
      </c>
      <c r="B34" s="5" t="s">
        <v>217</v>
      </c>
      <c r="C34" s="5" t="n">
        <v>3</v>
      </c>
    </row>
    <row r="35" customFormat="false" ht="15" hidden="false" customHeight="false" outlineLevel="0" collapsed="false">
      <c r="A35" s="26" t="s">
        <v>218</v>
      </c>
      <c r="B35" s="5" t="s">
        <v>219</v>
      </c>
      <c r="C35" s="5" t="n">
        <v>3</v>
      </c>
    </row>
    <row r="36" customFormat="false" ht="15" hidden="false" customHeight="false" outlineLevel="0" collapsed="false">
      <c r="A36" s="26" t="s">
        <v>220</v>
      </c>
      <c r="B36" s="5" t="s">
        <v>221</v>
      </c>
      <c r="C36" s="5" t="n">
        <v>3</v>
      </c>
    </row>
    <row r="37" customFormat="false" ht="15" hidden="false" customHeight="false" outlineLevel="0" collapsed="false">
      <c r="A37" s="26" t="s">
        <v>90</v>
      </c>
      <c r="B37" s="5" t="s">
        <v>222</v>
      </c>
      <c r="C37" s="5" t="n">
        <v>3</v>
      </c>
    </row>
    <row r="38" customFormat="false" ht="15" hidden="false" customHeight="false" outlineLevel="0" collapsed="false">
      <c r="A38" s="26" t="s">
        <v>223</v>
      </c>
      <c r="B38" s="5" t="s">
        <v>224</v>
      </c>
      <c r="C38" s="5" t="n">
        <v>3</v>
      </c>
    </row>
    <row r="39" customFormat="false" ht="15" hidden="false" customHeight="false" outlineLevel="0" collapsed="false">
      <c r="A39" s="26" t="s">
        <v>225</v>
      </c>
      <c r="B39" s="5" t="s">
        <v>226</v>
      </c>
      <c r="C39" s="5" t="n">
        <v>3</v>
      </c>
    </row>
    <row r="40" customFormat="false" ht="15" hidden="false" customHeight="false" outlineLevel="0" collapsed="false">
      <c r="A40" s="26" t="s">
        <v>110</v>
      </c>
      <c r="B40" s="5" t="s">
        <v>111</v>
      </c>
      <c r="C40" s="5" t="n">
        <v>2</v>
      </c>
    </row>
    <row r="41" customFormat="false" ht="15" hidden="false" customHeight="false" outlineLevel="0" collapsed="false">
      <c r="A41" s="26" t="s">
        <v>227</v>
      </c>
      <c r="B41" s="5" t="s">
        <v>228</v>
      </c>
      <c r="C41" s="5" t="n">
        <v>2</v>
      </c>
    </row>
    <row r="42" customFormat="false" ht="15" hidden="false" customHeight="false" outlineLevel="0" collapsed="false">
      <c r="A42" s="26" t="s">
        <v>229</v>
      </c>
      <c r="B42" s="5" t="s">
        <v>230</v>
      </c>
      <c r="C42" s="5" t="n">
        <v>2</v>
      </c>
    </row>
    <row r="43" customFormat="false" ht="15" hidden="false" customHeight="false" outlineLevel="0" collapsed="false">
      <c r="A43" s="26" t="s">
        <v>231</v>
      </c>
      <c r="B43" s="5" t="s">
        <v>232</v>
      </c>
      <c r="C43" s="5" t="n">
        <v>2</v>
      </c>
    </row>
    <row r="44" customFormat="false" ht="15" hidden="false" customHeight="false" outlineLevel="0" collapsed="false">
      <c r="A44" s="26" t="s">
        <v>233</v>
      </c>
      <c r="B44" s="5" t="s">
        <v>234</v>
      </c>
      <c r="C44" s="5" t="n">
        <v>2</v>
      </c>
    </row>
    <row r="45" customFormat="false" ht="15" hidden="false" customHeight="false" outlineLevel="0" collapsed="false">
      <c r="A45" s="26" t="s">
        <v>71</v>
      </c>
      <c r="B45" s="5" t="s">
        <v>72</v>
      </c>
      <c r="C45" s="5" t="n">
        <v>2</v>
      </c>
    </row>
    <row r="46" customFormat="false" ht="15" hidden="false" customHeight="false" outlineLevel="0" collapsed="false">
      <c r="A46" s="26" t="s">
        <v>62</v>
      </c>
      <c r="B46" s="5" t="s">
        <v>63</v>
      </c>
      <c r="C46" s="5" t="n">
        <v>1</v>
      </c>
    </row>
    <row r="47" customFormat="false" ht="15" hidden="false" customHeight="false" outlineLevel="0" collapsed="false">
      <c r="A47" s="26" t="s">
        <v>97</v>
      </c>
      <c r="B47" s="5" t="s">
        <v>98</v>
      </c>
      <c r="C47" s="5" t="n">
        <v>1</v>
      </c>
    </row>
    <row r="48" customFormat="false" ht="15" hidden="false" customHeight="false" outlineLevel="0" collapsed="false">
      <c r="A48" s="26" t="s">
        <v>235</v>
      </c>
      <c r="B48" s="5" t="s">
        <v>236</v>
      </c>
      <c r="C48" s="5" t="n">
        <v>1</v>
      </c>
    </row>
    <row r="49" customFormat="false" ht="15" hidden="false" customHeight="false" outlineLevel="0" collapsed="false">
      <c r="A49" s="26" t="s">
        <v>128</v>
      </c>
      <c r="B49" s="5" t="s">
        <v>237</v>
      </c>
      <c r="C49" s="5" t="n">
        <v>1</v>
      </c>
    </row>
    <row r="50" customFormat="false" ht="15" hidden="false" customHeight="false" outlineLevel="0" collapsed="false">
      <c r="A50" s="26" t="s">
        <v>238</v>
      </c>
      <c r="B50" s="5" t="s">
        <v>80</v>
      </c>
      <c r="C50" s="5" t="n">
        <v>0</v>
      </c>
    </row>
    <row r="51" customFormat="false" ht="15" hidden="false" customHeight="false" outlineLevel="0" collapsed="false">
      <c r="A51" s="26" t="s">
        <v>239</v>
      </c>
      <c r="B51" s="5" t="s">
        <v>240</v>
      </c>
      <c r="C51" s="5" t="n">
        <v>0</v>
      </c>
    </row>
    <row r="52" customFormat="false" ht="15" hidden="false" customHeight="false" outlineLevel="0" collapsed="false">
      <c r="A52" s="26" t="s">
        <v>241</v>
      </c>
      <c r="B52" s="5" t="s">
        <v>242</v>
      </c>
      <c r="C52" s="5" t="n">
        <v>0</v>
      </c>
    </row>
    <row r="53" customFormat="false" ht="15" hidden="false" customHeight="false" outlineLevel="0" collapsed="false">
      <c r="A53" s="26" t="s">
        <v>243</v>
      </c>
      <c r="B53" s="5" t="s">
        <v>244</v>
      </c>
      <c r="C53" s="5" t="n">
        <v>0</v>
      </c>
    </row>
    <row r="55" customFormat="false" ht="15" hidden="false" customHeight="false" outlineLevel="0" collapsed="false">
      <c r="A55" s="27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2026-10-26T08:23:16Z</dcterms:created>
  <dc:creator>openpyxl</dc:creator>
  <dc:description/>
  <dc:language>en-US</dc:language>
  <cp:lastModifiedBy/>
  <dcterms:modified xsi:type="dcterms:W3CDTF">2026-10-26T08:23:16Z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