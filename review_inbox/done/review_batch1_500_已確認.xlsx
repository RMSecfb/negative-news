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說明" sheetId="1" state="visible" r:id="rId3"/>
    <sheet name="覆核" sheetId="2" state="visible" r:id="rId4"/>
    <sheet name="事件規則" sheetId="3" state="visible" r:id="rId5"/>
  </sheets>
  <definedNames>
    <definedName function="false" hidden="true" localSheetId="1" name="_xlnm._FilterDatabase" vbProcedure="false">覆核!$A$1:$AB$501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<sst xmlns="http://schemas.openxmlformats.org/spreadsheetml/2006/main" count="6488" uniqueCount="2096">
  <si>
    <r>
      <rPr>
        <b val="true"/>
        <sz val="12"/>
        <rFont val="Noto Sans CJK SC"/>
        <family val="2"/>
      </rPr>
      <t xml:space="preserve">負面新聞離線覆核：第一批（</t>
    </r>
    <r>
      <rPr>
        <b val="true"/>
        <sz val="12"/>
        <rFont val="Arial"/>
        <family val="0"/>
        <charset val="1"/>
      </rPr>
      <t xml:space="preserve">L4</t>
    </r>
    <r>
      <rPr>
        <b val="true"/>
        <sz val="12"/>
        <rFont val="Noto Sans CJK SC"/>
        <family val="2"/>
      </rPr>
      <t xml:space="preserve">／</t>
    </r>
    <r>
      <rPr>
        <b val="true"/>
        <sz val="12"/>
        <rFont val="Arial"/>
        <family val="0"/>
        <charset val="1"/>
      </rPr>
      <t xml:space="preserve">L5 </t>
    </r>
    <r>
      <rPr>
        <b val="true"/>
        <sz val="12"/>
        <rFont val="Noto Sans CJK SC"/>
        <family val="2"/>
      </rPr>
      <t xml:space="preserve">與待補分析事件字詞）</t>
    </r>
  </si>
  <si>
    <r>
      <rPr>
        <sz val="10"/>
        <rFont val="Noto Sans CJK SC"/>
        <family val="2"/>
      </rPr>
      <t xml:space="preserve">產生日期：</t>
    </r>
    <r>
      <rPr>
        <sz val="10"/>
        <rFont val="Arial"/>
        <family val="0"/>
        <charset val="1"/>
      </rPr>
      <t xml:space="preserve">2026-10-26</t>
    </r>
    <r>
      <rPr>
        <sz val="10"/>
        <rFont val="Noto Sans CJK SC"/>
        <family val="2"/>
      </rPr>
      <t xml:space="preserve">　筆數：</t>
    </r>
    <r>
      <rPr>
        <sz val="10"/>
        <rFont val="Arial"/>
        <family val="0"/>
        <charset val="1"/>
      </rPr>
      <t xml:space="preserve">500</t>
    </r>
    <r>
      <rPr>
        <sz val="10"/>
        <rFont val="Noto Sans CJK SC"/>
        <family val="2"/>
      </rPr>
      <t xml:space="preserve">（</t>
    </r>
    <r>
      <rPr>
        <sz val="10"/>
        <rFont val="Arial"/>
        <family val="0"/>
        <charset val="1"/>
      </rPr>
      <t xml:space="preserve">L5 30</t>
    </r>
    <r>
      <rPr>
        <sz val="10"/>
        <rFont val="Noto Sans CJK SC"/>
        <family val="2"/>
      </rPr>
      <t xml:space="preserve">、</t>
    </r>
    <r>
      <rPr>
        <sz val="10"/>
        <rFont val="Arial"/>
        <family val="0"/>
        <charset val="1"/>
      </rPr>
      <t xml:space="preserve">L4 458</t>
    </r>
    <r>
      <rPr>
        <sz val="10"/>
        <rFont val="Noto Sans CJK SC"/>
        <family val="2"/>
      </rPr>
      <t xml:space="preserve">、待補分析中有事件字詞 </t>
    </r>
    <r>
      <rPr>
        <sz val="10"/>
        <rFont val="Arial"/>
        <family val="0"/>
        <charset val="1"/>
      </rPr>
      <t xml:space="preserve">12</t>
    </r>
    <r>
      <rPr>
        <sz val="10"/>
        <rFont val="Noto Sans CJK SC"/>
        <family val="2"/>
      </rPr>
      <t xml:space="preserve">）</t>
    </r>
  </si>
  <si>
    <t xml:space="preserve">怎麼填（只動黃色欄位）</t>
  </si>
  <si>
    <r>
      <rPr>
        <sz val="10"/>
        <rFont val="Arial"/>
        <family val="0"/>
        <charset val="1"/>
      </rPr>
      <t xml:space="preserve">1. </t>
    </r>
    <r>
      <rPr>
        <sz val="10"/>
        <rFont val="Noto Sans CJK SC"/>
        <family val="2"/>
      </rPr>
      <t xml:space="preserve">最終決定（</t>
    </r>
    <r>
      <rPr>
        <sz val="10"/>
        <rFont val="Arial"/>
        <family val="0"/>
        <charset val="1"/>
      </rPr>
      <t xml:space="preserve">R </t>
    </r>
    <r>
      <rPr>
        <sz val="10"/>
        <rFont val="Noto Sans CJK SC"/>
        <family val="2"/>
      </rPr>
      <t xml:space="preserve">欄）：已預填我的建議。維持＝沿用目前分類；修改＝改成「新事件代碼」；排除＝記為 </t>
    </r>
    <r>
      <rPr>
        <sz val="10"/>
        <rFont val="Arial"/>
        <family val="0"/>
        <charset val="1"/>
      </rPr>
      <t xml:space="preserve">NOT_RELEVANT</t>
    </r>
    <r>
      <rPr>
        <sz val="10"/>
        <rFont val="Noto Sans CJK SC"/>
        <family val="2"/>
      </rPr>
      <t xml:space="preserve">、</t>
    </r>
    <r>
      <rPr>
        <sz val="10"/>
        <rFont val="Arial"/>
        <family val="0"/>
        <charset val="1"/>
      </rPr>
      <t xml:space="preserve">Level 0</t>
    </r>
    <r>
      <rPr>
        <sz val="10"/>
        <rFont val="Noto Sans CJK SC"/>
        <family val="2"/>
      </rPr>
      <t xml:space="preserve">、</t>
    </r>
    <r>
      <rPr>
        <sz val="10"/>
        <rFont val="Arial"/>
        <family val="0"/>
        <charset val="1"/>
      </rPr>
      <t xml:space="preserve">Action</t>
    </r>
    <r>
      <rPr>
        <sz val="10"/>
        <rFont val="Noto Sans CJK SC"/>
        <family val="2"/>
      </rPr>
      <t xml:space="preserve">「排除、不納入風險事件」。</t>
    </r>
  </si>
  <si>
    <r>
      <rPr>
        <sz val="10"/>
        <rFont val="Arial"/>
        <family val="0"/>
        <charset val="1"/>
      </rPr>
      <t xml:space="preserve">2. </t>
    </r>
    <r>
      <rPr>
        <sz val="10"/>
        <rFont val="Noto Sans CJK SC"/>
        <family val="2"/>
      </rPr>
      <t xml:space="preserve">新事件代碼（</t>
    </r>
    <r>
      <rPr>
        <sz val="10"/>
        <rFont val="Arial"/>
        <family val="0"/>
        <charset val="1"/>
      </rPr>
      <t xml:space="preserve">S </t>
    </r>
    <r>
      <rPr>
        <sz val="10"/>
        <rFont val="Noto Sans CJK SC"/>
        <family val="2"/>
      </rPr>
      <t xml:space="preserve">欄）：只有「修改」才需要，從下拉選單選；新事件中文與新 </t>
    </r>
    <r>
      <rPr>
        <sz val="10"/>
        <rFont val="Arial"/>
        <family val="0"/>
        <charset val="1"/>
      </rPr>
      <t xml:space="preserve">Level </t>
    </r>
    <r>
      <rPr>
        <sz val="10"/>
        <rFont val="Noto Sans CJK SC"/>
        <family val="2"/>
      </rPr>
      <t xml:space="preserve">會自動帶出。</t>
    </r>
  </si>
  <si>
    <r>
      <rPr>
        <sz val="10"/>
        <rFont val="Arial"/>
        <family val="0"/>
        <charset val="1"/>
      </rPr>
      <t xml:space="preserve">3. </t>
    </r>
    <r>
      <rPr>
        <sz val="10"/>
        <rFont val="Noto Sans CJK SC"/>
        <family val="2"/>
      </rPr>
      <t xml:space="preserve">更正公司（</t>
    </r>
    <r>
      <rPr>
        <sz val="10"/>
        <rFont val="Arial"/>
        <family val="0"/>
        <charset val="1"/>
      </rPr>
      <t xml:space="preserve">V </t>
    </r>
    <r>
      <rPr>
        <sz val="10"/>
        <rFont val="Noto Sans CJK SC"/>
        <family val="2"/>
      </rPr>
      <t xml:space="preserve">欄）、更正</t>
    </r>
    <r>
      <rPr>
        <sz val="10"/>
        <rFont val="Arial"/>
        <family val="0"/>
        <charset val="1"/>
      </rPr>
      <t xml:space="preserve">Ticker</t>
    </r>
    <r>
      <rPr>
        <sz val="10"/>
        <rFont val="Noto Sans CJK SC"/>
        <family val="2"/>
      </rPr>
      <t xml:space="preserve">（</t>
    </r>
    <r>
      <rPr>
        <sz val="10"/>
        <rFont val="Arial"/>
        <family val="0"/>
        <charset val="1"/>
      </rPr>
      <t xml:space="preserve">W </t>
    </r>
    <r>
      <rPr>
        <sz val="10"/>
        <rFont val="Noto Sans CJK SC"/>
        <family val="2"/>
      </rPr>
      <t xml:space="preserve">欄）：只在公司歸屬錯誤或 </t>
    </r>
    <r>
      <rPr>
        <sz val="10"/>
        <rFont val="Arial"/>
        <family val="0"/>
        <charset val="1"/>
      </rPr>
      <t xml:space="preserve">Ticker </t>
    </r>
    <r>
      <rPr>
        <sz val="10"/>
        <rFont val="Noto Sans CJK SC"/>
        <family val="2"/>
      </rPr>
      <t xml:space="preserve">空白時填寫，空白代表不更正。已依 </t>
    </r>
    <r>
      <rPr>
        <sz val="10"/>
        <rFont val="Arial"/>
        <family val="0"/>
        <charset val="1"/>
      </rPr>
      <t xml:space="preserve">S&amp;P 500 </t>
    </r>
    <r>
      <rPr>
        <sz val="10"/>
        <rFont val="Noto Sans CJK SC"/>
        <family val="2"/>
      </rPr>
      <t xml:space="preserve">清單預填 </t>
    </r>
    <r>
      <rPr>
        <sz val="10"/>
        <rFont val="Arial"/>
        <family val="0"/>
        <charset val="1"/>
      </rPr>
      <t xml:space="preserve">Ticker </t>
    </r>
    <r>
      <rPr>
        <sz val="10"/>
        <rFont val="Noto Sans CJK SC"/>
        <family val="2"/>
      </rPr>
      <t xml:space="preserve">空白的列，並把一筆 </t>
    </r>
    <r>
      <rPr>
        <sz val="10"/>
        <rFont val="Arial"/>
        <family val="0"/>
        <charset val="1"/>
      </rPr>
      <t xml:space="preserve">Meta </t>
    </r>
    <r>
      <rPr>
        <sz val="10"/>
        <rFont val="Noto Sans CJK SC"/>
        <family val="2"/>
      </rPr>
      <t xml:space="preserve">誤配改為 </t>
    </r>
    <r>
      <rPr>
        <sz val="10"/>
        <rFont val="Arial"/>
        <family val="0"/>
        <charset val="1"/>
      </rPr>
      <t xml:space="preserve">Apple</t>
    </r>
    <r>
      <rPr>
        <sz val="10"/>
        <rFont val="Noto Sans CJK SC"/>
        <family val="2"/>
      </rPr>
      <t xml:space="preserve">。</t>
    </r>
  </si>
  <si>
    <r>
      <rPr>
        <sz val="10"/>
        <rFont val="Arial"/>
        <family val="0"/>
        <charset val="1"/>
      </rPr>
      <t xml:space="preserve">4. </t>
    </r>
    <r>
      <rPr>
        <sz val="10"/>
        <rFont val="Noto Sans CJK SC"/>
        <family val="2"/>
      </rPr>
      <t xml:space="preserve">覆核註記（</t>
    </r>
    <r>
      <rPr>
        <sz val="10"/>
        <rFont val="Arial"/>
        <family val="0"/>
        <charset val="1"/>
      </rPr>
      <t xml:space="preserve">Y </t>
    </r>
    <r>
      <rPr>
        <sz val="10"/>
        <rFont val="Noto Sans CJK SC"/>
        <family val="2"/>
      </rPr>
      <t xml:space="preserve">欄）、覆核人（</t>
    </r>
    <r>
      <rPr>
        <sz val="10"/>
        <rFont val="Arial"/>
        <family val="0"/>
        <charset val="1"/>
      </rPr>
      <t xml:space="preserve">Z </t>
    </r>
    <r>
      <rPr>
        <sz val="10"/>
        <rFont val="Noto Sans CJK SC"/>
        <family val="2"/>
      </rPr>
      <t xml:space="preserve">欄）：請填你的姓名；註記可空白。</t>
    </r>
  </si>
  <si>
    <r>
      <rPr>
        <sz val="10"/>
        <rFont val="Arial"/>
        <family val="0"/>
        <charset val="1"/>
      </rPr>
      <t xml:space="preserve">5. </t>
    </r>
    <r>
      <rPr>
        <sz val="10"/>
        <rFont val="Noto Sans CJK SC"/>
        <family val="2"/>
      </rPr>
      <t xml:space="preserve">把握程度為「低」或「建議看原文」為「是」的列（紅字），建議點標題開原文確認。</t>
    </r>
  </si>
  <si>
    <r>
      <rPr>
        <sz val="10"/>
        <rFont val="Arial"/>
        <family val="0"/>
        <charset val="1"/>
      </rPr>
      <t xml:space="preserve">6. </t>
    </r>
    <r>
      <rPr>
        <sz val="10"/>
        <rFont val="Noto Sans CJK SC"/>
        <family val="2"/>
      </rPr>
      <t xml:space="preserve">檢查欄（</t>
    </r>
    <r>
      <rPr>
        <sz val="10"/>
        <rFont val="Arial"/>
        <family val="0"/>
        <charset val="1"/>
      </rPr>
      <t xml:space="preserve">X</t>
    </r>
    <r>
      <rPr>
        <sz val="10"/>
        <rFont val="Noto Sans CJK SC"/>
        <family val="2"/>
      </rPr>
      <t xml:space="preserve">）若出現紅字，表示該列填寫不完整。</t>
    </r>
  </si>
  <si>
    <r>
      <rPr>
        <sz val="10"/>
        <rFont val="Arial"/>
        <family val="0"/>
        <charset val="1"/>
      </rPr>
      <t xml:space="preserve">7. </t>
    </r>
    <r>
      <rPr>
        <sz val="10"/>
        <rFont val="Noto Sans CJK SC"/>
        <family val="2"/>
      </rPr>
      <t xml:space="preserve">不要修改 </t>
    </r>
    <r>
      <rPr>
        <sz val="10"/>
        <rFont val="Arial"/>
        <family val="0"/>
        <charset val="1"/>
      </rPr>
      <t xml:space="preserve">news_id</t>
    </r>
    <r>
      <rPr>
        <sz val="10"/>
        <rFont val="Noto Sans CJK SC"/>
        <family val="2"/>
      </rPr>
      <t xml:space="preserve">、人工版本欄；上傳時靠這兩欄對應與防衝突。</t>
    </r>
  </si>
  <si>
    <r>
      <rPr>
        <sz val="10"/>
        <rFont val="Arial"/>
        <family val="0"/>
        <charset val="1"/>
      </rPr>
      <t xml:space="preserve">8. </t>
    </r>
    <r>
      <rPr>
        <sz val="10"/>
        <rFont val="Noto Sans CJK SC"/>
        <family val="2"/>
      </rPr>
      <t xml:space="preserve">確認後請另存為「檔名</t>
    </r>
    <r>
      <rPr>
        <sz val="10"/>
        <rFont val="Arial"/>
        <family val="0"/>
        <charset val="1"/>
      </rPr>
      <t xml:space="preserve">_</t>
    </r>
    <r>
      <rPr>
        <sz val="10"/>
        <rFont val="Noto Sans CJK SC"/>
        <family val="2"/>
      </rPr>
      <t xml:space="preserve">已確認</t>
    </r>
    <r>
      <rPr>
        <sz val="10"/>
        <rFont val="Arial"/>
        <family val="0"/>
        <charset val="1"/>
      </rPr>
      <t xml:space="preserve">.xlsx</t>
    </r>
    <r>
      <rPr>
        <sz val="10"/>
        <rFont val="Noto Sans CJK SC"/>
        <family val="2"/>
      </rPr>
      <t xml:space="preserve">」。</t>
    </r>
  </si>
  <si>
    <t xml:space="preserve">我的建議統計（即時計算）</t>
  </si>
  <si>
    <t xml:space="preserve">建議維持：</t>
  </si>
  <si>
    <t xml:space="preserve">建議修改：</t>
  </si>
  <si>
    <t xml:space="preserve">建議排除：</t>
  </si>
  <si>
    <t xml:space="preserve">最終決定尚未填寫的列數：</t>
  </si>
  <si>
    <r>
      <rPr>
        <sz val="10"/>
        <rFont val="Noto Sans CJK SC"/>
        <family val="2"/>
      </rPr>
      <t xml:space="preserve">限制：我只看資料中的標題與摘要，沒有逐篇開原文；建議不保證全對，最終由你確認。</t>
    </r>
    <r>
      <rPr>
        <sz val="10"/>
        <rFont val="Arial"/>
        <family val="0"/>
        <charset val="1"/>
      </rPr>
      <t xml:space="preserve">Level </t>
    </r>
    <r>
      <rPr>
        <sz val="10"/>
        <rFont val="Noto Sans CJK SC"/>
        <family val="2"/>
      </rPr>
      <t xml:space="preserve">顏色：</t>
    </r>
    <r>
      <rPr>
        <sz val="10"/>
        <rFont val="Arial"/>
        <family val="0"/>
        <charset val="1"/>
      </rPr>
      <t xml:space="preserve">5 </t>
    </r>
    <r>
      <rPr>
        <sz val="10"/>
        <rFont val="Noto Sans CJK SC"/>
        <family val="2"/>
      </rPr>
      <t xml:space="preserve">紅、</t>
    </r>
    <r>
      <rPr>
        <sz val="10"/>
        <rFont val="Arial"/>
        <family val="0"/>
        <charset val="1"/>
      </rPr>
      <t xml:space="preserve">4 </t>
    </r>
    <r>
      <rPr>
        <sz val="10"/>
        <rFont val="Noto Sans CJK SC"/>
        <family val="2"/>
      </rPr>
      <t xml:space="preserve">橘、</t>
    </r>
    <r>
      <rPr>
        <sz val="10"/>
        <rFont val="Arial"/>
        <family val="0"/>
        <charset val="1"/>
      </rPr>
      <t xml:space="preserve">3 </t>
    </r>
    <r>
      <rPr>
        <sz val="10"/>
        <rFont val="Noto Sans CJK SC"/>
        <family val="2"/>
      </rPr>
      <t xml:space="preserve">黃、</t>
    </r>
    <r>
      <rPr>
        <sz val="10"/>
        <rFont val="Arial"/>
        <family val="0"/>
        <charset val="1"/>
      </rPr>
      <t xml:space="preserve">2 </t>
    </r>
    <r>
      <rPr>
        <sz val="10"/>
        <rFont val="Noto Sans CJK SC"/>
        <family val="2"/>
      </rPr>
      <t xml:space="preserve">淡藍、</t>
    </r>
    <r>
      <rPr>
        <sz val="10"/>
        <rFont val="Arial"/>
        <family val="0"/>
        <charset val="1"/>
      </rPr>
      <t xml:space="preserve">1 </t>
    </r>
    <r>
      <rPr>
        <sz val="10"/>
        <rFont val="Noto Sans CJK SC"/>
        <family val="2"/>
      </rPr>
      <t xml:space="preserve">淺灰、</t>
    </r>
    <r>
      <rPr>
        <sz val="10"/>
        <rFont val="Arial"/>
        <family val="0"/>
        <charset val="1"/>
      </rPr>
      <t xml:space="preserve">0 </t>
    </r>
    <r>
      <rPr>
        <sz val="10"/>
        <rFont val="Noto Sans CJK SC"/>
        <family val="2"/>
      </rPr>
      <t xml:space="preserve">深灰。</t>
    </r>
  </si>
  <si>
    <t xml:space="preserve">序號</t>
  </si>
  <si>
    <t xml:space="preserve">日期</t>
  </si>
  <si>
    <t xml:space="preserve">Ticker</t>
  </si>
  <si>
    <t xml:space="preserve">公司</t>
  </si>
  <si>
    <t xml:space="preserve">標題（點擊開原文）</t>
  </si>
  <si>
    <t xml:space="preserve">中文標題／摘要</t>
  </si>
  <si>
    <t xml:space="preserve">來源</t>
  </si>
  <si>
    <t xml:space="preserve">FinBERT</t>
  </si>
  <si>
    <t xml:space="preserve">目前事件代碼</t>
  </si>
  <si>
    <t xml:space="preserve">目前事件中文</t>
  </si>
  <si>
    <r>
      <rPr>
        <b val="true"/>
        <sz val="10"/>
        <color rgb="FFFFFFFF"/>
        <rFont val="Noto Sans CJK SC"/>
        <family val="2"/>
      </rPr>
      <t xml:space="preserve">目前</t>
    </r>
    <r>
      <rPr>
        <b val="true"/>
        <sz val="10"/>
        <color rgb="FFFFFFFF"/>
        <rFont val="Arial"/>
        <family val="0"/>
        <charset val="1"/>
      </rPr>
      <t xml:space="preserve">Level</t>
    </r>
  </si>
  <si>
    <t xml:space="preserve">目前分類狀態</t>
  </si>
  <si>
    <t xml:space="preserve">建議</t>
  </si>
  <si>
    <t xml:space="preserve">建議事件代碼</t>
  </si>
  <si>
    <t xml:space="preserve">把握程度</t>
  </si>
  <si>
    <t xml:space="preserve">理由</t>
  </si>
  <si>
    <t xml:space="preserve">建議看原文</t>
  </si>
  <si>
    <t xml:space="preserve">最終決定</t>
  </si>
  <si>
    <t xml:space="preserve">新事件代碼</t>
  </si>
  <si>
    <t xml:space="preserve">新事件中文</t>
  </si>
  <si>
    <r>
      <rPr>
        <b val="true"/>
        <sz val="10"/>
        <color rgb="FFFFFFFF"/>
        <rFont val="Noto Sans CJK SC"/>
        <family val="2"/>
      </rPr>
      <t xml:space="preserve">新</t>
    </r>
    <r>
      <rPr>
        <b val="true"/>
        <sz val="10"/>
        <color rgb="FFFFFFFF"/>
        <rFont val="Arial"/>
        <family val="0"/>
        <charset val="1"/>
      </rPr>
      <t xml:space="preserve">Level</t>
    </r>
  </si>
  <si>
    <t xml:space="preserve">更正公司</t>
  </si>
  <si>
    <r>
      <rPr>
        <b val="true"/>
        <sz val="10"/>
        <color rgb="FFFFFFFF"/>
        <rFont val="Noto Sans CJK SC"/>
        <family val="2"/>
      </rPr>
      <t xml:space="preserve">更正</t>
    </r>
    <r>
      <rPr>
        <b val="true"/>
        <sz val="10"/>
        <color rgb="FFFFFFFF"/>
        <rFont val="Arial"/>
        <family val="0"/>
        <charset val="1"/>
      </rPr>
      <t xml:space="preserve">Ticker</t>
    </r>
  </si>
  <si>
    <t xml:space="preserve">檢查</t>
  </si>
  <si>
    <t xml:space="preserve">覆核註記</t>
  </si>
  <si>
    <t xml:space="preserve">覆核人</t>
  </si>
  <si>
    <t xml:space="preserve">news_id</t>
  </si>
  <si>
    <t xml:space="preserve">人工版本</t>
  </si>
  <si>
    <t xml:space="preserve">2026-08-13</t>
  </si>
  <si>
    <t xml:space="preserve">PTC</t>
  </si>
  <si>
    <t xml:space="preserve">PTC Inc.</t>
  </si>
  <si>
    <t xml:space="preserve">PTC, Lilly scoop up Sangamo gene therapies in bankruptcy auction</t>
  </si>
  <si>
    <r>
      <rPr>
        <sz val="10"/>
        <rFont val="Arial"/>
        <family val="0"/>
        <charset val="1"/>
      </rPr>
      <t xml:space="preserve">PTC</t>
    </r>
    <r>
      <rPr>
        <sz val="10"/>
        <rFont val="Noto Sans CJK SC"/>
        <family val="2"/>
      </rPr>
      <t xml:space="preserve">、禮來公司在破產拍賣中收購了 </t>
    </r>
    <r>
      <rPr>
        <sz val="10"/>
        <rFont val="Arial"/>
        <family val="0"/>
        <charset val="1"/>
      </rPr>
      <t xml:space="preserve">Sangamo </t>
    </r>
    <r>
      <rPr>
        <sz val="10"/>
        <rFont val="Noto Sans CJK SC"/>
        <family val="2"/>
      </rPr>
      <t xml:space="preserve">基因療法</t>
    </r>
  </si>
  <si>
    <t xml:space="preserve">AllSci</t>
  </si>
  <si>
    <t xml:space="preserve">BANKRUPTCY</t>
  </si>
  <si>
    <t xml:space="preserve">破產</t>
  </si>
  <si>
    <t xml:space="preserve">排除</t>
  </si>
  <si>
    <t xml:space="preserve">高</t>
  </si>
  <si>
    <r>
      <rPr>
        <sz val="10"/>
        <rFont val="Noto Sans CJK SC"/>
        <family val="2"/>
      </rPr>
      <t xml:space="preserve">破產的是 </t>
    </r>
    <r>
      <rPr>
        <sz val="10"/>
        <rFont val="Arial"/>
        <family val="0"/>
        <charset val="1"/>
      </rPr>
      <t xml:space="preserve">Sangamo</t>
    </r>
    <r>
      <rPr>
        <sz val="10"/>
        <rFont val="Noto Sans CJK SC"/>
        <family val="2"/>
      </rPr>
      <t xml:space="preserve">；</t>
    </r>
    <r>
      <rPr>
        <sz val="10"/>
        <rFont val="Arial"/>
        <family val="0"/>
        <charset val="1"/>
      </rPr>
      <t xml:space="preserve">PTC </t>
    </r>
    <r>
      <rPr>
        <sz val="10"/>
        <rFont val="Noto Sans CJK SC"/>
        <family val="2"/>
      </rPr>
      <t xml:space="preserve">為軟體公司（</t>
    </r>
    <r>
      <rPr>
        <sz val="10"/>
        <rFont val="Arial"/>
        <family val="0"/>
        <charset val="1"/>
      </rPr>
      <t xml:space="preserve">PTC Therapeutics </t>
    </r>
    <r>
      <rPr>
        <sz val="10"/>
        <rFont val="Noto Sans CJK SC"/>
        <family val="2"/>
      </rPr>
      <t xml:space="preserve">才是競標方），公司誤配，與 </t>
    </r>
    <r>
      <rPr>
        <sz val="10"/>
        <rFont val="Arial"/>
        <family val="0"/>
        <charset val="1"/>
      </rPr>
      <t xml:space="preserve">PTC Inc. </t>
    </r>
    <r>
      <rPr>
        <sz val="10"/>
        <rFont val="Noto Sans CJK SC"/>
        <family val="2"/>
      </rPr>
      <t xml:space="preserve">無關。</t>
    </r>
  </si>
  <si>
    <t xml:space="preserve">cd48ecb1c435cf9129b1ca0b</t>
  </si>
  <si>
    <t xml:space="preserve">2026-08-14</t>
  </si>
  <si>
    <t xml:space="preserve">PTC Therapeutics’ $211M Bid Wins Bankruptcy Auction for Sangamo Gene Therapy</t>
  </si>
  <si>
    <r>
      <rPr>
        <sz val="10"/>
        <rFont val="Arial"/>
        <family val="0"/>
        <charset val="1"/>
      </rPr>
      <t xml:space="preserve">PTC Therapeutics </t>
    </r>
    <r>
      <rPr>
        <sz val="10"/>
        <rFont val="Noto Sans CJK SC"/>
        <family val="2"/>
      </rPr>
      <t xml:space="preserve">以 </t>
    </r>
    <r>
      <rPr>
        <sz val="10"/>
        <rFont val="Arial"/>
        <family val="0"/>
        <charset val="1"/>
      </rPr>
      <t xml:space="preserve">2.11 </t>
    </r>
    <r>
      <rPr>
        <sz val="10"/>
        <rFont val="Noto Sans CJK SC"/>
        <family val="2"/>
      </rPr>
      <t xml:space="preserve">億美元出價贏得 </t>
    </r>
    <r>
      <rPr>
        <sz val="10"/>
        <rFont val="Arial"/>
        <family val="0"/>
        <charset val="1"/>
      </rPr>
      <t xml:space="preserve">Sangamo </t>
    </r>
    <r>
      <rPr>
        <sz val="10"/>
        <rFont val="Noto Sans CJK SC"/>
        <family val="2"/>
      </rPr>
      <t xml:space="preserve">基因療法破產拍賣</t>
    </r>
  </si>
  <si>
    <t xml:space="preserve">MedCity News</t>
  </si>
  <si>
    <t xml:space="preserve">69569332e3547612f4256e58</t>
  </si>
  <si>
    <t xml:space="preserve">2026-08-15</t>
  </si>
  <si>
    <t xml:space="preserve">PTC Therapeutics, Lilly to buy up bits of Sangamo in bankruptcy auction</t>
  </si>
  <si>
    <r>
      <rPr>
        <sz val="10"/>
        <rFont val="Arial"/>
        <family val="0"/>
        <charset val="1"/>
      </rPr>
      <t xml:space="preserve">PTC Therapeutics </t>
    </r>
    <r>
      <rPr>
        <sz val="10"/>
        <rFont val="Noto Sans CJK SC"/>
        <family val="2"/>
      </rPr>
      <t xml:space="preserve">和禮來公司將在破產拍賣中收購 </t>
    </r>
    <r>
      <rPr>
        <sz val="10"/>
        <rFont val="Arial"/>
        <family val="0"/>
        <charset val="1"/>
      </rPr>
      <t xml:space="preserve">Sangamo </t>
    </r>
    <r>
      <rPr>
        <sz val="10"/>
        <rFont val="Noto Sans CJK SC"/>
        <family val="2"/>
      </rPr>
      <t xml:space="preserve">的部分股份</t>
    </r>
  </si>
  <si>
    <t xml:space="preserve">Endpoints News</t>
  </si>
  <si>
    <t xml:space="preserve">60ea1e3abbc599d31c720c87</t>
  </si>
  <si>
    <t xml:space="preserve">2026-08-16</t>
  </si>
  <si>
    <t xml:space="preserve">PTC Therapeutics Targets Fabry Gene Therapy in $111M Bankruptcy Auction Deal</t>
  </si>
  <si>
    <r>
      <rPr>
        <sz val="10"/>
        <rFont val="Arial"/>
        <family val="0"/>
        <charset val="1"/>
      </rPr>
      <t xml:space="preserve">PTC Therapeutics </t>
    </r>
    <r>
      <rPr>
        <sz val="10"/>
        <rFont val="Noto Sans CJK SC"/>
        <family val="2"/>
      </rPr>
      <t xml:space="preserve">在 </t>
    </r>
    <r>
      <rPr>
        <sz val="10"/>
        <rFont val="Arial"/>
        <family val="0"/>
        <charset val="1"/>
      </rPr>
      <t xml:space="preserve">1.11 </t>
    </r>
    <r>
      <rPr>
        <sz val="10"/>
        <rFont val="Noto Sans CJK SC"/>
        <family val="2"/>
      </rPr>
      <t xml:space="preserve">億美元破產拍賣交易中瞄準法布里基因療法</t>
    </r>
  </si>
  <si>
    <t xml:space="preserve">MarketBeat</t>
  </si>
  <si>
    <t xml:space="preserve">96b0be9b7b1d40aa79ce1229</t>
  </si>
  <si>
    <t xml:space="preserve">KR</t>
  </si>
  <si>
    <t xml:space="preserve">Kroger</t>
  </si>
  <si>
    <t xml:space="preserve">Major ice cream brand sold at Walmart, Kroger, and Target files for bankruptcy</t>
  </si>
  <si>
    <t xml:space="preserve">沃爾瑪、克羅格和塔吉特銷售的主要冰淇淋品牌申請破產</t>
  </si>
  <si>
    <t xml:space="preserve">the-sun.com</t>
  </si>
  <si>
    <r>
      <rPr>
        <sz val="10"/>
        <rFont val="Noto Sans CJK SC"/>
        <family val="2"/>
      </rPr>
      <t xml:space="preserve">破產的是冰淇淋品牌 </t>
    </r>
    <r>
      <rPr>
        <sz val="10"/>
        <rFont val="Arial"/>
        <family val="0"/>
        <charset val="1"/>
      </rPr>
      <t xml:space="preserve">Rebel Creamery</t>
    </r>
    <r>
      <rPr>
        <sz val="10"/>
        <rFont val="Noto Sans CJK SC"/>
        <family val="2"/>
      </rPr>
      <t xml:space="preserve">，賣場只是銷售通路，非該公司的信用事件。</t>
    </r>
  </si>
  <si>
    <t xml:space="preserve">eafa3d6aa64a83ae63a20750</t>
  </si>
  <si>
    <t xml:space="preserve">2026-08-17</t>
  </si>
  <si>
    <t xml:space="preserve">WMT</t>
  </si>
  <si>
    <t xml:space="preserve">Walmart Inc.</t>
  </si>
  <si>
    <t xml:space="preserve">Popular ice cream brand sold at Walmart and Target files for bankruptcy</t>
  </si>
  <si>
    <t xml:space="preserve">沃爾瑪和塔吉特銷售的熱門冰淇淋品牌申請破產</t>
  </si>
  <si>
    <t xml:space="preserve">Yahoo Finance</t>
  </si>
  <si>
    <t xml:space="preserve">101a5c0eec5ff35f912347c8</t>
  </si>
  <si>
    <t xml:space="preserve">2026-08-18</t>
  </si>
  <si>
    <t xml:space="preserve">Ice cream brand sold at Kroger, Walmart and Target files for bankruptcy</t>
  </si>
  <si>
    <t xml:space="preserve">katu.com</t>
  </si>
  <si>
    <t xml:space="preserve">9063606cf67dcb49b5e0ff66</t>
  </si>
  <si>
    <t xml:space="preserve">2026-08-19</t>
  </si>
  <si>
    <t xml:space="preserve">COIN</t>
  </si>
  <si>
    <t xml:space="preserve">Coinbase</t>
  </si>
  <si>
    <t xml:space="preserve">Coinbase Must Face Investor Suit Over SEC, Bankruptcy Risks</t>
  </si>
  <si>
    <t xml:space="preserve">Law360</t>
  </si>
  <si>
    <t xml:space="preserve">修改</t>
  </si>
  <si>
    <t xml:space="preserve">MAJOR_LITIGATION</t>
  </si>
  <si>
    <t xml:space="preserve">中</t>
  </si>
  <si>
    <r>
      <rPr>
        <sz val="10"/>
        <rFont val="Arial"/>
        <family val="0"/>
        <charset val="1"/>
      </rPr>
      <t xml:space="preserve">Coinbase </t>
    </r>
    <r>
      <rPr>
        <sz val="10"/>
        <rFont val="Noto Sans CJK SC"/>
        <family val="2"/>
      </rPr>
      <t xml:space="preserve">須面對與 </t>
    </r>
    <r>
      <rPr>
        <sz val="10"/>
        <rFont val="Arial"/>
        <family val="0"/>
        <charset val="1"/>
      </rPr>
      <t xml:space="preserve">SEC</t>
    </r>
    <r>
      <rPr>
        <sz val="10"/>
        <rFont val="Noto Sans CJK SC"/>
        <family val="2"/>
      </rPr>
      <t xml:space="preserve">、破產風險相關的投資人訴訟，屬訴訟事件，不是 </t>
    </r>
    <r>
      <rPr>
        <sz val="10"/>
        <rFont val="Arial"/>
        <family val="0"/>
        <charset val="1"/>
      </rPr>
      <t xml:space="preserve">Coinbase </t>
    </r>
    <r>
      <rPr>
        <sz val="10"/>
        <rFont val="Noto Sans CJK SC"/>
        <family val="2"/>
      </rPr>
      <t xml:space="preserve">破產。</t>
    </r>
  </si>
  <si>
    <t xml:space="preserve">8797dd1de30c63f33cb927ef</t>
  </si>
  <si>
    <t xml:space="preserve">2026-08-26</t>
  </si>
  <si>
    <t xml:space="preserve">ECHO</t>
  </si>
  <si>
    <t xml:space="preserve">EchoStar Corporation</t>
  </si>
  <si>
    <t xml:space="preserve">US Bankruptcy: Hughes Satellite Systems judge to order examiner appointment to investigate dealings with parent EchoStar; scope of probe subject to further hearing</t>
  </si>
  <si>
    <t xml:space="preserve">know.creditsights.com</t>
  </si>
  <si>
    <t xml:space="preserve">維持</t>
  </si>
  <si>
    <r>
      <rPr>
        <sz val="10"/>
        <rFont val="Arial"/>
        <family val="0"/>
        <charset val="1"/>
      </rPr>
      <t xml:space="preserve">EchoStar </t>
    </r>
    <r>
      <rPr>
        <sz val="10"/>
        <rFont val="Noto Sans CJK SC"/>
        <family val="2"/>
      </rPr>
      <t xml:space="preserve">子公司 </t>
    </r>
    <r>
      <rPr>
        <sz val="10"/>
        <rFont val="Arial"/>
        <family val="0"/>
        <charset val="1"/>
      </rPr>
      <t xml:space="preserve">Hughes Satellite Systems </t>
    </r>
    <r>
      <rPr>
        <sz val="10"/>
        <rFont val="Noto Sans CJK SC"/>
        <family val="2"/>
      </rPr>
      <t xml:space="preserve">破產，法官下令指派檢查人調查 </t>
    </r>
    <r>
      <rPr>
        <sz val="10"/>
        <rFont val="Arial"/>
        <family val="0"/>
        <charset val="1"/>
      </rPr>
      <t xml:space="preserve">15 </t>
    </r>
    <r>
      <rPr>
        <sz val="10"/>
        <rFont val="Noto Sans CJK SC"/>
        <family val="2"/>
      </rPr>
      <t xml:space="preserve">億美元資金移轉。</t>
    </r>
  </si>
  <si>
    <t xml:space="preserve">5702810c2ddce843eef3cf9d</t>
  </si>
  <si>
    <t xml:space="preserve">2026-08-27</t>
  </si>
  <si>
    <t xml:space="preserve">Judge Pérez orders examiner in Hughes Satellite Systems bankruptcy to probe $1.5bn of EchoStar transfers</t>
  </si>
  <si>
    <t xml:space="preserve">9fin</t>
  </si>
  <si>
    <t xml:space="preserve">598c2ffe45c5df02be123819</t>
  </si>
  <si>
    <t xml:space="preserve">2026-09-19</t>
  </si>
  <si>
    <t xml:space="preserve">CVS</t>
  </si>
  <si>
    <t xml:space="preserve">CVS Health Corporation Common Stock</t>
  </si>
  <si>
    <t xml:space="preserve">$949 million fraud verdict costs CVS a business in Chapter 11</t>
  </si>
  <si>
    <r>
      <rPr>
        <sz val="10"/>
        <rFont val="Arial"/>
        <family val="0"/>
        <charset val="1"/>
      </rPr>
      <t xml:space="preserve">CVS </t>
    </r>
    <r>
      <rPr>
        <sz val="10"/>
        <rFont val="Noto Sans CJK SC"/>
        <family val="2"/>
      </rPr>
      <t xml:space="preserve">旗下事業因 </t>
    </r>
    <r>
      <rPr>
        <sz val="10"/>
        <rFont val="Arial"/>
        <family val="0"/>
        <charset val="1"/>
      </rPr>
      <t xml:space="preserve">9.49 </t>
    </r>
    <r>
      <rPr>
        <sz val="10"/>
        <rFont val="Noto Sans CJK SC"/>
        <family val="2"/>
      </rPr>
      <t xml:space="preserve">億美元詐欺判決進入 </t>
    </r>
    <r>
      <rPr>
        <sz val="10"/>
        <rFont val="Arial"/>
        <family val="0"/>
        <charset val="1"/>
      </rPr>
      <t xml:space="preserve">Chapter 11</t>
    </r>
    <r>
      <rPr>
        <sz val="10"/>
        <rFont val="Noto Sans CJK SC"/>
        <family val="2"/>
      </rPr>
      <t xml:space="preserve">（子公司層級）。</t>
    </r>
  </si>
  <si>
    <t xml:space="preserve">239c8ebf393be1c5a12d1676</t>
  </si>
  <si>
    <t xml:space="preserve">2026-10-16</t>
  </si>
  <si>
    <t xml:space="preserve">UBER</t>
  </si>
  <si>
    <t xml:space="preserve">Uber Technologies, Inc. Common Stock</t>
  </si>
  <si>
    <t xml:space="preserve">Starbucks/Chipotle merge rumors, True Food’s bankruptcy, and Uber’s big acquisition</t>
  </si>
  <si>
    <r>
      <rPr>
        <sz val="10"/>
        <rFont val="Noto Sans CJK SC"/>
        <family val="2"/>
      </rPr>
      <t xml:space="preserve">星巴克</t>
    </r>
    <r>
      <rPr>
        <sz val="10"/>
        <rFont val="Arial"/>
        <family val="0"/>
        <charset val="1"/>
      </rPr>
      <t xml:space="preserve">/Chipotle </t>
    </r>
    <r>
      <rPr>
        <sz val="10"/>
        <rFont val="Noto Sans CJK SC"/>
        <family val="2"/>
      </rPr>
      <t xml:space="preserve">合併傳聞、</t>
    </r>
    <r>
      <rPr>
        <sz val="10"/>
        <rFont val="Arial"/>
        <family val="0"/>
        <charset val="1"/>
      </rPr>
      <t xml:space="preserve">True Food </t>
    </r>
    <r>
      <rPr>
        <sz val="10"/>
        <rFont val="Noto Sans CJK SC"/>
        <family val="2"/>
      </rPr>
      <t xml:space="preserve">破產、</t>
    </r>
    <r>
      <rPr>
        <sz val="10"/>
        <rFont val="Arial"/>
        <family val="0"/>
        <charset val="1"/>
      </rPr>
      <t xml:space="preserve">Uber </t>
    </r>
    <r>
      <rPr>
        <sz val="10"/>
        <rFont val="Noto Sans CJK SC"/>
        <family val="2"/>
      </rPr>
      <t xml:space="preserve">大舉收購</t>
    </r>
  </si>
  <si>
    <t xml:space="preserve">Nation’s Restaurant News</t>
  </si>
  <si>
    <r>
      <rPr>
        <sz val="10"/>
        <rFont val="Noto Sans CJK SC"/>
        <family val="2"/>
      </rPr>
      <t xml:space="preserve">餐飲新聞週報，提到的破產是 </t>
    </r>
    <r>
      <rPr>
        <sz val="10"/>
        <rFont val="Arial"/>
        <family val="0"/>
        <charset val="1"/>
      </rPr>
      <t xml:space="preserve">True Food</t>
    </r>
    <r>
      <rPr>
        <sz val="10"/>
        <rFont val="Noto Sans CJK SC"/>
        <family val="2"/>
      </rPr>
      <t xml:space="preserve">，與 </t>
    </r>
    <r>
      <rPr>
        <sz val="10"/>
        <rFont val="Arial"/>
        <family val="0"/>
        <charset val="1"/>
      </rPr>
      <t xml:space="preserve">Uber </t>
    </r>
    <r>
      <rPr>
        <sz val="10"/>
        <rFont val="Noto Sans CJK SC"/>
        <family val="2"/>
      </rPr>
      <t xml:space="preserve">無關。</t>
    </r>
  </si>
  <si>
    <t xml:space="preserve">ce135397e6d5382cbe073479</t>
  </si>
  <si>
    <t xml:space="preserve">2026-08-11</t>
  </si>
  <si>
    <t xml:space="preserve">ADP</t>
  </si>
  <si>
    <t xml:space="preserve">Automatic Data Processing, Inc.</t>
  </si>
  <si>
    <t xml:space="preserve">Fantasy Football ADP : Exploiting Default Rankings for 2026</t>
  </si>
  <si>
    <r>
      <rPr>
        <sz val="10"/>
        <rFont val="Arial"/>
        <family val="0"/>
        <charset val="1"/>
      </rPr>
      <t xml:space="preserve">Fantasy Football ADP</t>
    </r>
    <r>
      <rPr>
        <sz val="10"/>
        <rFont val="Noto Sans CJK SC"/>
        <family val="2"/>
      </rPr>
      <t xml:space="preserve">：利用 </t>
    </r>
    <r>
      <rPr>
        <sz val="10"/>
        <rFont val="Arial"/>
        <family val="0"/>
        <charset val="1"/>
      </rPr>
      <t xml:space="preserve">2026 </t>
    </r>
    <r>
      <rPr>
        <sz val="10"/>
        <rFont val="Noto Sans CJK SC"/>
        <family val="2"/>
      </rPr>
      <t xml:space="preserve">年預設排名</t>
    </r>
  </si>
  <si>
    <t xml:space="preserve">RotoWire</t>
  </si>
  <si>
    <t xml:space="preserve">DEFAULT</t>
  </si>
  <si>
    <t xml:space="preserve">違約</t>
  </si>
  <si>
    <r>
      <rPr>
        <sz val="10"/>
        <rFont val="Arial"/>
        <family val="0"/>
        <charset val="1"/>
      </rPr>
      <t xml:space="preserve">Fantasy Football </t>
    </r>
    <r>
      <rPr>
        <sz val="10"/>
        <rFont val="Noto Sans CJK SC"/>
        <family val="2"/>
      </rPr>
      <t xml:space="preserve">選秀排名（</t>
    </r>
    <r>
      <rPr>
        <sz val="10"/>
        <rFont val="Arial"/>
        <family val="0"/>
        <charset val="1"/>
      </rPr>
      <t xml:space="preserve">ADP</t>
    </r>
    <r>
      <rPr>
        <sz val="10"/>
        <rFont val="Noto Sans CJK SC"/>
        <family val="2"/>
      </rPr>
      <t xml:space="preserve">），與 </t>
    </r>
    <r>
      <rPr>
        <sz val="10"/>
        <rFont val="Arial"/>
        <family val="0"/>
        <charset val="1"/>
      </rPr>
      <t xml:space="preserve">Automatic Data Processing </t>
    </r>
    <r>
      <rPr>
        <sz val="10"/>
        <rFont val="Noto Sans CJK SC"/>
        <family val="2"/>
      </rPr>
      <t xml:space="preserve">無關。</t>
    </r>
  </si>
  <si>
    <t xml:space="preserve">c17eb129d848fab538fd0118</t>
  </si>
  <si>
    <t xml:space="preserve">GS</t>
  </si>
  <si>
    <t xml:space="preserve">Goldman Sachs</t>
  </si>
  <si>
    <t xml:space="preserve">Goldman Sachs' Reynolds: Private credit industry 'remains very healthy' amid uptick in defaults</t>
  </si>
  <si>
    <t xml:space="preserve">高盛雷諾茲：在違約上升的情況下，私人信貸行業“仍然非常健康”</t>
  </si>
  <si>
    <t xml:space="preserve">CNBC</t>
  </si>
  <si>
    <t xml:space="preserve">高盛主管評論私募信貸產業的違約率，不是高盛本身違約。</t>
  </si>
  <si>
    <t xml:space="preserve">a5a01131c7cb2c26d5693a83</t>
  </si>
  <si>
    <t xml:space="preserve">PSA</t>
  </si>
  <si>
    <t xml:space="preserve">Public Storage Common Stock</t>
  </si>
  <si>
    <t xml:space="preserve">PSA: Setting different default languages in different Mac apps</t>
  </si>
  <si>
    <r>
      <rPr>
        <sz val="10"/>
        <rFont val="Arial"/>
        <family val="0"/>
        <charset val="1"/>
      </rPr>
      <t xml:space="preserve">PSA</t>
    </r>
    <r>
      <rPr>
        <sz val="10"/>
        <rFont val="Noto Sans CJK SC"/>
        <family val="2"/>
      </rPr>
      <t xml:space="preserve">：在不同的 </t>
    </r>
    <r>
      <rPr>
        <sz val="10"/>
        <rFont val="Arial"/>
        <family val="0"/>
        <charset val="1"/>
      </rPr>
      <t xml:space="preserve">Mac </t>
    </r>
    <r>
      <rPr>
        <sz val="10"/>
        <rFont val="Noto Sans CJK SC"/>
        <family val="2"/>
      </rPr>
      <t xml:space="preserve">應用程式中設定不同的預設語言</t>
    </r>
  </si>
  <si>
    <t xml:space="preserve">9to5Mac</t>
  </si>
  <si>
    <r>
      <rPr>
        <sz val="10"/>
        <rFont val="Arial"/>
        <family val="0"/>
        <charset val="1"/>
      </rPr>
      <t xml:space="preserve">PSA </t>
    </r>
    <r>
      <rPr>
        <sz val="10"/>
        <rFont val="Noto Sans CJK SC"/>
        <family val="2"/>
      </rPr>
      <t xml:space="preserve">是「公共服務公告」（</t>
    </r>
    <r>
      <rPr>
        <sz val="10"/>
        <rFont val="Arial"/>
        <family val="0"/>
        <charset val="1"/>
      </rPr>
      <t xml:space="preserve">Mac </t>
    </r>
    <r>
      <rPr>
        <sz val="10"/>
        <rFont val="Noto Sans CJK SC"/>
        <family val="2"/>
      </rPr>
      <t xml:space="preserve">預設語言、</t>
    </r>
    <r>
      <rPr>
        <sz val="10"/>
        <rFont val="Arial"/>
        <family val="0"/>
        <charset val="1"/>
      </rPr>
      <t xml:space="preserve">Claude Code </t>
    </r>
    <r>
      <rPr>
        <sz val="10"/>
        <rFont val="Noto Sans CJK SC"/>
        <family val="2"/>
      </rPr>
      <t xml:space="preserve">設定），與 </t>
    </r>
    <r>
      <rPr>
        <sz val="10"/>
        <rFont val="Arial"/>
        <family val="0"/>
        <charset val="1"/>
      </rPr>
      <t xml:space="preserve">Public Storage </t>
    </r>
    <r>
      <rPr>
        <sz val="10"/>
        <rFont val="Noto Sans CJK SC"/>
        <family val="2"/>
      </rPr>
      <t xml:space="preserve">無關。</t>
    </r>
  </si>
  <si>
    <t xml:space="preserve">bcf2b94ed920149903b776f1</t>
  </si>
  <si>
    <t xml:space="preserve">AMZN</t>
  </si>
  <si>
    <t xml:space="preserve">Amazon</t>
  </si>
  <si>
    <t xml:space="preserve">Amazon will train on Twitch streamers’ content by default, unless they opt out</t>
  </si>
  <si>
    <r>
      <rPr>
        <sz val="10"/>
        <rFont val="Noto Sans CJK SC"/>
        <family val="2"/>
      </rPr>
      <t xml:space="preserve">預設情況下，亞馬遜將針對 </t>
    </r>
    <r>
      <rPr>
        <sz val="10"/>
        <rFont val="Arial"/>
        <family val="0"/>
        <charset val="1"/>
      </rPr>
      <t xml:space="preserve">Twitch </t>
    </r>
    <r>
      <rPr>
        <sz val="10"/>
        <rFont val="Noto Sans CJK SC"/>
        <family val="2"/>
      </rPr>
      <t xml:space="preserve">主播的內容進行訓練，除非他們選擇退出</t>
    </r>
  </si>
  <si>
    <t xml:space="preserve">TechCrunch</t>
  </si>
  <si>
    <r>
      <rPr>
        <sz val="10"/>
        <rFont val="Noto Sans CJK SC"/>
        <family val="2"/>
      </rPr>
      <t xml:space="preserve">「預設」訓練資料政策（</t>
    </r>
    <r>
      <rPr>
        <sz val="10"/>
        <rFont val="Arial"/>
        <family val="0"/>
        <charset val="1"/>
      </rPr>
      <t xml:space="preserve">Twitch </t>
    </r>
    <r>
      <rPr>
        <sz val="10"/>
        <rFont val="Noto Sans CJK SC"/>
        <family val="2"/>
      </rPr>
      <t xml:space="preserve">內容），不是違約。</t>
    </r>
  </si>
  <si>
    <t xml:space="preserve">4620eaebfb676b17ec8d81ea</t>
  </si>
  <si>
    <t xml:space="preserve">PSA: Claude Code now enables auto mode as default, Anthropic says</t>
  </si>
  <si>
    <r>
      <rPr>
        <sz val="10"/>
        <rFont val="Arial"/>
        <family val="0"/>
        <charset val="1"/>
      </rPr>
      <t xml:space="preserve">PSA</t>
    </r>
    <r>
      <rPr>
        <sz val="10"/>
        <rFont val="Noto Sans CJK SC"/>
        <family val="2"/>
      </rPr>
      <t xml:space="preserve">：</t>
    </r>
    <r>
      <rPr>
        <sz val="10"/>
        <rFont val="Arial"/>
        <family val="0"/>
        <charset val="1"/>
      </rPr>
      <t xml:space="preserve">Anthropic </t>
    </r>
    <r>
      <rPr>
        <sz val="10"/>
        <rFont val="Noto Sans CJK SC"/>
        <family val="2"/>
      </rPr>
      <t xml:space="preserve">表示，</t>
    </r>
    <r>
      <rPr>
        <sz val="10"/>
        <rFont val="Arial"/>
        <family val="0"/>
        <charset val="1"/>
      </rPr>
      <t xml:space="preserve">Claude Code </t>
    </r>
    <r>
      <rPr>
        <sz val="10"/>
        <rFont val="Noto Sans CJK SC"/>
        <family val="2"/>
      </rPr>
      <t xml:space="preserve">現在預設啟用自動模式</t>
    </r>
  </si>
  <si>
    <t xml:space="preserve">c2f85ac5cdb0f7db2fffb165</t>
  </si>
  <si>
    <t xml:space="preserve">2026-08-21</t>
  </si>
  <si>
    <t xml:space="preserve">Fantasy Football ADP: Exploiting Default Rankings for 2026</t>
  </si>
  <si>
    <t xml:space="preserve">6b8fda4a1b3b10248ded95ba</t>
  </si>
  <si>
    <t xml:space="preserve">2026-10-05</t>
  </si>
  <si>
    <t xml:space="preserve">EA</t>
  </si>
  <si>
    <t xml:space="preserve">Electronic Arts</t>
  </si>
  <si>
    <t xml:space="preserve">Exclusive | Electronic Arts Bondholders Allege Default Following Largest LBO</t>
  </si>
  <si>
    <t xml:space="preserve">WSJ</t>
  </si>
  <si>
    <r>
      <rPr>
        <sz val="10"/>
        <rFont val="Arial"/>
        <family val="0"/>
        <charset val="1"/>
      </rPr>
      <t xml:space="preserve">EA </t>
    </r>
    <r>
      <rPr>
        <sz val="10"/>
        <rFont val="Noto Sans CJK SC"/>
        <family val="2"/>
      </rPr>
      <t xml:space="preserve">債券持有人指控大型 </t>
    </r>
    <r>
      <rPr>
        <sz val="10"/>
        <rFont val="Arial"/>
        <family val="0"/>
        <charset val="1"/>
      </rPr>
      <t xml:space="preserve">LBO </t>
    </r>
    <r>
      <rPr>
        <sz val="10"/>
        <rFont val="Noto Sans CJK SC"/>
        <family val="2"/>
      </rPr>
      <t xml:space="preserve">後發生違約；屬指控，尚未確認。</t>
    </r>
  </si>
  <si>
    <t xml:space="preserve">是</t>
  </si>
  <si>
    <t xml:space="preserve">ff3f385b58f0ac6dc49a5cd1</t>
  </si>
  <si>
    <t xml:space="preserve">2026-10-06</t>
  </si>
  <si>
    <t xml:space="preserve">BALL</t>
  </si>
  <si>
    <t xml:space="preserve">Ball Corporation Common Stock</t>
  </si>
  <si>
    <t xml:space="preserve">Daniil Medvedev defaulted from China Open after striking spectator with ball - The Athletic</t>
  </si>
  <si>
    <t xml:space="preserve">The New York Times</t>
  </si>
  <si>
    <r>
      <rPr>
        <sz val="10"/>
        <rFont val="Noto Sans CJK SC"/>
        <family val="2"/>
      </rPr>
      <t xml:space="preserve">網球選手被取消資格（</t>
    </r>
    <r>
      <rPr>
        <sz val="10"/>
        <rFont val="Arial"/>
        <family val="0"/>
        <charset val="1"/>
      </rPr>
      <t xml:space="preserve">defaulted</t>
    </r>
    <r>
      <rPr>
        <sz val="10"/>
        <rFont val="Noto Sans CJK SC"/>
        <family val="2"/>
      </rPr>
      <t xml:space="preserve">），與 </t>
    </r>
    <r>
      <rPr>
        <sz val="10"/>
        <rFont val="Arial"/>
        <family val="0"/>
        <charset val="1"/>
      </rPr>
      <t xml:space="preserve">Ball Corp </t>
    </r>
    <r>
      <rPr>
        <sz val="10"/>
        <rFont val="Noto Sans CJK SC"/>
        <family val="2"/>
      </rPr>
      <t xml:space="preserve">無關。</t>
    </r>
  </si>
  <si>
    <t xml:space="preserve">be5b6c35dfdad987def51679</t>
  </si>
  <si>
    <t xml:space="preserve">Private Equity Daily: Electronic Arts Bondholders Allege Default on LBO Debt</t>
  </si>
  <si>
    <t xml:space="preserve">5825037cb9a0a6655e38ffce</t>
  </si>
  <si>
    <t xml:space="preserve">2026-10-09</t>
  </si>
  <si>
    <t xml:space="preserve">NTAP</t>
  </si>
  <si>
    <t xml:space="preserve">NetApp, Inc.</t>
  </si>
  <si>
    <t xml:space="preserve">Can AWS Transform Make NetApp (NTAP) the Default Storage Landing Zone in the Cloud?</t>
  </si>
  <si>
    <t xml:space="preserve">「預設」軟體／儲存平台，不是違約。</t>
  </si>
  <si>
    <t xml:space="preserve">ef9f73cb3ef5e6f868a0ffc6</t>
  </si>
  <si>
    <t xml:space="preserve">2026-10-15</t>
  </si>
  <si>
    <t xml:space="preserve">VEEV</t>
  </si>
  <si>
    <t xml:space="preserve">Veeva Systems Inc. Class A Common Stock</t>
  </si>
  <si>
    <t xml:space="preserve">Veeva Systems (VEEV) Becomes Default Clinical Software Across A Major Research Partner</t>
  </si>
  <si>
    <r>
      <rPr>
        <sz val="10"/>
        <rFont val="Arial"/>
        <family val="0"/>
        <charset val="1"/>
      </rPr>
      <t xml:space="preserve">Veeva Systems (VEEV) </t>
    </r>
    <r>
      <rPr>
        <sz val="10"/>
        <rFont val="Noto Sans CJK SC"/>
        <family val="2"/>
      </rPr>
      <t xml:space="preserve">成為主要研究合作夥伴的預設臨床軟體</t>
    </r>
  </si>
  <si>
    <t xml:space="preserve">e6add1d0712605452c504cd1</t>
  </si>
  <si>
    <t xml:space="preserve">CRWV</t>
  </si>
  <si>
    <t xml:space="preserve">CoreWeave, Inc.</t>
  </si>
  <si>
    <t xml:space="preserve">CoreWeave Credit Risk Hits Record, Pricing 60% Odds of Default</t>
  </si>
  <si>
    <t xml:space="preserve">Bloomberg.com</t>
  </si>
  <si>
    <t xml:space="preserve">CDS_SPREAD_WIDENING</t>
  </si>
  <si>
    <r>
      <rPr>
        <sz val="10"/>
        <rFont val="Arial"/>
        <family val="0"/>
        <charset val="1"/>
      </rPr>
      <t xml:space="preserve">CoreWeave </t>
    </r>
    <r>
      <rPr>
        <sz val="10"/>
        <rFont val="Noto Sans CJK SC"/>
        <family val="2"/>
      </rPr>
      <t xml:space="preserve">的 </t>
    </r>
    <r>
      <rPr>
        <sz val="10"/>
        <rFont val="Arial"/>
        <family val="0"/>
        <charset val="1"/>
      </rPr>
      <t xml:space="preserve">CDS </t>
    </r>
    <r>
      <rPr>
        <sz val="10"/>
        <rFont val="Noto Sans CJK SC"/>
        <family val="2"/>
      </rPr>
      <t xml:space="preserve">與市場隱含違約機率創高，屬信用利差擴大，並非實際違約。</t>
    </r>
  </si>
  <si>
    <t xml:space="preserve">bb52f9b5bbfeed84bb46932d</t>
  </si>
  <si>
    <t xml:space="preserve">CoreWeave credit default swaps hit distress levels as investors sour on AI debt</t>
  </si>
  <si>
    <t xml:space="preserve">0040b1fc371664e2cde9c86e</t>
  </si>
  <si>
    <t xml:space="preserve">MSCI</t>
  </si>
  <si>
    <t xml:space="preserve">MSCI Inc. Common Stock</t>
  </si>
  <si>
    <t xml:space="preserve">MicroStrategy sends harsh response to fresh MSCI delisting threat</t>
  </si>
  <si>
    <r>
      <rPr>
        <sz val="10"/>
        <rFont val="Arial"/>
        <family val="0"/>
        <charset val="1"/>
      </rPr>
      <t xml:space="preserve">MicroStrategy </t>
    </r>
    <r>
      <rPr>
        <sz val="10"/>
        <rFont val="Noto Sans CJK SC"/>
        <family val="2"/>
      </rPr>
      <t xml:space="preserve">對新的 </t>
    </r>
    <r>
      <rPr>
        <sz val="10"/>
        <rFont val="Arial"/>
        <family val="0"/>
        <charset val="1"/>
      </rPr>
      <t xml:space="preserve">MSCI </t>
    </r>
    <r>
      <rPr>
        <sz val="10"/>
        <rFont val="Noto Sans CJK SC"/>
        <family val="2"/>
      </rPr>
      <t xml:space="preserve">退市威脅做出嚴厲回應</t>
    </r>
  </si>
  <si>
    <t xml:space="preserve">thestreet.com</t>
  </si>
  <si>
    <t xml:space="preserve">DELISTING</t>
  </si>
  <si>
    <t xml:space="preserve">下市</t>
  </si>
  <si>
    <r>
      <rPr>
        <sz val="10"/>
        <rFont val="Arial"/>
        <family val="0"/>
        <charset val="1"/>
      </rPr>
      <t xml:space="preserve">MSCI </t>
    </r>
    <r>
      <rPr>
        <sz val="10"/>
        <rFont val="Noto Sans CJK SC"/>
        <family val="2"/>
      </rPr>
      <t xml:space="preserve">威脅的是將 </t>
    </r>
    <r>
      <rPr>
        <sz val="10"/>
        <rFont val="Arial"/>
        <family val="0"/>
        <charset val="1"/>
      </rPr>
      <t xml:space="preserve">MicroStrategy </t>
    </r>
    <r>
      <rPr>
        <sz val="10"/>
        <rFont val="Noto Sans CJK SC"/>
        <family val="2"/>
      </rPr>
      <t xml:space="preserve">剔出指數，不是 </t>
    </r>
    <r>
      <rPr>
        <sz val="10"/>
        <rFont val="Arial"/>
        <family val="0"/>
        <charset val="1"/>
      </rPr>
      <t xml:space="preserve">MSCI </t>
    </r>
    <r>
      <rPr>
        <sz val="10"/>
        <rFont val="Noto Sans CJK SC"/>
        <family val="2"/>
      </rPr>
      <t xml:space="preserve">本身下市。</t>
    </r>
  </si>
  <si>
    <t xml:space="preserve">5cd94e78a12547adde9efc74</t>
  </si>
  <si>
    <t xml:space="preserve">TT</t>
  </si>
  <si>
    <t xml:space="preserve">Trane Technologies plc</t>
  </si>
  <si>
    <t xml:space="preserve">Upbit Delisting Puts JASMY, STORJ and TT Under Pressure</t>
  </si>
  <si>
    <r>
      <rPr>
        <sz val="10"/>
        <rFont val="Arial"/>
        <family val="0"/>
        <charset val="1"/>
      </rPr>
      <t xml:space="preserve">Upbit</t>
    </r>
    <r>
      <rPr>
        <sz val="10"/>
        <rFont val="Noto Sans CJK SC"/>
        <family val="2"/>
      </rPr>
      <t xml:space="preserve">退市讓</t>
    </r>
    <r>
      <rPr>
        <sz val="10"/>
        <rFont val="Arial"/>
        <family val="0"/>
        <charset val="1"/>
      </rPr>
      <t xml:space="preserve">JASMY</t>
    </r>
    <r>
      <rPr>
        <sz val="10"/>
        <rFont val="Noto Sans CJK SC"/>
        <family val="2"/>
      </rPr>
      <t xml:space="preserve">、</t>
    </r>
    <r>
      <rPr>
        <sz val="10"/>
        <rFont val="Arial"/>
        <family val="0"/>
        <charset val="1"/>
      </rPr>
      <t xml:space="preserve">STORJ</t>
    </r>
    <r>
      <rPr>
        <sz val="10"/>
        <rFont val="Noto Sans CJK SC"/>
        <family val="2"/>
      </rPr>
      <t xml:space="preserve">和</t>
    </r>
    <r>
      <rPr>
        <sz val="10"/>
        <rFont val="Arial"/>
        <family val="0"/>
        <charset val="1"/>
      </rPr>
      <t xml:space="preserve">TT</t>
    </r>
    <r>
      <rPr>
        <sz val="10"/>
        <rFont val="Noto Sans CJK SC"/>
        <family val="2"/>
      </rPr>
      <t xml:space="preserve">面臨壓力</t>
    </r>
  </si>
  <si>
    <t xml:space="preserve">coinpedia.org</t>
  </si>
  <si>
    <r>
      <rPr>
        <sz val="10"/>
        <rFont val="Arial"/>
        <family val="0"/>
        <charset val="1"/>
      </rPr>
      <t xml:space="preserve">Upbit </t>
    </r>
    <r>
      <rPr>
        <sz val="10"/>
        <rFont val="Noto Sans CJK SC"/>
        <family val="2"/>
      </rPr>
      <t xml:space="preserve">下架的是加密代幣（含 </t>
    </r>
    <r>
      <rPr>
        <sz val="10"/>
        <rFont val="Arial"/>
        <family val="0"/>
        <charset val="1"/>
      </rPr>
      <t xml:space="preserve">TT</t>
    </r>
    <r>
      <rPr>
        <sz val="10"/>
        <rFont val="Noto Sans CJK SC"/>
        <family val="2"/>
      </rPr>
      <t xml:space="preserve">），與 </t>
    </r>
    <r>
      <rPr>
        <sz val="10"/>
        <rFont val="Arial"/>
        <family val="0"/>
        <charset val="1"/>
      </rPr>
      <t xml:space="preserve">Trane Technologies </t>
    </r>
    <r>
      <rPr>
        <sz val="10"/>
        <rFont val="Noto Sans CJK SC"/>
        <family val="2"/>
      </rPr>
      <t xml:space="preserve">無關。</t>
    </r>
  </si>
  <si>
    <t xml:space="preserve">1fac21a102bf6a2d6865cc3a</t>
  </si>
  <si>
    <t xml:space="preserve">roundtable.io</t>
  </si>
  <si>
    <t xml:space="preserve">d09fe613cb8999f176db4321</t>
  </si>
  <si>
    <t xml:space="preserve">2026-09-01</t>
  </si>
  <si>
    <t xml:space="preserve">Michael Saylor’s Strategy Calls MSCI’s New Delisting Test ‘Fundamentally Flawed,’ Says It’s Damaging ‘Its Reputation’</t>
  </si>
  <si>
    <t xml:space="preserve">Stocktwits</t>
  </si>
  <si>
    <t xml:space="preserve">fc1d1e7e6e748c86083373f8</t>
  </si>
  <si>
    <t xml:space="preserve">2026-09-04</t>
  </si>
  <si>
    <t xml:space="preserve">ABBV</t>
  </si>
  <si>
    <t xml:space="preserve">AbbVie Inc. Common Stock</t>
  </si>
  <si>
    <t xml:space="preserve">AbbVie Finalizes $10.9 Billion Acquisition of Apogee Therapeutics, Initiates Nasdaq Delisting</t>
  </si>
  <si>
    <r>
      <rPr>
        <sz val="10"/>
        <rFont val="Noto Sans CJK SC"/>
        <family val="2"/>
      </rPr>
      <t xml:space="preserve">艾伯維 </t>
    </r>
    <r>
      <rPr>
        <sz val="10"/>
        <rFont val="Arial"/>
        <family val="0"/>
        <charset val="1"/>
      </rPr>
      <t xml:space="preserve">(AbbVie) </t>
    </r>
    <r>
      <rPr>
        <sz val="10"/>
        <rFont val="Noto Sans CJK SC"/>
        <family val="2"/>
      </rPr>
      <t xml:space="preserve">完成 </t>
    </r>
    <r>
      <rPr>
        <sz val="10"/>
        <rFont val="Arial"/>
        <family val="0"/>
        <charset val="1"/>
      </rPr>
      <t xml:space="preserve">109 </t>
    </r>
    <r>
      <rPr>
        <sz val="10"/>
        <rFont val="Noto Sans CJK SC"/>
        <family val="2"/>
      </rPr>
      <t xml:space="preserve">億美元收購 </t>
    </r>
    <r>
      <rPr>
        <sz val="10"/>
        <rFont val="Arial"/>
        <family val="0"/>
        <charset val="1"/>
      </rPr>
      <t xml:space="preserve">Apogee Therapeutics</t>
    </r>
    <r>
      <rPr>
        <sz val="10"/>
        <rFont val="Noto Sans CJK SC"/>
        <family val="2"/>
      </rPr>
      <t xml:space="preserve">，並啟動納斯達克退市</t>
    </r>
  </si>
  <si>
    <t xml:space="preserve">Kalkine Media</t>
  </si>
  <si>
    <r>
      <rPr>
        <sz val="10"/>
        <rFont val="Arial"/>
        <family val="0"/>
        <charset val="1"/>
      </rPr>
      <t xml:space="preserve">AbbVie </t>
    </r>
    <r>
      <rPr>
        <sz val="10"/>
        <rFont val="Noto Sans CJK SC"/>
        <family val="2"/>
      </rPr>
      <t xml:space="preserve">完成收購 </t>
    </r>
    <r>
      <rPr>
        <sz val="10"/>
        <rFont val="Arial"/>
        <family val="0"/>
        <charset val="1"/>
      </rPr>
      <t xml:space="preserve">Apogee </t>
    </r>
    <r>
      <rPr>
        <sz val="10"/>
        <rFont val="Noto Sans CJK SC"/>
        <family val="2"/>
      </rPr>
      <t xml:space="preserve">後被收購方下市，屬併購完成，不是 </t>
    </r>
    <r>
      <rPr>
        <sz val="10"/>
        <rFont val="Arial"/>
        <family val="0"/>
        <charset val="1"/>
      </rPr>
      <t xml:space="preserve">AbbVie </t>
    </r>
    <r>
      <rPr>
        <sz val="10"/>
        <rFont val="Noto Sans CJK SC"/>
        <family val="2"/>
      </rPr>
      <t xml:space="preserve">風險事件。</t>
    </r>
  </si>
  <si>
    <t xml:space="preserve">259dbb1c13d2e5d35951a896</t>
  </si>
  <si>
    <t xml:space="preserve">AMGN</t>
  </si>
  <si>
    <t xml:space="preserve">Amgen Inc.</t>
  </si>
  <si>
    <t xml:space="preserve">OMI Urges Appeals Court to Allow Antitrust Challenge to Amgen’s Extension of Enbrel Monopoly</t>
  </si>
  <si>
    <r>
      <rPr>
        <sz val="10"/>
        <rFont val="Arial"/>
        <family val="0"/>
        <charset val="1"/>
      </rPr>
      <t xml:space="preserve">OMI </t>
    </r>
    <r>
      <rPr>
        <sz val="10"/>
        <rFont val="Noto Sans CJK SC"/>
        <family val="2"/>
      </rPr>
      <t xml:space="preserve">敦促上訴法院允許對安進擴大 </t>
    </r>
    <r>
      <rPr>
        <sz val="10"/>
        <rFont val="Arial"/>
        <family val="0"/>
        <charset val="1"/>
      </rPr>
      <t xml:space="preserve">Enbrel </t>
    </r>
    <r>
      <rPr>
        <sz val="10"/>
        <rFont val="Noto Sans CJK SC"/>
        <family val="2"/>
      </rPr>
      <t xml:space="preserve">壟斷提出反壟斷質疑</t>
    </r>
  </si>
  <si>
    <t xml:space="preserve">Open Markets Institute</t>
  </si>
  <si>
    <t xml:space="preserve">ANTITRUST_INVESTIGATION</t>
  </si>
  <si>
    <t xml:space="preserve">反壟斷調查</t>
  </si>
  <si>
    <r>
      <rPr>
        <sz val="10"/>
        <rFont val="Noto Sans CJK SC"/>
        <family val="2"/>
      </rPr>
      <t xml:space="preserve">反壟斷訴訟：指控 </t>
    </r>
    <r>
      <rPr>
        <sz val="10"/>
        <rFont val="Arial"/>
        <family val="0"/>
        <charset val="1"/>
      </rPr>
      <t xml:space="preserve">Amgen </t>
    </r>
    <r>
      <rPr>
        <sz val="10"/>
        <rFont val="Noto Sans CJK SC"/>
        <family val="2"/>
      </rPr>
      <t xml:space="preserve">延長 </t>
    </r>
    <r>
      <rPr>
        <sz val="10"/>
        <rFont val="Arial"/>
        <family val="0"/>
        <charset val="1"/>
      </rPr>
      <t xml:space="preserve">Enbrel </t>
    </r>
    <r>
      <rPr>
        <sz val="10"/>
        <rFont val="Noto Sans CJK SC"/>
        <family val="2"/>
      </rPr>
      <t xml:space="preserve">壟斷，團體敦請上訴法院允許。</t>
    </r>
  </si>
  <si>
    <t xml:space="preserve">077743b9fb6f97c683cbd534</t>
  </si>
  <si>
    <t xml:space="preserve">WBD</t>
  </si>
  <si>
    <t xml:space="preserve">Warner Bros. Discovery</t>
  </si>
  <si>
    <t xml:space="preserve">Parties Lay Out Key Discovery And Other Dates For Pending Paramount-WBD Antitrust Trial</t>
  </si>
  <si>
    <r>
      <rPr>
        <sz val="10"/>
        <rFont val="Noto Sans CJK SC"/>
        <family val="2"/>
      </rPr>
      <t xml:space="preserve">各方列出了派拉蒙</t>
    </r>
    <r>
      <rPr>
        <sz val="10"/>
        <rFont val="Arial"/>
        <family val="0"/>
        <charset val="1"/>
      </rPr>
      <t xml:space="preserve">-WBD </t>
    </r>
    <r>
      <rPr>
        <sz val="10"/>
        <rFont val="Noto Sans CJK SC"/>
        <family val="2"/>
      </rPr>
      <t xml:space="preserve">反壟斷審判的關鍵發現和其他日期</t>
    </r>
  </si>
  <si>
    <t xml:space="preserve">Deadline</t>
  </si>
  <si>
    <r>
      <rPr>
        <sz val="10"/>
        <rFont val="Arial"/>
        <family val="0"/>
        <charset val="1"/>
      </rPr>
      <t xml:space="preserve">Paramount </t>
    </r>
    <r>
      <rPr>
        <sz val="10"/>
        <rFont val="Noto Sans CJK SC"/>
        <family val="2"/>
      </rPr>
      <t xml:space="preserve">併購 </t>
    </r>
    <r>
      <rPr>
        <sz val="10"/>
        <rFont val="Arial"/>
        <family val="0"/>
        <charset val="1"/>
      </rPr>
      <t xml:space="preserve">WBD </t>
    </r>
    <r>
      <rPr>
        <sz val="10"/>
        <rFont val="Noto Sans CJK SC"/>
        <family val="2"/>
      </rPr>
      <t xml:space="preserve">遭州政府反壟斷訴訟；此為審理／和解進度報導。</t>
    </r>
  </si>
  <si>
    <t xml:space="preserve">a42be4e24e8288921644b976</t>
  </si>
  <si>
    <t xml:space="preserve">HUM</t>
  </si>
  <si>
    <t xml:space="preserve">Humana Inc. Common Stock</t>
  </si>
  <si>
    <t xml:space="preserve">CPI | Glenmark to Pay $15.3 Million to Settle Humana Antitrust Claims</t>
  </si>
  <si>
    <r>
      <rPr>
        <sz val="10"/>
        <rFont val="Noto Sans CJK SC"/>
        <family val="2"/>
      </rPr>
      <t xml:space="preserve">消費者物價指數 </t>
    </r>
    <r>
      <rPr>
        <sz val="10"/>
        <rFont val="Arial"/>
        <family val="0"/>
        <charset val="1"/>
      </rPr>
      <t xml:space="preserve">| Glenmark </t>
    </r>
    <r>
      <rPr>
        <sz val="10"/>
        <rFont val="Noto Sans CJK SC"/>
        <family val="2"/>
      </rPr>
      <t xml:space="preserve">將支付 </t>
    </r>
    <r>
      <rPr>
        <sz val="10"/>
        <rFont val="Arial"/>
        <family val="0"/>
        <charset val="1"/>
      </rPr>
      <t xml:space="preserve">1530 </t>
    </r>
    <r>
      <rPr>
        <sz val="10"/>
        <rFont val="Noto Sans CJK SC"/>
        <family val="2"/>
      </rPr>
      <t xml:space="preserve">萬美元以和解 </t>
    </r>
    <r>
      <rPr>
        <sz val="10"/>
        <rFont val="Arial"/>
        <family val="0"/>
        <charset val="1"/>
      </rPr>
      <t xml:space="preserve">Humana </t>
    </r>
    <r>
      <rPr>
        <sz val="10"/>
        <rFont val="Noto Sans CJK SC"/>
        <family val="2"/>
      </rPr>
      <t xml:space="preserve">反壟斷索賠</t>
    </r>
  </si>
  <si>
    <t xml:space="preserve">PYMNTS.com</t>
  </si>
  <si>
    <r>
      <rPr>
        <sz val="10"/>
        <rFont val="Arial"/>
        <family val="0"/>
        <charset val="1"/>
      </rPr>
      <t xml:space="preserve">Glenmark </t>
    </r>
    <r>
      <rPr>
        <sz val="10"/>
        <rFont val="Noto Sans CJK SC"/>
        <family val="2"/>
      </rPr>
      <t xml:space="preserve">付款給 </t>
    </r>
    <r>
      <rPr>
        <sz val="10"/>
        <rFont val="Arial"/>
        <family val="0"/>
        <charset val="1"/>
      </rPr>
      <t xml:space="preserve">Humana </t>
    </r>
    <r>
      <rPr>
        <sz val="10"/>
        <rFont val="Noto Sans CJK SC"/>
        <family val="2"/>
      </rPr>
      <t xml:space="preserve">了結反壟斷索賠，</t>
    </r>
    <r>
      <rPr>
        <sz val="10"/>
        <rFont val="Arial"/>
        <family val="0"/>
        <charset val="1"/>
      </rPr>
      <t xml:space="preserve">Humana </t>
    </r>
    <r>
      <rPr>
        <sz val="10"/>
        <rFont val="Noto Sans CJK SC"/>
        <family val="2"/>
      </rPr>
      <t xml:space="preserve">是原告方。</t>
    </r>
  </si>
  <si>
    <t xml:space="preserve">5fcd249de4fcdef1e79b603a</t>
  </si>
  <si>
    <t xml:space="preserve">CTVA</t>
  </si>
  <si>
    <t xml:space="preserve">Corteva, Inc. Common Stock </t>
  </si>
  <si>
    <t xml:space="preserve">Corteva To Pay $3.1M In Ark. AG's Pesticides Antitrust Suit</t>
  </si>
  <si>
    <r>
      <rPr>
        <sz val="10"/>
        <rFont val="Arial"/>
        <family val="0"/>
        <charset val="1"/>
      </rPr>
      <t xml:space="preserve">Corteva </t>
    </r>
    <r>
      <rPr>
        <sz val="10"/>
        <rFont val="Noto Sans CJK SC"/>
        <family val="2"/>
      </rPr>
      <t xml:space="preserve">將在 </t>
    </r>
    <r>
      <rPr>
        <sz val="10"/>
        <rFont val="Arial"/>
        <family val="0"/>
        <charset val="1"/>
      </rPr>
      <t xml:space="preserve">Ark. AG </t>
    </r>
    <r>
      <rPr>
        <sz val="10"/>
        <rFont val="Noto Sans CJK SC"/>
        <family val="2"/>
      </rPr>
      <t xml:space="preserve">農藥反壟斷訴訟中支付 </t>
    </r>
    <r>
      <rPr>
        <sz val="10"/>
        <rFont val="Arial"/>
        <family val="0"/>
        <charset val="1"/>
      </rPr>
      <t xml:space="preserve">310 </t>
    </r>
    <r>
      <rPr>
        <sz val="10"/>
        <rFont val="Noto Sans CJK SC"/>
        <family val="2"/>
      </rPr>
      <t xml:space="preserve">萬美元</t>
    </r>
  </si>
  <si>
    <r>
      <rPr>
        <sz val="10"/>
        <rFont val="Arial"/>
        <family val="0"/>
        <charset val="1"/>
      </rPr>
      <t xml:space="preserve">Corteva </t>
    </r>
    <r>
      <rPr>
        <sz val="10"/>
        <rFont val="Noto Sans CJK SC"/>
        <family val="2"/>
      </rPr>
      <t xml:space="preserve">支付 </t>
    </r>
    <r>
      <rPr>
        <sz val="10"/>
        <rFont val="Arial"/>
        <family val="0"/>
        <charset val="1"/>
      </rPr>
      <t xml:space="preserve">310 </t>
    </r>
    <r>
      <rPr>
        <sz val="10"/>
        <rFont val="Noto Sans CJK SC"/>
        <family val="2"/>
      </rPr>
      <t xml:space="preserve">萬美元與阿肯色州檢察長了結農藥反壟斷訴訟。</t>
    </r>
  </si>
  <si>
    <t xml:space="preserve">46ecea8dff1c19fe72abb3e9</t>
  </si>
  <si>
    <t xml:space="preserve">SYY</t>
  </si>
  <si>
    <t xml:space="preserve">Sysco Corporation Common Stock</t>
  </si>
  <si>
    <t xml:space="preserve">Nadler, Frost Demand Antitrust Investigation Into Sysco’s $29.1 Billion Acquisition of Restaurant Depot Over Threats of Higher Costs for Restaurants</t>
  </si>
  <si>
    <t xml:space="preserve">Congressman Jerrold Nadler (.gov)</t>
  </si>
  <si>
    <r>
      <rPr>
        <sz val="10"/>
        <rFont val="Noto Sans CJK SC"/>
        <family val="2"/>
      </rPr>
      <t xml:space="preserve">政治人物呼籲調查 </t>
    </r>
    <r>
      <rPr>
        <sz val="10"/>
        <rFont val="Arial"/>
        <family val="0"/>
        <charset val="1"/>
      </rPr>
      <t xml:space="preserve">Sysco </t>
    </r>
    <r>
      <rPr>
        <sz val="10"/>
        <rFont val="Noto Sans CJK SC"/>
        <family val="2"/>
      </rPr>
      <t xml:space="preserve">收購案，尚非主管機關立案調查。</t>
    </r>
  </si>
  <si>
    <t xml:space="preserve">644247059e602af11f7e4e44</t>
  </si>
  <si>
    <t xml:space="preserve">2026-09-03</t>
  </si>
  <si>
    <t xml:space="preserve">Amazon, Walmart Face Data Requests in DOJ Beef Antitrust Probe</t>
  </si>
  <si>
    <r>
      <rPr>
        <sz val="10"/>
        <rFont val="Arial"/>
        <family val="0"/>
        <charset val="1"/>
      </rPr>
      <t xml:space="preserve">DOJ </t>
    </r>
    <r>
      <rPr>
        <sz val="10"/>
        <rFont val="Noto Sans CJK SC"/>
        <family val="2"/>
      </rPr>
      <t xml:space="preserve">牛肉反壟斷調查，向 </t>
    </r>
    <r>
      <rPr>
        <sz val="10"/>
        <rFont val="Arial"/>
        <family val="0"/>
        <charset val="1"/>
      </rPr>
      <t xml:space="preserve">Amazon</t>
    </r>
    <r>
      <rPr>
        <sz val="10"/>
        <rFont val="Noto Sans CJK SC"/>
        <family val="2"/>
      </rPr>
      <t xml:space="preserve">、</t>
    </r>
    <r>
      <rPr>
        <sz val="10"/>
        <rFont val="Arial"/>
        <family val="0"/>
        <charset val="1"/>
      </rPr>
      <t xml:space="preserve">Walmart </t>
    </r>
    <r>
      <rPr>
        <sz val="10"/>
        <rFont val="Noto Sans CJK SC"/>
        <family val="2"/>
      </rPr>
      <t xml:space="preserve">要求提供資料。</t>
    </r>
  </si>
  <si>
    <t xml:space="preserve">84be2c6f8b44dd8e490087fe</t>
  </si>
  <si>
    <t xml:space="preserve">2026-09-06</t>
  </si>
  <si>
    <t xml:space="preserve">CPI | Nigeria Antitrust Regulator Probes Uber’s Abrupt Exit</t>
  </si>
  <si>
    <r>
      <rPr>
        <sz val="10"/>
        <rFont val="Noto Sans CJK SC"/>
        <family val="2"/>
      </rPr>
      <t xml:space="preserve">尼日利亞反壟斷機關調查 </t>
    </r>
    <r>
      <rPr>
        <sz val="10"/>
        <rFont val="Arial"/>
        <family val="0"/>
        <charset val="1"/>
      </rPr>
      <t xml:space="preserve">Uber </t>
    </r>
    <r>
      <rPr>
        <sz val="10"/>
        <rFont val="Noto Sans CJK SC"/>
        <family val="2"/>
      </rPr>
      <t xml:space="preserve">突然退出該國。</t>
    </r>
  </si>
  <si>
    <t xml:space="preserve">d15fab4c1d7cde3d6d1bec75</t>
  </si>
  <si>
    <t xml:space="preserve">Nigeria’s Antitrust Agency Probes Uber’s Exit From Country</t>
  </si>
  <si>
    <t xml:space="preserve">c466f8035361640170fe7a8e</t>
  </si>
  <si>
    <t xml:space="preserve">Nigeria Antitrust Watchdog Probes Uber's Sudden Exit</t>
  </si>
  <si>
    <t xml:space="preserve">Briefs Finance</t>
  </si>
  <si>
    <t xml:space="preserve">65f4a43a0a004ec780516d71</t>
  </si>
  <si>
    <t xml:space="preserve">2026-09-10</t>
  </si>
  <si>
    <t xml:space="preserve">TXN</t>
  </si>
  <si>
    <t xml:space="preserve">Texas Instruments Incorporated</t>
  </si>
  <si>
    <t xml:space="preserve">Texas Instruments/Silicon Labs: Deal Said To Be Slated for Phase 2 Review by China’s Antitrust Enforcer</t>
  </si>
  <si>
    <t xml:space="preserve">The Capitol Forum</t>
  </si>
  <si>
    <r>
      <rPr>
        <sz val="10"/>
        <rFont val="Noto Sans CJK SC"/>
        <family val="2"/>
      </rPr>
      <t xml:space="preserve">德州儀器併購 </t>
    </r>
    <r>
      <rPr>
        <sz val="10"/>
        <rFont val="Arial"/>
        <family val="0"/>
        <charset val="1"/>
      </rPr>
      <t xml:space="preserve">Silicon Labs </t>
    </r>
    <r>
      <rPr>
        <sz val="10"/>
        <rFont val="Noto Sans CJK SC"/>
        <family val="2"/>
      </rPr>
      <t xml:space="preserve">將進入中國反壟斷第二階段審查。</t>
    </r>
  </si>
  <si>
    <t xml:space="preserve">a618065403c199658544cc68</t>
  </si>
  <si>
    <t xml:space="preserve">2026-09-17</t>
  </si>
  <si>
    <t xml:space="preserve">Paramount ‘Deadly Serious’ About Leaving California as $110B Warner Bros. Discovery Deal Faces Antitrust Fight</t>
  </si>
  <si>
    <t xml:space="preserve">Law Commentary</t>
  </si>
  <si>
    <t xml:space="preserve">f92a35800ca4d4b22cf8ea5d</t>
  </si>
  <si>
    <t xml:space="preserve">Inside the market where Kroger and Giant Eagle will likely be under the antitrust microscope</t>
  </si>
  <si>
    <t xml:space="preserve">Grocery Dive</t>
  </si>
  <si>
    <t xml:space="preserve">低</t>
  </si>
  <si>
    <r>
      <rPr>
        <sz val="10"/>
        <rFont val="Noto Sans CJK SC"/>
        <family val="2"/>
      </rPr>
      <t xml:space="preserve">評論性文章，預期 </t>
    </r>
    <r>
      <rPr>
        <sz val="10"/>
        <rFont val="Arial"/>
        <family val="0"/>
        <charset val="1"/>
      </rPr>
      <t xml:space="preserve">Kroger</t>
    </r>
    <r>
      <rPr>
        <sz val="10"/>
        <rFont val="Noto Sans CJK SC"/>
        <family val="2"/>
      </rPr>
      <t xml:space="preserve">／</t>
    </r>
    <r>
      <rPr>
        <sz val="10"/>
        <rFont val="Arial"/>
        <family val="0"/>
        <charset val="1"/>
      </rPr>
      <t xml:space="preserve">Giant Eagle </t>
    </r>
    <r>
      <rPr>
        <sz val="10"/>
        <rFont val="Noto Sans CJK SC"/>
        <family val="2"/>
      </rPr>
      <t xml:space="preserve">交易將受反壟斷審查，尚無實際調查。</t>
    </r>
  </si>
  <si>
    <t xml:space="preserve">0519bdf4e1ee55f43db84ed6</t>
  </si>
  <si>
    <t xml:space="preserve">2026-09-18</t>
  </si>
  <si>
    <t xml:space="preserve">Paramount in talks to settle antitrust lawsuit blocking WBD deal</t>
  </si>
  <si>
    <t xml:space="preserve">Financial Times</t>
  </si>
  <si>
    <t xml:space="preserve">810c4e106a4cdc3184eae971</t>
  </si>
  <si>
    <t xml:space="preserve">BLK</t>
  </si>
  <si>
    <t xml:space="preserve">BlackRock, Inc. Common Stock</t>
  </si>
  <si>
    <t xml:space="preserve">DOJ weighs joining state antitrust suit against BlackRock and State Street -report</t>
  </si>
  <si>
    <r>
      <rPr>
        <sz val="10"/>
        <rFont val="Arial"/>
        <family val="0"/>
        <charset val="1"/>
      </rPr>
      <t xml:space="preserve">DOJ </t>
    </r>
    <r>
      <rPr>
        <sz val="10"/>
        <rFont val="Noto Sans CJK SC"/>
        <family val="2"/>
      </rPr>
      <t xml:space="preserve">考慮加入德州對 </t>
    </r>
    <r>
      <rPr>
        <sz val="10"/>
        <rFont val="Arial"/>
        <family val="0"/>
        <charset val="1"/>
      </rPr>
      <t xml:space="preserve">BlackRock</t>
    </r>
    <r>
      <rPr>
        <sz val="10"/>
        <rFont val="Noto Sans CJK SC"/>
        <family val="2"/>
      </rPr>
      <t xml:space="preserve">、</t>
    </r>
    <r>
      <rPr>
        <sz val="10"/>
        <rFont val="Arial"/>
        <family val="0"/>
        <charset val="1"/>
      </rPr>
      <t xml:space="preserve">State Street </t>
    </r>
    <r>
      <rPr>
        <sz val="10"/>
        <rFont val="Noto Sans CJK SC"/>
        <family val="2"/>
      </rPr>
      <t xml:space="preserve">的反壟斷訴訟。</t>
    </r>
  </si>
  <si>
    <t xml:space="preserve">e49d044dd63409204885d9eb</t>
  </si>
  <si>
    <t xml:space="preserve">DOJ Weighs Joining Texas BlackRock, State Street Antitrust Case</t>
  </si>
  <si>
    <t xml:space="preserve">Bloomberg Law News</t>
  </si>
  <si>
    <t xml:space="preserve">ecc65a4fad49a3e825adac1f</t>
  </si>
  <si>
    <t xml:space="preserve">Kroger (KR) Draws Tougher Antitrust Review For Its Planned Grocery Deal</t>
  </si>
  <si>
    <r>
      <rPr>
        <sz val="10"/>
        <rFont val="Arial"/>
        <family val="0"/>
        <charset val="1"/>
      </rPr>
      <t xml:space="preserve">Kroger </t>
    </r>
    <r>
      <rPr>
        <sz val="10"/>
        <rFont val="Noto Sans CJK SC"/>
        <family val="2"/>
      </rPr>
      <t xml:space="preserve">計畫中的併購案面臨更嚴格的反壟斷審查。</t>
    </r>
  </si>
  <si>
    <t xml:space="preserve">bdabe3b050d6678ef0d7966e</t>
  </si>
  <si>
    <t xml:space="preserve">2026-09-21</t>
  </si>
  <si>
    <t xml:space="preserve">WGA Settles Antitrust Lawsuit With Paramount Over Warner Bros. Discovery Merger</t>
  </si>
  <si>
    <t xml:space="preserve">Variety</t>
  </si>
  <si>
    <t xml:space="preserve">0c52b19c295595679e0b6174</t>
  </si>
  <si>
    <t xml:space="preserve">Done! Paramount Settles Antitrust Suit, Set To Seal Deal For Warner Bros. Discovery</t>
  </si>
  <si>
    <t xml:space="preserve">b25f271fb4a08bb93d42202f</t>
  </si>
  <si>
    <t xml:space="preserve">2026-10-01</t>
  </si>
  <si>
    <t xml:space="preserve">Otis Worldwide</t>
  </si>
  <si>
    <t xml:space="preserve">據消息人士稱，芬蘭通力公司正準備出售TK Elevator的歐洲業務，以應對反壟斷方面的擔憂</t>
  </si>
  <si>
    <t xml:space="preserve">TradingView</t>
  </si>
  <si>
    <t xml:space="preserve">待人工覆核</t>
  </si>
  <si>
    <r>
      <rPr>
        <sz val="10"/>
        <rFont val="Noto Sans CJK SC"/>
        <family val="2"/>
      </rPr>
      <t xml:space="preserve">通力出售 </t>
    </r>
    <r>
      <rPr>
        <sz val="10"/>
        <rFont val="Arial"/>
        <family val="0"/>
        <charset val="1"/>
      </rPr>
      <t xml:space="preserve">TK Elevator </t>
    </r>
    <r>
      <rPr>
        <sz val="10"/>
        <rFont val="Noto Sans CJK SC"/>
        <family val="2"/>
      </rPr>
      <t xml:space="preserve">歐洲業務是通力的併購，與 </t>
    </r>
    <r>
      <rPr>
        <sz val="10"/>
        <rFont val="Arial"/>
        <family val="0"/>
        <charset val="1"/>
      </rPr>
      <t xml:space="preserve">Otis </t>
    </r>
    <r>
      <rPr>
        <sz val="10"/>
        <rFont val="Noto Sans CJK SC"/>
        <family val="2"/>
      </rPr>
      <t xml:space="preserve">無關。</t>
    </r>
  </si>
  <si>
    <t xml:space="preserve">10c9afdbb65f9a4554453d23</t>
  </si>
  <si>
    <t xml:space="preserve">2026-10-14</t>
  </si>
  <si>
    <t xml:space="preserve">CPRT</t>
  </si>
  <si>
    <t xml:space="preserve">Copart, Inc.</t>
  </si>
  <si>
    <t xml:space="preserve">Copart Clears U.S. Antitrust Waiting Period for $10.50-Per-Share Acquisition of ACV Auctions</t>
  </si>
  <si>
    <r>
      <rPr>
        <sz val="10"/>
        <rFont val="Arial"/>
        <family val="0"/>
        <charset val="1"/>
      </rPr>
      <t xml:space="preserve">Copart </t>
    </r>
    <r>
      <rPr>
        <sz val="10"/>
        <rFont val="Noto Sans CJK SC"/>
        <family val="2"/>
      </rPr>
      <t xml:space="preserve">清除了以每股 </t>
    </r>
    <r>
      <rPr>
        <sz val="10"/>
        <rFont val="Arial"/>
        <family val="0"/>
        <charset val="1"/>
      </rPr>
      <t xml:space="preserve">10.50 </t>
    </r>
    <r>
      <rPr>
        <sz val="10"/>
        <rFont val="Noto Sans CJK SC"/>
        <family val="2"/>
      </rPr>
      <t xml:space="preserve">美元收購 </t>
    </r>
    <r>
      <rPr>
        <sz val="10"/>
        <rFont val="Arial"/>
        <family val="0"/>
        <charset val="1"/>
      </rPr>
      <t xml:space="preserve">ACV </t>
    </r>
    <r>
      <rPr>
        <sz val="10"/>
        <rFont val="Noto Sans CJK SC"/>
        <family val="2"/>
      </rPr>
      <t xml:space="preserve">拍賣的美國反壟斷等待期</t>
    </r>
  </si>
  <si>
    <t xml:space="preserve">citybiz</t>
  </si>
  <si>
    <r>
      <rPr>
        <sz val="10"/>
        <rFont val="Arial"/>
        <family val="0"/>
        <charset val="1"/>
      </rPr>
      <t xml:space="preserve">Copart </t>
    </r>
    <r>
      <rPr>
        <sz val="10"/>
        <rFont val="Noto Sans CJK SC"/>
        <family val="2"/>
      </rPr>
      <t xml:space="preserve">收購 </t>
    </r>
    <r>
      <rPr>
        <sz val="10"/>
        <rFont val="Arial"/>
        <family val="0"/>
        <charset val="1"/>
      </rPr>
      <t xml:space="preserve">ACV </t>
    </r>
    <r>
      <rPr>
        <sz val="10"/>
        <rFont val="Noto Sans CJK SC"/>
        <family val="2"/>
      </rPr>
      <t xml:space="preserve">的反壟斷等待期已屆滿，屬正面進展，不是調查。</t>
    </r>
  </si>
  <si>
    <t xml:space="preserve">20cbf3ba12cb24e4d14bcb62</t>
  </si>
  <si>
    <t xml:space="preserve">Copart Says Antitrust Waiting Period for ACV Auctions Acquisition Has Expired</t>
  </si>
  <si>
    <r>
      <rPr>
        <sz val="10"/>
        <rFont val="Arial"/>
        <family val="0"/>
        <charset val="1"/>
      </rPr>
      <t xml:space="preserve">Copart </t>
    </r>
    <r>
      <rPr>
        <sz val="10"/>
        <rFont val="Noto Sans CJK SC"/>
        <family val="2"/>
      </rPr>
      <t xml:space="preserve">表示 </t>
    </r>
    <r>
      <rPr>
        <sz val="10"/>
        <rFont val="Arial"/>
        <family val="0"/>
        <charset val="1"/>
      </rPr>
      <t xml:space="preserve">ACV Auctions </t>
    </r>
    <r>
      <rPr>
        <sz val="10"/>
        <rFont val="Noto Sans CJK SC"/>
        <family val="2"/>
      </rPr>
      <t xml:space="preserve">收購的反壟斷等待期已到期</t>
    </r>
  </si>
  <si>
    <t xml:space="preserve">1aa19f14c652c836c48cd3ac</t>
  </si>
  <si>
    <t xml:space="preserve">Copart’s ACV acquisition clears antitrust waiting period before tender deadline</t>
  </si>
  <si>
    <r>
      <rPr>
        <sz val="10"/>
        <rFont val="Arial"/>
        <family val="0"/>
        <charset val="1"/>
      </rPr>
      <t xml:space="preserve">Copart </t>
    </r>
    <r>
      <rPr>
        <sz val="10"/>
        <rFont val="Noto Sans CJK SC"/>
        <family val="2"/>
      </rPr>
      <t xml:space="preserve">收購 </t>
    </r>
    <r>
      <rPr>
        <sz val="10"/>
        <rFont val="Arial"/>
        <family val="0"/>
        <charset val="1"/>
      </rPr>
      <t xml:space="preserve">ACV </t>
    </r>
    <r>
      <rPr>
        <sz val="10"/>
        <rFont val="Noto Sans CJK SC"/>
        <family val="2"/>
      </rPr>
      <t xml:space="preserve">消除了投標截止日期前的反壟斷等待期</t>
    </r>
  </si>
  <si>
    <t xml:space="preserve">finchannel</t>
  </si>
  <si>
    <t xml:space="preserve">12f9d20cfbeaed122a9bccd1</t>
  </si>
  <si>
    <t xml:space="preserve">Copart Rises as ACV Deal Clears Key Antitrust Hurdle</t>
  </si>
  <si>
    <r>
      <rPr>
        <sz val="10"/>
        <rFont val="Noto Sans CJK SC"/>
        <family val="2"/>
      </rPr>
      <t xml:space="preserve">隨著 </t>
    </r>
    <r>
      <rPr>
        <sz val="10"/>
        <rFont val="Arial"/>
        <family val="0"/>
        <charset val="1"/>
      </rPr>
      <t xml:space="preserve">ACV </t>
    </r>
    <r>
      <rPr>
        <sz val="10"/>
        <rFont val="Noto Sans CJK SC"/>
        <family val="2"/>
      </rPr>
      <t xml:space="preserve">交易清除關鍵的反壟斷障礙，</t>
    </r>
    <r>
      <rPr>
        <sz val="10"/>
        <rFont val="Arial"/>
        <family val="0"/>
        <charset val="1"/>
      </rPr>
      <t xml:space="preserve">Copart </t>
    </r>
    <r>
      <rPr>
        <sz val="10"/>
        <rFont val="Noto Sans CJK SC"/>
        <family val="2"/>
      </rPr>
      <t xml:space="preserve">崛起</t>
    </r>
  </si>
  <si>
    <t xml:space="preserve">Quiver Quantitative</t>
  </si>
  <si>
    <t xml:space="preserve">df0f258a5232fd59f2c5cad8</t>
  </si>
  <si>
    <t xml:space="preserve">Hasbro</t>
  </si>
  <si>
    <t xml:space="preserve">Knoxville officer who flirted with chief over text has history of misconduct at KPD</t>
  </si>
  <si>
    <r>
      <rPr>
        <sz val="10"/>
        <rFont val="Noto Sans CJK SC"/>
        <family val="2"/>
      </rPr>
      <t xml:space="preserve">與局長通過短信調情的諾克斯維爾警官有 </t>
    </r>
    <r>
      <rPr>
        <sz val="10"/>
        <rFont val="Arial"/>
        <family val="0"/>
        <charset val="1"/>
      </rPr>
      <t xml:space="preserve">KPD </t>
    </r>
    <r>
      <rPr>
        <sz val="10"/>
        <rFont val="Noto Sans CJK SC"/>
        <family val="2"/>
      </rPr>
      <t xml:space="preserve">不當行為的歷史</t>
    </r>
  </si>
  <si>
    <t xml:space="preserve">WVLT</t>
  </si>
  <si>
    <t xml:space="preserve">EXECUTIVE_MISCONDUCT</t>
  </si>
  <si>
    <t xml:space="preserve">高管不當行為</t>
  </si>
  <si>
    <t xml:space="preserve">地方警察不當行為新聞，與該公司無關。</t>
  </si>
  <si>
    <t xml:space="preserve">386eac8cf2406ab63509b891</t>
  </si>
  <si>
    <t xml:space="preserve">ConocoPhillips</t>
  </si>
  <si>
    <t xml:space="preserve">NYC Says Action Over Cop Misconduct Was Filed Too Late</t>
  </si>
  <si>
    <t xml:space="preserve">紐約市表示對警察不當行為的行動為時已晚</t>
  </si>
  <si>
    <t xml:space="preserve">98576bdd217fb7936c2bddbd</t>
  </si>
  <si>
    <t xml:space="preserve">Bristol private hire driver stripped of licence after Uber sexual misconduct reports</t>
  </si>
  <si>
    <r>
      <rPr>
        <sz val="10"/>
        <rFont val="Noto Sans CJK SC"/>
        <family val="2"/>
      </rPr>
      <t xml:space="preserve">布里斯托爾私人僱傭司機因 </t>
    </r>
    <r>
      <rPr>
        <sz val="10"/>
        <rFont val="Arial"/>
        <family val="0"/>
        <charset val="1"/>
      </rPr>
      <t xml:space="preserve">Uber </t>
    </r>
    <r>
      <rPr>
        <sz val="10"/>
        <rFont val="Noto Sans CJK SC"/>
        <family val="2"/>
      </rPr>
      <t xml:space="preserve">不當性行為報告被吊銷駕照</t>
    </r>
  </si>
  <si>
    <t xml:space="preserve">taxi-point.co.uk</t>
  </si>
  <si>
    <r>
      <rPr>
        <sz val="10"/>
        <rFont val="Noto Sans CJK SC"/>
        <family val="2"/>
      </rPr>
      <t xml:space="preserve">英國 </t>
    </r>
    <r>
      <rPr>
        <sz val="10"/>
        <rFont val="Arial"/>
        <family val="0"/>
        <charset val="1"/>
      </rPr>
      <t xml:space="preserve">Bristol </t>
    </r>
    <r>
      <rPr>
        <sz val="10"/>
        <rFont val="Noto Sans CJK SC"/>
        <family val="2"/>
      </rPr>
      <t xml:space="preserve">一名網約車司機被吊銷執照，屬司機個案，不是 </t>
    </r>
    <r>
      <rPr>
        <sz val="10"/>
        <rFont val="Arial"/>
        <family val="0"/>
        <charset val="1"/>
      </rPr>
      <t xml:space="preserve">Uber </t>
    </r>
    <r>
      <rPr>
        <sz val="10"/>
        <rFont val="Noto Sans CJK SC"/>
        <family val="2"/>
      </rPr>
      <t xml:space="preserve">高管。</t>
    </r>
  </si>
  <si>
    <t xml:space="preserve">fa212a9e527233ce4fa52789</t>
  </si>
  <si>
    <t xml:space="preserve">LHX</t>
  </si>
  <si>
    <t xml:space="preserve">L3Harris</t>
  </si>
  <si>
    <t xml:space="preserve">L3Harris fires Kubasik for repeating the misconduct that cost him Lockheed Martin</t>
  </si>
  <si>
    <t xml:space="preserve">Martin Cid Magazine</t>
  </si>
  <si>
    <r>
      <rPr>
        <sz val="10"/>
        <rFont val="Arial"/>
        <family val="0"/>
        <charset val="1"/>
      </rPr>
      <t xml:space="preserve">L3Harris </t>
    </r>
    <r>
      <rPr>
        <sz val="10"/>
        <rFont val="Noto Sans CJK SC"/>
        <family val="2"/>
      </rPr>
      <t xml:space="preserve">因不當行為解僱 </t>
    </r>
    <r>
      <rPr>
        <sz val="10"/>
        <rFont val="Arial"/>
        <family val="0"/>
        <charset val="1"/>
      </rPr>
      <t xml:space="preserve">Kubasik</t>
    </r>
    <r>
      <rPr>
        <sz val="10"/>
        <rFont val="Noto Sans CJK SC"/>
        <family val="2"/>
      </rPr>
      <t xml:space="preserve">。</t>
    </r>
  </si>
  <si>
    <t xml:space="preserve">b60049fda40dcd154e05fb75</t>
  </si>
  <si>
    <t xml:space="preserve">AT&amp;T</t>
  </si>
  <si>
    <t xml:space="preserve">Elon Musk won't face election bribery charges in Wisconsin, state prosecutor says - ABC News</t>
  </si>
  <si>
    <t xml:space="preserve">ABC News - Breaking News, Latest News and Videos</t>
  </si>
  <si>
    <r>
      <rPr>
        <sz val="10"/>
        <rFont val="Noto Sans CJK SC"/>
        <family val="2"/>
      </rPr>
      <t xml:space="preserve">馬斯克選舉賄賂案不起訴，與 </t>
    </r>
    <r>
      <rPr>
        <sz val="10"/>
        <rFont val="Arial"/>
        <family val="0"/>
        <charset val="1"/>
      </rPr>
      <t xml:space="preserve">AT&amp;T </t>
    </r>
    <r>
      <rPr>
        <sz val="10"/>
        <rFont val="Noto Sans CJK SC"/>
        <family val="2"/>
      </rPr>
      <t xml:space="preserve">無關。</t>
    </r>
  </si>
  <si>
    <t xml:space="preserve">72a5f616e77d706c1390a681</t>
  </si>
  <si>
    <t xml:space="preserve">BAC</t>
  </si>
  <si>
    <t xml:space="preserve">Bank of America Corporation Common Stock</t>
  </si>
  <si>
    <t xml:space="preserve">SEC charges former Bank of America investment banker with insider trading</t>
  </si>
  <si>
    <t xml:space="preserve">Reuters</t>
  </si>
  <si>
    <t xml:space="preserve">INSIDER_TRADING</t>
  </si>
  <si>
    <t xml:space="preserve">內線交易</t>
  </si>
  <si>
    <r>
      <rPr>
        <sz val="10"/>
        <rFont val="Arial"/>
        <family val="0"/>
        <charset val="1"/>
      </rPr>
      <t xml:space="preserve">SEC </t>
    </r>
    <r>
      <rPr>
        <sz val="10"/>
        <rFont val="Noto Sans CJK SC"/>
        <family val="2"/>
      </rPr>
      <t xml:space="preserve">起訴美國銀行前投資銀行人員內線交易（個人，非銀行本身被控）。</t>
    </r>
  </si>
  <si>
    <t xml:space="preserve">cb26369e7afea25be8d4a326</t>
  </si>
  <si>
    <t xml:space="preserve">2026-08-22</t>
  </si>
  <si>
    <t xml:space="preserve">What Do SEC Insider Trading Charges Mean For Bank Of America (BAC)?</t>
  </si>
  <si>
    <t xml:space="preserve">c39508443d8be20b632d3d10</t>
  </si>
  <si>
    <t xml:space="preserve">2026-09-08</t>
  </si>
  <si>
    <t xml:space="preserve">SEC charges Bank of America executive with insider trading</t>
  </si>
  <si>
    <t xml:space="preserve">The Ticker</t>
  </si>
  <si>
    <t xml:space="preserve">ee7c7a95f1fc0af1ce3dd69f</t>
  </si>
  <si>
    <t xml:space="preserve">2026-09-29</t>
  </si>
  <si>
    <t xml:space="preserve">JBL</t>
  </si>
  <si>
    <t xml:space="preserve">Jabil Inc. Common Stock</t>
  </si>
  <si>
    <t xml:space="preserve">JABIL Q4 2026 Earnings Preview: Recent $JBL Insider Trading, Hedge Fund Activity, and More</t>
  </si>
  <si>
    <r>
      <rPr>
        <sz val="10"/>
        <rFont val="Arial"/>
        <family val="0"/>
        <charset val="1"/>
      </rPr>
      <t xml:space="preserve">Jabil </t>
    </r>
    <r>
      <rPr>
        <sz val="10"/>
        <rFont val="Noto Sans CJK SC"/>
        <family val="2"/>
      </rPr>
      <t xml:space="preserve">財報前瞻文章，只是引用內部人交易資料，沒有內線交易事件。</t>
    </r>
  </si>
  <si>
    <t xml:space="preserve">4c91944f8ddb95b7bb45576e</t>
  </si>
  <si>
    <t xml:space="preserve">2026-08-09</t>
  </si>
  <si>
    <t xml:space="preserve">INTU</t>
  </si>
  <si>
    <t xml:space="preserve">Intuit Inc.</t>
  </si>
  <si>
    <t xml:space="preserve">Intuit Inc. (NASDAQ: INTU) Investors: September 8, 2026, Deadline in Securities Fraud Class Action Lawsuit - Contact Kessler Topaz Meltzer &amp; Check, LLP</t>
  </si>
  <si>
    <r>
      <rPr>
        <sz val="10"/>
        <rFont val="Arial"/>
        <family val="0"/>
        <charset val="1"/>
      </rPr>
      <t xml:space="preserve">Intuit Inc.</t>
    </r>
    <r>
      <rPr>
        <sz val="10"/>
        <rFont val="Noto Sans CJK SC"/>
        <family val="2"/>
      </rPr>
      <t xml:space="preserve">（納斯達克股票代碼：</t>
    </r>
    <r>
      <rPr>
        <sz val="10"/>
        <rFont val="Arial"/>
        <family val="0"/>
        <charset val="1"/>
      </rPr>
      <t xml:space="preserve">INTU</t>
    </r>
    <r>
      <rPr>
        <sz val="10"/>
        <rFont val="Noto Sans CJK SC"/>
        <family val="2"/>
      </rPr>
      <t xml:space="preserve">）投資者：</t>
    </r>
    <r>
      <rPr>
        <sz val="10"/>
        <rFont val="Arial"/>
        <family val="0"/>
        <charset val="1"/>
      </rPr>
      <t xml:space="preserve">2026 </t>
    </r>
    <r>
      <rPr>
        <sz val="10"/>
        <rFont val="Noto Sans CJK SC"/>
        <family val="2"/>
      </rPr>
      <t xml:space="preserve">年 </t>
    </r>
    <r>
      <rPr>
        <sz val="10"/>
        <rFont val="Arial"/>
        <family val="0"/>
        <charset val="1"/>
      </rPr>
      <t xml:space="preserve">9 </t>
    </r>
    <r>
      <rPr>
        <sz val="10"/>
        <rFont val="Noto Sans CJK SC"/>
        <family val="2"/>
      </rPr>
      <t xml:space="preserve">月 </t>
    </r>
    <r>
      <rPr>
        <sz val="10"/>
        <rFont val="Arial"/>
        <family val="0"/>
        <charset val="1"/>
      </rPr>
      <t xml:space="preserve">8 </t>
    </r>
    <r>
      <rPr>
        <sz val="10"/>
        <rFont val="Noto Sans CJK SC"/>
        <family val="2"/>
      </rPr>
      <t xml:space="preserve">日，證券詐欺集體訴訟截止日期 </t>
    </r>
    <r>
      <rPr>
        <sz val="10"/>
        <rFont val="Arial"/>
        <family val="0"/>
        <charset val="1"/>
      </rPr>
      <t xml:space="preserve">- </t>
    </r>
    <r>
      <rPr>
        <sz val="10"/>
        <rFont val="Noto Sans CJK SC"/>
        <family val="2"/>
      </rPr>
      <t xml:space="preserve">聯絡 </t>
    </r>
    <r>
      <rPr>
        <sz val="10"/>
        <rFont val="Arial"/>
        <family val="0"/>
        <charset val="1"/>
      </rPr>
      <t xml:space="preserve">Kessler Topaz Meltzer &amp; Check, LLP</t>
    </r>
  </si>
  <si>
    <t xml:space="preserve">Business Wire</t>
  </si>
  <si>
    <t xml:space="preserve">重大訴訟</t>
  </si>
  <si>
    <r>
      <rPr>
        <sz val="10"/>
        <rFont val="Arial"/>
        <family val="0"/>
        <charset val="1"/>
      </rPr>
      <t xml:space="preserve">Intuit </t>
    </r>
    <r>
      <rPr>
        <sz val="10"/>
        <rFont val="Noto Sans CJK SC"/>
        <family val="2"/>
      </rPr>
      <t xml:space="preserve">證券集體訴訟（律師事務所公告，提醒首席原告申請期限）。</t>
    </r>
  </si>
  <si>
    <t xml:space="preserve">580eab8a5130e6f0639929ac</t>
  </si>
  <si>
    <t xml:space="preserve">2026-08-09 | INTU SHAREHOLDER ALERT: Bronstein, Gewirtz and Grossman, LLC Announces that Intuit Inc. Shareholders Have Opportunity to Lead Class Action Lawsuit! | NDAQ:INTU | Press Release</t>
  </si>
  <si>
    <r>
      <rPr>
        <sz val="10"/>
        <rFont val="Arial"/>
        <family val="0"/>
        <charset val="1"/>
      </rPr>
      <t xml:space="preserve">2026-08-09 | INTU </t>
    </r>
    <r>
      <rPr>
        <sz val="10"/>
        <rFont val="Noto Sans CJK SC"/>
        <family val="2"/>
      </rPr>
      <t xml:space="preserve">股東提醒：</t>
    </r>
    <r>
      <rPr>
        <sz val="10"/>
        <rFont val="Arial"/>
        <family val="0"/>
        <charset val="1"/>
      </rPr>
      <t xml:space="preserve">Bronstein</t>
    </r>
    <r>
      <rPr>
        <sz val="10"/>
        <rFont val="Noto Sans CJK SC"/>
        <family val="2"/>
      </rPr>
      <t xml:space="preserve">、</t>
    </r>
    <r>
      <rPr>
        <sz val="10"/>
        <rFont val="Arial"/>
        <family val="0"/>
        <charset val="1"/>
      </rPr>
      <t xml:space="preserve">Gewirtz </t>
    </r>
    <r>
      <rPr>
        <sz val="10"/>
        <rFont val="Noto Sans CJK SC"/>
        <family val="2"/>
      </rPr>
      <t xml:space="preserve">和 </t>
    </r>
    <r>
      <rPr>
        <sz val="10"/>
        <rFont val="Arial"/>
        <family val="0"/>
        <charset val="1"/>
      </rPr>
      <t xml:space="preserve">Grossman, LLC </t>
    </r>
    <r>
      <rPr>
        <sz val="10"/>
        <rFont val="Noto Sans CJK SC"/>
        <family val="2"/>
      </rPr>
      <t xml:space="preserve">宣布 </t>
    </r>
    <r>
      <rPr>
        <sz val="10"/>
        <rFont val="Arial"/>
        <family val="0"/>
        <charset val="1"/>
      </rPr>
      <t xml:space="preserve">Intuit Inc. </t>
    </r>
    <r>
      <rPr>
        <sz val="10"/>
        <rFont val="Noto Sans CJK SC"/>
        <family val="2"/>
      </rPr>
      <t xml:space="preserve">股東有機會提起集體訴訟！ </t>
    </r>
    <r>
      <rPr>
        <sz val="10"/>
        <rFont val="Arial"/>
        <family val="0"/>
        <charset val="1"/>
      </rPr>
      <t xml:space="preserve">|</t>
    </r>
    <r>
      <rPr>
        <sz val="10"/>
        <rFont val="Noto Sans CJK SC"/>
        <family val="2"/>
      </rPr>
      <t xml:space="preserve">納斯達克：</t>
    </r>
    <r>
      <rPr>
        <sz val="10"/>
        <rFont val="Arial"/>
        <family val="0"/>
        <charset val="1"/>
      </rPr>
      <t xml:space="preserve">INTU |</t>
    </r>
    <r>
      <rPr>
        <sz val="10"/>
        <rFont val="Noto Sans CJK SC"/>
        <family val="2"/>
      </rPr>
      <t xml:space="preserve">新聞稿</t>
    </r>
  </si>
  <si>
    <t xml:space="preserve">stockhouse.com</t>
  </si>
  <si>
    <t xml:space="preserve">ba82d159fb91412492dcf49e</t>
  </si>
  <si>
    <t xml:space="preserve">2026-08-10</t>
  </si>
  <si>
    <t xml:space="preserve">FSLR</t>
  </si>
  <si>
    <t xml:space="preserve">First Solar, Inc.</t>
  </si>
  <si>
    <t xml:space="preserve">FLSR Stock - The Deadline to Move for Lead Plaintiff is August 24, 2026 - First Solar, Inc. Stockholders Should Contact Robbins LLP for Information About Leading the Class Action</t>
  </si>
  <si>
    <r>
      <rPr>
        <sz val="10"/>
        <rFont val="Arial"/>
        <family val="0"/>
        <charset val="1"/>
      </rPr>
      <t xml:space="preserve">FLSR </t>
    </r>
    <r>
      <rPr>
        <sz val="10"/>
        <rFont val="Noto Sans CJK SC"/>
        <family val="2"/>
      </rPr>
      <t xml:space="preserve">股票 </t>
    </r>
    <r>
      <rPr>
        <sz val="10"/>
        <rFont val="Arial"/>
        <family val="0"/>
        <charset val="1"/>
      </rPr>
      <t xml:space="preserve">- </t>
    </r>
    <r>
      <rPr>
        <sz val="10"/>
        <rFont val="Noto Sans CJK SC"/>
        <family val="2"/>
      </rPr>
      <t xml:space="preserve">首席原告提出訴訟的截止日期為 </t>
    </r>
    <r>
      <rPr>
        <sz val="10"/>
        <rFont val="Arial"/>
        <family val="0"/>
        <charset val="1"/>
      </rPr>
      <t xml:space="preserve">2026 </t>
    </r>
    <r>
      <rPr>
        <sz val="10"/>
        <rFont val="Noto Sans CJK SC"/>
        <family val="2"/>
      </rPr>
      <t xml:space="preserve">年 </t>
    </r>
    <r>
      <rPr>
        <sz val="10"/>
        <rFont val="Arial"/>
        <family val="0"/>
        <charset val="1"/>
      </rPr>
      <t xml:space="preserve">8 </t>
    </r>
    <r>
      <rPr>
        <sz val="10"/>
        <rFont val="Noto Sans CJK SC"/>
        <family val="2"/>
      </rPr>
      <t xml:space="preserve">月 </t>
    </r>
    <r>
      <rPr>
        <sz val="10"/>
        <rFont val="Arial"/>
        <family val="0"/>
        <charset val="1"/>
      </rPr>
      <t xml:space="preserve">24 </t>
    </r>
    <r>
      <rPr>
        <sz val="10"/>
        <rFont val="Noto Sans CJK SC"/>
        <family val="2"/>
      </rPr>
      <t xml:space="preserve">日 </t>
    </r>
    <r>
      <rPr>
        <sz val="10"/>
        <rFont val="Arial"/>
        <family val="0"/>
        <charset val="1"/>
      </rPr>
      <t xml:space="preserve">- First Solar, Inc. </t>
    </r>
    <r>
      <rPr>
        <sz val="10"/>
        <rFont val="Noto Sans CJK SC"/>
        <family val="2"/>
      </rPr>
      <t xml:space="preserve">股東應聯繫 </t>
    </r>
    <r>
      <rPr>
        <sz val="10"/>
        <rFont val="Arial"/>
        <family val="0"/>
        <charset val="1"/>
      </rPr>
      <t xml:space="preserve">Robbins LLP</t>
    </r>
    <r>
      <rPr>
        <sz val="10"/>
        <rFont val="Noto Sans CJK SC"/>
        <family val="2"/>
      </rPr>
      <t xml:space="preserve">，以了解有關領導集體訴訟的信息</t>
    </r>
  </si>
  <si>
    <t xml:space="preserve">Morningstar</t>
  </si>
  <si>
    <r>
      <rPr>
        <sz val="10"/>
        <rFont val="Arial"/>
        <family val="0"/>
        <charset val="1"/>
      </rPr>
      <t xml:space="preserve">First Solar </t>
    </r>
    <r>
      <rPr>
        <sz val="10"/>
        <rFont val="Noto Sans CJK SC"/>
        <family val="2"/>
      </rPr>
      <t xml:space="preserve">證券集體訴訟（律師事務所公告）。</t>
    </r>
  </si>
  <si>
    <t xml:space="preserve">37c4ad7c98deb70b8844d99a</t>
  </si>
  <si>
    <t xml:space="preserve">PNR</t>
  </si>
  <si>
    <t xml:space="preserve">Pentair</t>
  </si>
  <si>
    <t xml:space="preserve">PNR INVESTOR DEADLINE: Pentair plc Investors with Substantial Losses Have Opportunity to Lead Shareholder Class Action Lawsuit</t>
  </si>
  <si>
    <r>
      <rPr>
        <sz val="10"/>
        <rFont val="Arial"/>
        <family val="0"/>
        <charset val="1"/>
      </rPr>
      <t xml:space="preserve">PNR </t>
    </r>
    <r>
      <rPr>
        <sz val="10"/>
        <rFont val="Noto Sans CJK SC"/>
        <family val="2"/>
      </rPr>
      <t xml:space="preserve">投資者截止日期：遭受重大損失的 </t>
    </r>
    <r>
      <rPr>
        <sz val="10"/>
        <rFont val="Arial"/>
        <family val="0"/>
        <charset val="1"/>
      </rPr>
      <t xml:space="preserve">Pentair plc </t>
    </r>
    <r>
      <rPr>
        <sz val="10"/>
        <rFont val="Noto Sans CJK SC"/>
        <family val="2"/>
      </rPr>
      <t xml:space="preserve">投資者有機會提起股東集體訴訟</t>
    </r>
  </si>
  <si>
    <t xml:space="preserve">PR Newswire</t>
  </si>
  <si>
    <r>
      <rPr>
        <sz val="10"/>
        <rFont val="Arial"/>
        <family val="0"/>
        <charset val="1"/>
      </rPr>
      <t xml:space="preserve">Pentair </t>
    </r>
    <r>
      <rPr>
        <sz val="10"/>
        <rFont val="Noto Sans CJK SC"/>
        <family val="2"/>
      </rPr>
      <t xml:space="preserve">證券集體訴訟（律師事務所公告）。</t>
    </r>
  </si>
  <si>
    <t xml:space="preserve">85cea75bfc954706f9b1312b</t>
  </si>
  <si>
    <t xml:space="preserve">REGN</t>
  </si>
  <si>
    <t xml:space="preserve">Regeneron Pharmaceuticals, Inc.</t>
  </si>
  <si>
    <t xml:space="preserve">Regeneron Pharmaceuticals, Inc. Investors with Substantial Losses Have Opportunity to Lead Regeneron Class Action Lawsuit - Hagens Berman Sobol Shapiro LLP</t>
  </si>
  <si>
    <r>
      <rPr>
        <sz val="10"/>
        <rFont val="Noto Sans CJK SC"/>
        <family val="2"/>
      </rPr>
      <t xml:space="preserve">再生元製藥公司遭受重大損失的投資者有機會提起再生元集體訴訟 </t>
    </r>
    <r>
      <rPr>
        <sz val="10"/>
        <rFont val="Arial"/>
        <family val="0"/>
        <charset val="1"/>
      </rPr>
      <t xml:space="preserve">- Hagens Berman Sobol Shapiro LLP</t>
    </r>
  </si>
  <si>
    <r>
      <rPr>
        <sz val="10"/>
        <rFont val="Arial"/>
        <family val="0"/>
        <charset val="1"/>
      </rPr>
      <t xml:space="preserve">Regeneron </t>
    </r>
    <r>
      <rPr>
        <sz val="10"/>
        <rFont val="Noto Sans CJK SC"/>
        <family val="2"/>
      </rPr>
      <t xml:space="preserve">證券集體訴訟（律師事務所公告）。</t>
    </r>
  </si>
  <si>
    <t xml:space="preserve">0ea2c131f6355d8ce705fbe5</t>
  </si>
  <si>
    <t xml:space="preserve">Intuit Class Action Follows 20% Stock Plunge</t>
  </si>
  <si>
    <r>
      <rPr>
        <sz val="10"/>
        <rFont val="Arial"/>
        <family val="0"/>
        <charset val="1"/>
      </rPr>
      <t xml:space="preserve">Intuit </t>
    </r>
    <r>
      <rPr>
        <sz val="10"/>
        <rFont val="Noto Sans CJK SC"/>
        <family val="2"/>
      </rPr>
      <t xml:space="preserve">股價暴跌 </t>
    </r>
    <r>
      <rPr>
        <sz val="10"/>
        <rFont val="Arial"/>
        <family val="0"/>
        <charset val="1"/>
      </rPr>
      <t xml:space="preserve">20% </t>
    </r>
    <r>
      <rPr>
        <sz val="10"/>
        <rFont val="Noto Sans CJK SC"/>
        <family val="2"/>
      </rPr>
      <t xml:space="preserve">引發集體訴訟</t>
    </r>
  </si>
  <si>
    <t xml:space="preserve">stl.news</t>
  </si>
  <si>
    <t xml:space="preserve">9bd4780e71a5c017fed6bb8b</t>
  </si>
  <si>
    <t xml:space="preserve">Intercontinental Exchange</t>
  </si>
  <si>
    <t xml:space="preserve">Golda ice cream chain faces huge class action lawsuit, accused of falsely labeling flavors 'sugar-free'</t>
  </si>
  <si>
    <r>
      <rPr>
        <sz val="10"/>
        <rFont val="Arial"/>
        <family val="0"/>
        <charset val="1"/>
      </rPr>
      <t xml:space="preserve">Golda </t>
    </r>
    <r>
      <rPr>
        <sz val="10"/>
        <rFont val="Noto Sans CJK SC"/>
        <family val="2"/>
      </rPr>
      <t xml:space="preserve">冰淇淋連鎖店面臨巨額集體訴訟，被指控錯誤地將口味標記為“無糖”</t>
    </r>
  </si>
  <si>
    <t xml:space="preserve">The Times of Israel</t>
  </si>
  <si>
    <r>
      <rPr>
        <sz val="10"/>
        <rFont val="Noto Sans CJK SC"/>
        <family val="2"/>
      </rPr>
      <t xml:space="preserve">公司誤配（</t>
    </r>
    <r>
      <rPr>
        <sz val="10"/>
        <rFont val="Arial"/>
        <family val="0"/>
        <charset val="1"/>
      </rPr>
      <t xml:space="preserve">ICE </t>
    </r>
    <r>
      <rPr>
        <sz val="10"/>
        <rFont val="Noto Sans CJK SC"/>
        <family val="2"/>
      </rPr>
      <t xml:space="preserve">為移民海關執法局或冰淇淋店，非 </t>
    </r>
    <r>
      <rPr>
        <sz val="10"/>
        <rFont val="Arial"/>
        <family val="0"/>
        <charset val="1"/>
      </rPr>
      <t xml:space="preserve">Intercontinental Exchange</t>
    </r>
    <r>
      <rPr>
        <sz val="10"/>
        <rFont val="Noto Sans CJK SC"/>
        <family val="2"/>
      </rPr>
      <t xml:space="preserve">）。</t>
    </r>
  </si>
  <si>
    <t xml:space="preserve">1385c3fc0e96c3d1dad71de6</t>
  </si>
  <si>
    <t xml:space="preserve">Bronstein, Gewirtz &amp; Grossman LLC Urges Regeneron Pharmaceuticals, Inc. Investors to Act: Class Action Filed Alleging Investor Harm</t>
  </si>
  <si>
    <r>
      <rPr>
        <sz val="10"/>
        <rFont val="Arial"/>
        <family val="0"/>
        <charset val="1"/>
      </rPr>
      <t xml:space="preserve">Bronstein, Gewirtz &amp; Grossman LLC </t>
    </r>
    <r>
      <rPr>
        <sz val="10"/>
        <rFont val="Noto Sans CJK SC"/>
        <family val="2"/>
      </rPr>
      <t xml:space="preserve">敦促 </t>
    </r>
    <r>
      <rPr>
        <sz val="10"/>
        <rFont val="Arial"/>
        <family val="0"/>
        <charset val="1"/>
      </rPr>
      <t xml:space="preserve">Regeneron Pharmaceuticals, Inc. </t>
    </r>
    <r>
      <rPr>
        <sz val="10"/>
        <rFont val="Noto Sans CJK SC"/>
        <family val="2"/>
      </rPr>
      <t xml:space="preserve">投資者採取行動：提起集體訴訟，指控投資者受到傷害</t>
    </r>
  </si>
  <si>
    <t xml:space="preserve">lincolnjournal.com</t>
  </si>
  <si>
    <t xml:space="preserve">0ba4223e9b90d54e076400f3</t>
  </si>
  <si>
    <t xml:space="preserve">REGN INVESTOR ALERT: Bronstein, Gewirtz and Grossman, LLC Announces that Regeneron Pharmaceuticals, Inc. Stockholders with Losses Have Opportunity to Lead Class Action Lawsuit!</t>
  </si>
  <si>
    <r>
      <rPr>
        <sz val="10"/>
        <rFont val="Arial"/>
        <family val="0"/>
        <charset val="1"/>
      </rPr>
      <t xml:space="preserve">REGN </t>
    </r>
    <r>
      <rPr>
        <sz val="10"/>
        <rFont val="Noto Sans CJK SC"/>
        <family val="2"/>
      </rPr>
      <t xml:space="preserve">投資者提醒：</t>
    </r>
    <r>
      <rPr>
        <sz val="10"/>
        <rFont val="Arial"/>
        <family val="0"/>
        <charset val="1"/>
      </rPr>
      <t xml:space="preserve">Bronstein</t>
    </r>
    <r>
      <rPr>
        <sz val="10"/>
        <rFont val="Noto Sans CJK SC"/>
        <family val="2"/>
      </rPr>
      <t xml:space="preserve">、</t>
    </r>
    <r>
      <rPr>
        <sz val="10"/>
        <rFont val="Arial"/>
        <family val="0"/>
        <charset val="1"/>
      </rPr>
      <t xml:space="preserve">Gewirtz </t>
    </r>
    <r>
      <rPr>
        <sz val="10"/>
        <rFont val="Noto Sans CJK SC"/>
        <family val="2"/>
      </rPr>
      <t xml:space="preserve">和 </t>
    </r>
    <r>
      <rPr>
        <sz val="10"/>
        <rFont val="Arial"/>
        <family val="0"/>
        <charset val="1"/>
      </rPr>
      <t xml:space="preserve">Grossman, LLC </t>
    </r>
    <r>
      <rPr>
        <sz val="10"/>
        <rFont val="Noto Sans CJK SC"/>
        <family val="2"/>
      </rPr>
      <t xml:space="preserve">宣布，遭受損失的 </t>
    </r>
    <r>
      <rPr>
        <sz val="10"/>
        <rFont val="Arial"/>
        <family val="0"/>
        <charset val="1"/>
      </rPr>
      <t xml:space="preserve">Regeneron Pharmaceuticals, Inc. </t>
    </r>
    <r>
      <rPr>
        <sz val="10"/>
        <rFont val="Noto Sans CJK SC"/>
        <family val="2"/>
      </rPr>
      <t xml:space="preserve">股東有機會提起集體訴訟！</t>
    </r>
  </si>
  <si>
    <t xml:space="preserve">ACCESS Newswire</t>
  </si>
  <si>
    <t xml:space="preserve">516bad5d71db59bbb3a60a95</t>
  </si>
  <si>
    <t xml:space="preserve">META</t>
  </si>
  <si>
    <t xml:space="preserve">Meta Platforms, Inc.</t>
  </si>
  <si>
    <t xml:space="preserve">美國上訴法院駁回Meta等科技公司上訴，社媒成癮訴訟繼續推進</t>
  </si>
  <si>
    <r>
      <rPr>
        <sz val="10"/>
        <rFont val="Noto Sans CJK SC"/>
        <family val="2"/>
      </rPr>
      <t xml:space="preserve">美國上訴法院駁回</t>
    </r>
    <r>
      <rPr>
        <sz val="10"/>
        <rFont val="Arial"/>
        <family val="0"/>
        <charset val="1"/>
      </rPr>
      <t xml:space="preserve">Meta</t>
    </r>
    <r>
      <rPr>
        <sz val="10"/>
        <rFont val="Noto Sans CJK SC"/>
        <family val="2"/>
      </rPr>
      <t xml:space="preserve">等科技公司上訴，社媒成癮訴訟繼續推進</t>
    </r>
  </si>
  <si>
    <r>
      <rPr>
        <sz val="10"/>
        <rFont val="Noto Sans CJK SC"/>
        <family val="2"/>
      </rPr>
      <t xml:space="preserve">上訴法院駁回 </t>
    </r>
    <r>
      <rPr>
        <sz val="10"/>
        <rFont val="Arial"/>
        <family val="0"/>
        <charset val="1"/>
      </rPr>
      <t xml:space="preserve">Meta </t>
    </r>
    <r>
      <rPr>
        <sz val="10"/>
        <rFont val="Noto Sans CJK SC"/>
        <family val="2"/>
      </rPr>
      <t xml:space="preserve">等公司上訴，社群成癮訴訟繼續。</t>
    </r>
  </si>
  <si>
    <t xml:space="preserve">6066ee3eef19b4621286eeb3</t>
  </si>
  <si>
    <t xml:space="preserve">COF</t>
  </si>
  <si>
    <t xml:space="preserve">Capital One</t>
  </si>
  <si>
    <t xml:space="preserve">Würzburger Kickers - Schöne Momente Der Saison 2016/2017 Capital One Class Action Lawsuit (U0tmfL1BBM)</t>
  </si>
  <si>
    <r>
      <rPr>
        <sz val="10"/>
        <rFont val="Noto Sans CJK SC"/>
        <family val="2"/>
      </rPr>
      <t xml:space="preserve">維爾茨堡踢球者 </t>
    </r>
    <r>
      <rPr>
        <sz val="10"/>
        <rFont val="Arial"/>
        <family val="0"/>
        <charset val="1"/>
      </rPr>
      <t xml:space="preserve">- Schöne Momente Der Saison 2016/2017 </t>
    </r>
    <r>
      <rPr>
        <sz val="10"/>
        <rFont val="Noto Sans CJK SC"/>
        <family val="2"/>
      </rPr>
      <t xml:space="preserve">第一資本集體訴訟 </t>
    </r>
    <r>
      <rPr>
        <sz val="10"/>
        <rFont val="Arial"/>
        <family val="0"/>
        <charset val="1"/>
      </rPr>
      <t xml:space="preserve">(U0tmfL1BBM)</t>
    </r>
  </si>
  <si>
    <t xml:space="preserve">mshale.com</t>
  </si>
  <si>
    <r>
      <rPr>
        <sz val="10"/>
        <rFont val="Noto Sans CJK SC"/>
        <family val="2"/>
      </rPr>
      <t xml:space="preserve">亂碼垃圾標題（附帶 </t>
    </r>
    <r>
      <rPr>
        <sz val="10"/>
        <rFont val="Arial"/>
        <family val="0"/>
        <charset val="1"/>
      </rPr>
      <t xml:space="preserve">Capital One </t>
    </r>
    <r>
      <rPr>
        <sz val="10"/>
        <rFont val="Noto Sans CJK SC"/>
        <family val="2"/>
      </rPr>
      <t xml:space="preserve">集體訴訟關鍵字），不是真實新聞。</t>
    </r>
  </si>
  <si>
    <t xml:space="preserve">64b6507702719c09769d22a4</t>
  </si>
  <si>
    <t xml:space="preserve">COST</t>
  </si>
  <si>
    <t xml:space="preserve">Costco</t>
  </si>
  <si>
    <t xml:space="preserve">Costco Can't Shake Wash. Workers' Moonlighting Class Action</t>
  </si>
  <si>
    <r>
      <rPr>
        <sz val="10"/>
        <rFont val="Arial"/>
        <family val="0"/>
        <charset val="1"/>
      </rPr>
      <t xml:space="preserve">Costco </t>
    </r>
    <r>
      <rPr>
        <sz val="10"/>
        <rFont val="Noto Sans CJK SC"/>
        <family val="2"/>
      </rPr>
      <t xml:space="preserve">無法撼動華盛頓州工人兼職集體訴訟</t>
    </r>
  </si>
  <si>
    <t xml:space="preserve">消費者／勞資類集體訴訟，規模與性質屬一般訴訟，非重大訴訟。</t>
  </si>
  <si>
    <t xml:space="preserve">ab81d6e3b2672e93d803acec</t>
  </si>
  <si>
    <t xml:space="preserve">GDDY</t>
  </si>
  <si>
    <t xml:space="preserve">GoDaddy Inc. Class A Common Stock</t>
  </si>
  <si>
    <t xml:space="preserve">GoDaddy shareholders may join a class action ov...</t>
  </si>
  <si>
    <r>
      <rPr>
        <sz val="10"/>
        <rFont val="Arial"/>
        <family val="0"/>
        <charset val="1"/>
      </rPr>
      <t xml:space="preserve">GoDaddy </t>
    </r>
    <r>
      <rPr>
        <sz val="10"/>
        <rFont val="Noto Sans CJK SC"/>
        <family val="2"/>
      </rPr>
      <t xml:space="preserve">股東可能會參加集體訴訟</t>
    </r>
    <r>
      <rPr>
        <sz val="10"/>
        <rFont val="Arial"/>
        <family val="0"/>
        <charset val="1"/>
      </rPr>
      <t xml:space="preserve">...</t>
    </r>
  </si>
  <si>
    <t xml:space="preserve">Pluang</t>
  </si>
  <si>
    <r>
      <rPr>
        <sz val="10"/>
        <rFont val="Arial"/>
        <family val="0"/>
        <charset val="1"/>
      </rPr>
      <t xml:space="preserve">GoDaddy </t>
    </r>
    <r>
      <rPr>
        <sz val="10"/>
        <rFont val="Noto Sans CJK SC"/>
        <family val="2"/>
      </rPr>
      <t xml:space="preserve">股東可加入證券集體訴訟。</t>
    </r>
  </si>
  <si>
    <t xml:space="preserve">f90444af6020bb4e4870a01e</t>
  </si>
  <si>
    <t xml:space="preserve">Rosen Law Firm Encourages GoDaddy Inc. Investors to Inquire About Securities Class Action Investigation - GDDY</t>
  </si>
  <si>
    <r>
      <rPr>
        <sz val="10"/>
        <rFont val="Arial"/>
        <family val="0"/>
        <charset val="1"/>
      </rPr>
      <t xml:space="preserve">Rosen </t>
    </r>
    <r>
      <rPr>
        <sz val="10"/>
        <rFont val="Noto Sans CJK SC"/>
        <family val="2"/>
      </rPr>
      <t xml:space="preserve">律師事務所鼓勵 </t>
    </r>
    <r>
      <rPr>
        <sz val="10"/>
        <rFont val="Arial"/>
        <family val="0"/>
        <charset val="1"/>
      </rPr>
      <t xml:space="preserve">GoDaddy Inc. </t>
    </r>
    <r>
      <rPr>
        <sz val="10"/>
        <rFont val="Noto Sans CJK SC"/>
        <family val="2"/>
      </rPr>
      <t xml:space="preserve">投資者詢問證券集體訴訟調查 </t>
    </r>
    <r>
      <rPr>
        <sz val="10"/>
        <rFont val="Arial"/>
        <family val="0"/>
        <charset val="1"/>
      </rPr>
      <t xml:space="preserve">- GDDY</t>
    </r>
  </si>
  <si>
    <r>
      <rPr>
        <sz val="10"/>
        <rFont val="Noto Sans CJK SC"/>
        <family val="2"/>
      </rPr>
      <t xml:space="preserve">律所對 </t>
    </r>
    <r>
      <rPr>
        <sz val="10"/>
        <rFont val="Arial"/>
        <family val="0"/>
        <charset val="1"/>
      </rPr>
      <t xml:space="preserve">GoDaddy </t>
    </r>
    <r>
      <rPr>
        <sz val="10"/>
        <rFont val="Noto Sans CJK SC"/>
        <family val="2"/>
      </rPr>
      <t xml:space="preserve">的「調查」公告，尚未確認是否已提起訴訟。</t>
    </r>
  </si>
  <si>
    <t xml:space="preserve">f94afb8821bae1418329a688</t>
  </si>
  <si>
    <t xml:space="preserve">Portnoy Law Firm Announces Class Action on Behalf of Pentair plc Investors</t>
  </si>
  <si>
    <r>
      <rPr>
        <sz val="10"/>
        <rFont val="Arial"/>
        <family val="0"/>
        <charset val="1"/>
      </rPr>
      <t xml:space="preserve">Portnoy </t>
    </r>
    <r>
      <rPr>
        <sz val="10"/>
        <rFont val="Noto Sans CJK SC"/>
        <family val="2"/>
      </rPr>
      <t xml:space="preserve">律師事務所宣布代表 </t>
    </r>
    <r>
      <rPr>
        <sz val="10"/>
        <rFont val="Arial"/>
        <family val="0"/>
        <charset val="1"/>
      </rPr>
      <t xml:space="preserve">Pentair plc </t>
    </r>
    <r>
      <rPr>
        <sz val="10"/>
        <rFont val="Noto Sans CJK SC"/>
        <family val="2"/>
      </rPr>
      <t xml:space="preserve">投資者提起集體訴訟</t>
    </r>
  </si>
  <si>
    <t xml:space="preserve">mymalonetelegram.com</t>
  </si>
  <si>
    <t xml:space="preserve">d498685a1216a2cae2b1285f</t>
  </si>
  <si>
    <t xml:space="preserve">Attorney General Bonta Celebrates Yet Another Court Order Denying Meta’s Attempt to Evade Responsibility, Get Out of Trial - State of California</t>
  </si>
  <si>
    <r>
      <rPr>
        <sz val="10"/>
        <rFont val="Noto Sans CJK SC"/>
        <family val="2"/>
      </rPr>
      <t xml:space="preserve">司法部長邦塔慶祝另一項法院命令，駁回 </t>
    </r>
    <r>
      <rPr>
        <sz val="10"/>
        <rFont val="Arial"/>
        <family val="0"/>
        <charset val="1"/>
      </rPr>
      <t xml:space="preserve">Meta </t>
    </r>
    <r>
      <rPr>
        <sz val="10"/>
        <rFont val="Noto Sans CJK SC"/>
        <family val="2"/>
      </rPr>
      <t xml:space="preserve">逃避責任、免於審判的企圖 </t>
    </r>
    <r>
      <rPr>
        <sz val="10"/>
        <rFont val="Arial"/>
        <family val="0"/>
        <charset val="1"/>
      </rPr>
      <t xml:space="preserve">- </t>
    </r>
    <r>
      <rPr>
        <sz val="10"/>
        <rFont val="Noto Sans CJK SC"/>
        <family val="2"/>
      </rPr>
      <t xml:space="preserve">加州</t>
    </r>
  </si>
  <si>
    <t xml:space="preserve">State of California - Department of Justice (.gov)</t>
  </si>
  <si>
    <r>
      <rPr>
        <sz val="10"/>
        <rFont val="Noto Sans CJK SC"/>
        <family val="2"/>
      </rPr>
      <t xml:space="preserve">加州／北卡檢察長對 </t>
    </r>
    <r>
      <rPr>
        <sz val="10"/>
        <rFont val="Arial"/>
        <family val="0"/>
        <charset val="1"/>
      </rPr>
      <t xml:space="preserve">Meta </t>
    </r>
    <r>
      <rPr>
        <sz val="10"/>
        <rFont val="Noto Sans CJK SC"/>
        <family val="2"/>
      </rPr>
      <t xml:space="preserve">的社群成癮訴訟，法院裁定不利 </t>
    </r>
    <r>
      <rPr>
        <sz val="10"/>
        <rFont val="Arial"/>
        <family val="0"/>
        <charset val="1"/>
      </rPr>
      <t xml:space="preserve">Meta</t>
    </r>
    <r>
      <rPr>
        <sz val="10"/>
        <rFont val="Noto Sans CJK SC"/>
        <family val="2"/>
      </rPr>
      <t xml:space="preserve">、審判在即。</t>
    </r>
  </si>
  <si>
    <t xml:space="preserve">e74a52381ae7d0f2d693c56e</t>
  </si>
  <si>
    <t xml:space="preserve">APPROACHING DEADLINE ALERT: Intuit Inc. (INTU) Securities Fraud Class Action Lawsuit Filed; September 8, 2026, Lead Plaintiff Deadline</t>
  </si>
  <si>
    <r>
      <rPr>
        <sz val="10"/>
        <rFont val="Noto Sans CJK SC"/>
        <family val="2"/>
      </rPr>
      <t xml:space="preserve">截止日期臨近：</t>
    </r>
    <r>
      <rPr>
        <sz val="10"/>
        <rFont val="Arial"/>
        <family val="0"/>
        <charset val="1"/>
      </rPr>
      <t xml:space="preserve">Intuit Inc. (INTU) </t>
    </r>
    <r>
      <rPr>
        <sz val="10"/>
        <rFont val="Noto Sans CJK SC"/>
        <family val="2"/>
      </rPr>
      <t xml:space="preserve">提起證券詐欺集體訴訟； </t>
    </r>
    <r>
      <rPr>
        <sz val="10"/>
        <rFont val="Arial"/>
        <family val="0"/>
        <charset val="1"/>
      </rPr>
      <t xml:space="preserve">2026 </t>
    </r>
    <r>
      <rPr>
        <sz val="10"/>
        <rFont val="Noto Sans CJK SC"/>
        <family val="2"/>
      </rPr>
      <t xml:space="preserve">年 </t>
    </r>
    <r>
      <rPr>
        <sz val="10"/>
        <rFont val="Arial"/>
        <family val="0"/>
        <charset val="1"/>
      </rPr>
      <t xml:space="preserve">9 </t>
    </r>
    <r>
      <rPr>
        <sz val="10"/>
        <rFont val="Noto Sans CJK SC"/>
        <family val="2"/>
      </rPr>
      <t xml:space="preserve">月 </t>
    </r>
    <r>
      <rPr>
        <sz val="10"/>
        <rFont val="Arial"/>
        <family val="0"/>
        <charset val="1"/>
      </rPr>
      <t xml:space="preserve">8 </t>
    </r>
    <r>
      <rPr>
        <sz val="10"/>
        <rFont val="Noto Sans CJK SC"/>
        <family val="2"/>
      </rPr>
      <t xml:space="preserve">日，首席原告截止日期</t>
    </r>
  </si>
  <si>
    <t xml:space="preserve">7e64fd4a3ff0fb86d81b66b4</t>
  </si>
  <si>
    <t xml:space="preserve">Aaron Judge Gives Update On Recovery From Wall Crash Injury Capital One Class Action Lawsuit (SsaJkcS6Nu)</t>
  </si>
  <si>
    <r>
      <rPr>
        <sz val="10"/>
        <rFont val="Noto Sans CJK SC"/>
        <family val="2"/>
      </rPr>
      <t xml:space="preserve">亞倫法官提供了從牆壁碰撞傷害中恢復的最新第一資本集體訴訟 </t>
    </r>
    <r>
      <rPr>
        <sz val="10"/>
        <rFont val="Arial"/>
        <family val="0"/>
        <charset val="1"/>
      </rPr>
      <t xml:space="preserve">(SsaJkcS6Nu)</t>
    </r>
  </si>
  <si>
    <t xml:space="preserve">d14978455212332b90250c51</t>
  </si>
  <si>
    <t xml:space="preserve">KeyCorp</t>
  </si>
  <si>
    <t xml:space="preserve">Todd Blanche Sworn In—These Key Trump Loyalty Tests Await New Attorney General</t>
  </si>
  <si>
    <r>
      <rPr>
        <sz val="10"/>
        <rFont val="Noto Sans CJK SC"/>
        <family val="2"/>
      </rPr>
      <t xml:space="preserve">托德</t>
    </r>
    <r>
      <rPr>
        <sz val="10"/>
        <rFont val="Arial"/>
        <family val="0"/>
        <charset val="1"/>
      </rPr>
      <t xml:space="preserve">·</t>
    </r>
    <r>
      <rPr>
        <sz val="10"/>
        <rFont val="Noto Sans CJK SC"/>
        <family val="2"/>
      </rPr>
      <t xml:space="preserve">布蘭奇宣誓就職——這些關鍵的川普忠誠度測試等待新任司法部長</t>
    </r>
  </si>
  <si>
    <t xml:space="preserve">Forbes</t>
  </si>
  <si>
    <r>
      <rPr>
        <sz val="10"/>
        <rFont val="Noto Sans CJK SC"/>
        <family val="2"/>
      </rPr>
      <t xml:space="preserve">與 </t>
    </r>
    <r>
      <rPr>
        <sz val="10"/>
        <rFont val="Arial"/>
        <family val="0"/>
        <charset val="1"/>
      </rPr>
      <t xml:space="preserve">KeyCorp</t>
    </r>
    <r>
      <rPr>
        <sz val="10"/>
        <rFont val="Noto Sans CJK SC"/>
        <family val="2"/>
      </rPr>
      <t xml:space="preserve">／</t>
    </r>
    <r>
      <rPr>
        <sz val="10"/>
        <rFont val="Arial"/>
        <family val="0"/>
        <charset val="1"/>
      </rPr>
      <t xml:space="preserve">Steris </t>
    </r>
    <r>
      <rPr>
        <sz val="10"/>
        <rFont val="Noto Sans CJK SC"/>
        <family val="2"/>
      </rPr>
      <t xml:space="preserve">無關的政治新聞。</t>
    </r>
  </si>
  <si>
    <t xml:space="preserve">8ffec13f944ca4371b3a9e2d</t>
  </si>
  <si>
    <t xml:space="preserve">CVS class action claims toddler wipes falsely labeled as hypoallergenic</t>
  </si>
  <si>
    <r>
      <rPr>
        <sz val="10"/>
        <rFont val="Arial"/>
        <family val="0"/>
        <charset val="1"/>
      </rPr>
      <t xml:space="preserve">CVS </t>
    </r>
    <r>
      <rPr>
        <sz val="10"/>
        <rFont val="Noto Sans CJK SC"/>
        <family val="2"/>
      </rPr>
      <t xml:space="preserve">集體訴訟聲稱幼兒濕紙巾被錯誤地標記為低過敏性</t>
    </r>
  </si>
  <si>
    <t xml:space="preserve">Top Class Actions</t>
  </si>
  <si>
    <t xml:space="preserve">abbb45af9eb25d9ed68bbd71</t>
  </si>
  <si>
    <t xml:space="preserve">Bronstein, Gewirtz &amp; Grossman LLC Urges Pentair plc Investors to Act: Class Action Filed Alleging Investor Harm</t>
  </si>
  <si>
    <r>
      <rPr>
        <sz val="10"/>
        <rFont val="Arial"/>
        <family val="0"/>
        <charset val="1"/>
      </rPr>
      <t xml:space="preserve">Bronstein, Gewirtz &amp; Grossman LLC </t>
    </r>
    <r>
      <rPr>
        <sz val="10"/>
        <rFont val="Noto Sans CJK SC"/>
        <family val="2"/>
      </rPr>
      <t xml:space="preserve">敦促 </t>
    </r>
    <r>
      <rPr>
        <sz val="10"/>
        <rFont val="Arial"/>
        <family val="0"/>
        <charset val="1"/>
      </rPr>
      <t xml:space="preserve">Pentair plc </t>
    </r>
    <r>
      <rPr>
        <sz val="10"/>
        <rFont val="Noto Sans CJK SC"/>
        <family val="2"/>
      </rPr>
      <t xml:space="preserve">投資者採取行動：提起集體訴訟，指控投資者受到傷害</t>
    </r>
  </si>
  <si>
    <t xml:space="preserve">b66f8e0b4899895ab73acb9a</t>
  </si>
  <si>
    <t xml:space="preserve">Bronstein, Gewirtz &amp; Grossman LLC Urges First Solar, Inc. Investors to Act: Class Action Filed Alleging Investor Harm</t>
  </si>
  <si>
    <r>
      <rPr>
        <sz val="10"/>
        <rFont val="Arial"/>
        <family val="0"/>
        <charset val="1"/>
      </rPr>
      <t xml:space="preserve">Bronstein, Gewirtz &amp; Grossman LLC </t>
    </r>
    <r>
      <rPr>
        <sz val="10"/>
        <rFont val="Noto Sans CJK SC"/>
        <family val="2"/>
      </rPr>
      <t xml:space="preserve">敦促 </t>
    </r>
    <r>
      <rPr>
        <sz val="10"/>
        <rFont val="Arial"/>
        <family val="0"/>
        <charset val="1"/>
      </rPr>
      <t xml:space="preserve">First Solar, Inc. </t>
    </r>
    <r>
      <rPr>
        <sz val="10"/>
        <rFont val="Noto Sans CJK SC"/>
        <family val="2"/>
      </rPr>
      <t xml:space="preserve">投資者採取行動：提起集體訴訟，指控投資者受到傷害</t>
    </r>
  </si>
  <si>
    <t xml:space="preserve">GlobeNewswire</t>
  </si>
  <si>
    <t xml:space="preserve">606aba1359cb2b50049d3c33</t>
  </si>
  <si>
    <t xml:space="preserve">2026-08-12</t>
  </si>
  <si>
    <t xml:space="preserve">REGN DEADLINE: Levi &amp; Korsinsky Reminds Regeneron Pharmaceuticals, Inc. Investors of Upcoming Securities Class Action Deadline</t>
  </si>
  <si>
    <r>
      <rPr>
        <sz val="10"/>
        <rFont val="Arial"/>
        <family val="0"/>
        <charset val="1"/>
      </rPr>
      <t xml:space="preserve">REGN </t>
    </r>
    <r>
      <rPr>
        <sz val="10"/>
        <rFont val="Noto Sans CJK SC"/>
        <family val="2"/>
      </rPr>
      <t xml:space="preserve">截止日期：</t>
    </r>
    <r>
      <rPr>
        <sz val="10"/>
        <rFont val="Arial"/>
        <family val="0"/>
        <charset val="1"/>
      </rPr>
      <t xml:space="preserve">Levi &amp; Korsinsky </t>
    </r>
    <r>
      <rPr>
        <sz val="10"/>
        <rFont val="Noto Sans CJK SC"/>
        <family val="2"/>
      </rPr>
      <t xml:space="preserve">提醒 </t>
    </r>
    <r>
      <rPr>
        <sz val="10"/>
        <rFont val="Arial"/>
        <family val="0"/>
        <charset val="1"/>
      </rPr>
      <t xml:space="preserve">Regeneron Pharmaceuticals, Inc. </t>
    </r>
    <r>
      <rPr>
        <sz val="10"/>
        <rFont val="Noto Sans CJK SC"/>
        <family val="2"/>
      </rPr>
      <t xml:space="preserve">投資者即將到來的證券集體訴訟截止日期</t>
    </r>
  </si>
  <si>
    <t xml:space="preserve">cb20e1124967a161734650a8</t>
  </si>
  <si>
    <t xml:space="preserve">INTU Investor Alert: Intuit Inc. Securities Class Action Notice - Contact Levi &amp; Korsinsky</t>
  </si>
  <si>
    <r>
      <rPr>
        <sz val="10"/>
        <rFont val="Arial"/>
        <family val="0"/>
        <charset val="1"/>
      </rPr>
      <t xml:space="preserve">INTU </t>
    </r>
    <r>
      <rPr>
        <sz val="10"/>
        <rFont val="Noto Sans CJK SC"/>
        <family val="2"/>
      </rPr>
      <t xml:space="preserve">投資者提醒：</t>
    </r>
    <r>
      <rPr>
        <sz val="10"/>
        <rFont val="Arial"/>
        <family val="0"/>
        <charset val="1"/>
      </rPr>
      <t xml:space="preserve">Intuit Inc. </t>
    </r>
    <r>
      <rPr>
        <sz val="10"/>
        <rFont val="Noto Sans CJK SC"/>
        <family val="2"/>
      </rPr>
      <t xml:space="preserve">證券集體訴訟通知 </t>
    </r>
    <r>
      <rPr>
        <sz val="10"/>
        <rFont val="Arial"/>
        <family val="0"/>
        <charset val="1"/>
      </rPr>
      <t xml:space="preserve">- </t>
    </r>
    <r>
      <rPr>
        <sz val="10"/>
        <rFont val="Noto Sans CJK SC"/>
        <family val="2"/>
      </rPr>
      <t xml:space="preserve">聯絡 </t>
    </r>
    <r>
      <rPr>
        <sz val="10"/>
        <rFont val="Arial"/>
        <family val="0"/>
        <charset val="1"/>
      </rPr>
      <t xml:space="preserve">Levi &amp; Korsinsky</t>
    </r>
  </si>
  <si>
    <t xml:space="preserve">3d599e7687bec6655f555d22</t>
  </si>
  <si>
    <t xml:space="preserve">VZ</t>
  </si>
  <si>
    <t xml:space="preserve">Verizon</t>
  </si>
  <si>
    <t xml:space="preserve">Verizon retailer Victra faces two class action lawsuits over data breach</t>
  </si>
  <si>
    <r>
      <rPr>
        <sz val="10"/>
        <rFont val="Arial"/>
        <family val="0"/>
        <charset val="1"/>
      </rPr>
      <t xml:space="preserve">Verizon </t>
    </r>
    <r>
      <rPr>
        <sz val="10"/>
        <rFont val="Noto Sans CJK SC"/>
        <family val="2"/>
      </rPr>
      <t xml:space="preserve">零售商 </t>
    </r>
    <r>
      <rPr>
        <sz val="10"/>
        <rFont val="Arial"/>
        <family val="0"/>
        <charset val="1"/>
      </rPr>
      <t xml:space="preserve">Victra </t>
    </r>
    <r>
      <rPr>
        <sz val="10"/>
        <rFont val="Noto Sans CJK SC"/>
        <family val="2"/>
      </rPr>
      <t xml:space="preserve">因資料外洩面臨兩起集體訴訟</t>
    </r>
  </si>
  <si>
    <t xml:space="preserve">DATA_BREACH</t>
  </si>
  <si>
    <r>
      <rPr>
        <sz val="10"/>
        <rFont val="Arial"/>
        <family val="0"/>
        <charset val="1"/>
      </rPr>
      <t xml:space="preserve">Verizon </t>
    </r>
    <r>
      <rPr>
        <sz val="10"/>
        <rFont val="Noto Sans CJK SC"/>
        <family val="2"/>
      </rPr>
      <t xml:space="preserve">經銷商 </t>
    </r>
    <r>
      <rPr>
        <sz val="10"/>
        <rFont val="Arial"/>
        <family val="0"/>
        <charset val="1"/>
      </rPr>
      <t xml:space="preserve">Victra </t>
    </r>
    <r>
      <rPr>
        <sz val="10"/>
        <rFont val="Noto Sans CJK SC"/>
        <family val="2"/>
      </rPr>
      <t xml:space="preserve">因資料外洩面臨兩起集體訴訟，事件本質為資料外洩。</t>
    </r>
  </si>
  <si>
    <t xml:space="preserve">07509b43e2cb28a3d64dc288</t>
  </si>
  <si>
    <t xml:space="preserve">INVESTOR ALERT: Pomerantz Law Firm Reminds Investors with Losses on their Investment in Regeneron Pharmaceuticals, Inc. of Class Action Lawsuit and Upcoming Deadlines - REGN</t>
  </si>
  <si>
    <r>
      <rPr>
        <sz val="10"/>
        <rFont val="Noto Sans CJK SC"/>
        <family val="2"/>
      </rPr>
      <t xml:space="preserve">投資者警報：</t>
    </r>
    <r>
      <rPr>
        <sz val="10"/>
        <rFont val="Arial"/>
        <family val="0"/>
        <charset val="1"/>
      </rPr>
      <t xml:space="preserve">Pomerantz </t>
    </r>
    <r>
      <rPr>
        <sz val="10"/>
        <rFont val="Noto Sans CJK SC"/>
        <family val="2"/>
      </rPr>
      <t xml:space="preserve">律師事務所提醒因投資 </t>
    </r>
    <r>
      <rPr>
        <sz val="10"/>
        <rFont val="Arial"/>
        <family val="0"/>
        <charset val="1"/>
      </rPr>
      <t xml:space="preserve">Regeneron Pharmaceuticals, Inc. </t>
    </r>
    <r>
      <rPr>
        <sz val="10"/>
        <rFont val="Noto Sans CJK SC"/>
        <family val="2"/>
      </rPr>
      <t xml:space="preserve">遭受損失的投資者集體訴訟和即將到來的截止日期 </t>
    </r>
    <r>
      <rPr>
        <sz val="10"/>
        <rFont val="Arial"/>
        <family val="0"/>
        <charset val="1"/>
      </rPr>
      <t xml:space="preserve">- REGN</t>
    </r>
  </si>
  <si>
    <t xml:space="preserve">d48eb91def4f14b22fac3bc2</t>
  </si>
  <si>
    <t xml:space="preserve">Kroger class action alleges ‘No Preservatives’ labels are false</t>
  </si>
  <si>
    <t xml:space="preserve">克羅格集體訴訟稱「不含防腐劑」標籤是虛假的</t>
  </si>
  <si>
    <t xml:space="preserve">7d1abc49ed6fb5766b544202</t>
  </si>
  <si>
    <t xml:space="preserve">Paramount Skydance Corporation</t>
  </si>
  <si>
    <t xml:space="preserve">派拉蒙考慮出售CNN以解決12州反壟斷訴訟</t>
  </si>
  <si>
    <r>
      <rPr>
        <sz val="10"/>
        <rFont val="Noto Sans CJK SC"/>
        <family val="2"/>
      </rPr>
      <t xml:space="preserve">派拉蒙考慮出售</t>
    </r>
    <r>
      <rPr>
        <sz val="10"/>
        <rFont val="Arial"/>
        <family val="0"/>
        <charset val="1"/>
      </rPr>
      <t xml:space="preserve">CNN</t>
    </r>
    <r>
      <rPr>
        <sz val="10"/>
        <rFont val="Noto Sans CJK SC"/>
        <family val="2"/>
      </rPr>
      <t xml:space="preserve">以解決</t>
    </r>
    <r>
      <rPr>
        <sz val="10"/>
        <rFont val="Arial"/>
        <family val="0"/>
        <charset val="1"/>
      </rPr>
      <t xml:space="preserve">12</t>
    </r>
    <r>
      <rPr>
        <sz val="10"/>
        <rFont val="Noto Sans CJK SC"/>
        <family val="2"/>
      </rPr>
      <t xml:space="preserve">州反壟斷訴訟</t>
    </r>
  </si>
  <si>
    <r>
      <rPr>
        <sz val="10"/>
        <rFont val="Noto Sans CJK SC"/>
        <family val="2"/>
      </rPr>
      <t xml:space="preserve">派拉蒙考慮出售 </t>
    </r>
    <r>
      <rPr>
        <sz val="10"/>
        <rFont val="Arial"/>
        <family val="0"/>
        <charset val="1"/>
      </rPr>
      <t xml:space="preserve">CNN </t>
    </r>
    <r>
      <rPr>
        <sz val="10"/>
        <rFont val="Noto Sans CJK SC"/>
        <family val="2"/>
      </rPr>
      <t xml:space="preserve">以化解 </t>
    </r>
    <r>
      <rPr>
        <sz val="10"/>
        <rFont val="Arial"/>
        <family val="0"/>
        <charset val="1"/>
      </rPr>
      <t xml:space="preserve">12 </t>
    </r>
    <r>
      <rPr>
        <sz val="10"/>
        <rFont val="Noto Sans CJK SC"/>
        <family val="2"/>
      </rPr>
      <t xml:space="preserve">州反壟斷訴訟。</t>
    </r>
  </si>
  <si>
    <t xml:space="preserve">PSKY</t>
  </si>
  <si>
    <t xml:space="preserve">a3ac9ab0fb3928c97bf27f11</t>
  </si>
  <si>
    <t xml:space="preserve">ac9eb76b90e70272f95a2366</t>
  </si>
  <si>
    <t xml:space="preserve">REGN Stockholders May Be Entitled to Lead the Class Action</t>
  </si>
  <si>
    <r>
      <rPr>
        <sz val="10"/>
        <rFont val="Arial"/>
        <family val="0"/>
        <charset val="1"/>
      </rPr>
      <t xml:space="preserve">REGN </t>
    </r>
    <r>
      <rPr>
        <sz val="10"/>
        <rFont val="Noto Sans CJK SC"/>
        <family val="2"/>
      </rPr>
      <t xml:space="preserve">股東可能有權主導集體訴訟</t>
    </r>
  </si>
  <si>
    <t xml:space="preserve">942c6ebe4330f2a7980d9172</t>
  </si>
  <si>
    <t xml:space="preserve">DAL</t>
  </si>
  <si>
    <t xml:space="preserve">Delta Air Lines, Inc. Common Stock</t>
  </si>
  <si>
    <t xml:space="preserve">Federal judge certifies class action in Delta Air Lines pilots’ military pay lawsuit</t>
  </si>
  <si>
    <t xml:space="preserve">聯邦法官批准達美航空飛行員軍餉訴訟中的集體訴訟</t>
  </si>
  <si>
    <t xml:space="preserve">Atlanta News First</t>
  </si>
  <si>
    <t xml:space="preserve">達美航空飛行員軍職薪資集體訴訟獲法院認證；金額未知。</t>
  </si>
  <si>
    <t xml:space="preserve">b50b9f9e1bf5390488787b1b</t>
  </si>
  <si>
    <t xml:space="preserve">Capital One class action alleges late-night debt collection calls violated Florida law</t>
  </si>
  <si>
    <t xml:space="preserve">第一資本集團集體訴訟稱深夜追債電話違反了佛羅裡達州法律</t>
  </si>
  <si>
    <t xml:space="preserve">4544df079c31d85a6afc9da6</t>
  </si>
  <si>
    <t xml:space="preserve">The Gross Law Firm Reminds Regeneron Pharmaceuticals, Inc. Investors of the Pending Class Action Lawsuit With a Lead Plaintiff Deadline of September 14, 2026 - REGN</t>
  </si>
  <si>
    <r>
      <rPr>
        <sz val="10"/>
        <rFont val="Arial"/>
        <family val="0"/>
        <charset val="1"/>
      </rPr>
      <t xml:space="preserve">Gross </t>
    </r>
    <r>
      <rPr>
        <sz val="10"/>
        <rFont val="Noto Sans CJK SC"/>
        <family val="2"/>
      </rPr>
      <t xml:space="preserve">律師事務所提醒 </t>
    </r>
    <r>
      <rPr>
        <sz val="10"/>
        <rFont val="Arial"/>
        <family val="0"/>
        <charset val="1"/>
      </rPr>
      <t xml:space="preserve">Regeneron Pharmaceuticals, Inc. </t>
    </r>
    <r>
      <rPr>
        <sz val="10"/>
        <rFont val="Noto Sans CJK SC"/>
        <family val="2"/>
      </rPr>
      <t xml:space="preserve">投資者註意未決集體訴訟，主要原告截止日期為 </t>
    </r>
    <r>
      <rPr>
        <sz val="10"/>
        <rFont val="Arial"/>
        <family val="0"/>
        <charset val="1"/>
      </rPr>
      <t xml:space="preserve">2026 </t>
    </r>
    <r>
      <rPr>
        <sz val="10"/>
        <rFont val="Noto Sans CJK SC"/>
        <family val="2"/>
      </rPr>
      <t xml:space="preserve">年 </t>
    </r>
    <r>
      <rPr>
        <sz val="10"/>
        <rFont val="Arial"/>
        <family val="0"/>
        <charset val="1"/>
      </rPr>
      <t xml:space="preserve">9 </t>
    </r>
    <r>
      <rPr>
        <sz val="10"/>
        <rFont val="Noto Sans CJK SC"/>
        <family val="2"/>
      </rPr>
      <t xml:space="preserve">月 </t>
    </r>
    <r>
      <rPr>
        <sz val="10"/>
        <rFont val="Arial"/>
        <family val="0"/>
        <charset val="1"/>
      </rPr>
      <t xml:space="preserve">14 </t>
    </r>
    <r>
      <rPr>
        <sz val="10"/>
        <rFont val="Noto Sans CJK SC"/>
        <family val="2"/>
      </rPr>
      <t xml:space="preserve">日 </t>
    </r>
    <r>
      <rPr>
        <sz val="10"/>
        <rFont val="Arial"/>
        <family val="0"/>
        <charset val="1"/>
      </rPr>
      <t xml:space="preserve">- REGN</t>
    </r>
  </si>
  <si>
    <t xml:space="preserve">WBOC TV</t>
  </si>
  <si>
    <t xml:space="preserve">057d0563c5f2e41e4b3249bf</t>
  </si>
  <si>
    <t xml:space="preserve">Pentair plc (NYSE: PNR) Investors: October 2, 2026 Deadline in Securities Fraud Class Action – Contact Kessler Topaz Meltzer &amp; Check, LLP</t>
  </si>
  <si>
    <r>
      <rPr>
        <sz val="10"/>
        <rFont val="Arial"/>
        <family val="0"/>
        <charset val="1"/>
      </rPr>
      <t xml:space="preserve">Pentair plc</t>
    </r>
    <r>
      <rPr>
        <sz val="10"/>
        <rFont val="Noto Sans CJK SC"/>
        <family val="2"/>
      </rPr>
      <t xml:space="preserve">（</t>
    </r>
    <r>
      <rPr>
        <sz val="10"/>
        <rFont val="Arial"/>
        <family val="0"/>
        <charset val="1"/>
      </rPr>
      <t xml:space="preserve">NYSE</t>
    </r>
    <r>
      <rPr>
        <sz val="10"/>
        <rFont val="Noto Sans CJK SC"/>
        <family val="2"/>
      </rPr>
      <t xml:space="preserve">：</t>
    </r>
    <r>
      <rPr>
        <sz val="10"/>
        <rFont val="Arial"/>
        <family val="0"/>
        <charset val="1"/>
      </rPr>
      <t xml:space="preserve">PNR</t>
    </r>
    <r>
      <rPr>
        <sz val="10"/>
        <rFont val="Noto Sans CJK SC"/>
        <family val="2"/>
      </rPr>
      <t xml:space="preserve">）投資者：證券詐欺集體訴訟截止日期為 </t>
    </r>
    <r>
      <rPr>
        <sz val="10"/>
        <rFont val="Arial"/>
        <family val="0"/>
        <charset val="1"/>
      </rPr>
      <t xml:space="preserve">2026 </t>
    </r>
    <r>
      <rPr>
        <sz val="10"/>
        <rFont val="Noto Sans CJK SC"/>
        <family val="2"/>
      </rPr>
      <t xml:space="preserve">年 </t>
    </r>
    <r>
      <rPr>
        <sz val="10"/>
        <rFont val="Arial"/>
        <family val="0"/>
        <charset val="1"/>
      </rPr>
      <t xml:space="preserve">10 </t>
    </r>
    <r>
      <rPr>
        <sz val="10"/>
        <rFont val="Noto Sans CJK SC"/>
        <family val="2"/>
      </rPr>
      <t xml:space="preserve">月 </t>
    </r>
    <r>
      <rPr>
        <sz val="10"/>
        <rFont val="Arial"/>
        <family val="0"/>
        <charset val="1"/>
      </rPr>
      <t xml:space="preserve">2 </t>
    </r>
    <r>
      <rPr>
        <sz val="10"/>
        <rFont val="Noto Sans CJK SC"/>
        <family val="2"/>
      </rPr>
      <t xml:space="preserve">日 – 聯絡 </t>
    </r>
    <r>
      <rPr>
        <sz val="10"/>
        <rFont val="Arial"/>
        <family val="0"/>
        <charset val="1"/>
      </rPr>
      <t xml:space="preserve">Kessler Topaz Meltzer &amp; Check, LLP</t>
    </r>
  </si>
  <si>
    <t xml:space="preserve">31ff835a0c76531203988206</t>
  </si>
  <si>
    <t xml:space="preserve">DUK</t>
  </si>
  <si>
    <t xml:space="preserve">Duke Energy</t>
  </si>
  <si>
    <t xml:space="preserve">Duke Energy rate increase | NC attorney general challenges rate hike figure: 'Details matter'</t>
  </si>
  <si>
    <r>
      <rPr>
        <sz val="10"/>
        <rFont val="Noto Sans CJK SC"/>
        <family val="2"/>
      </rPr>
      <t xml:space="preserve">杜克能源公司加息</t>
    </r>
    <r>
      <rPr>
        <sz val="10"/>
        <rFont val="Arial"/>
        <family val="0"/>
        <charset val="1"/>
      </rPr>
      <t xml:space="preserve">|</t>
    </r>
    <r>
      <rPr>
        <sz val="10"/>
        <rFont val="Noto Sans CJK SC"/>
        <family val="2"/>
      </rPr>
      <t xml:space="preserve">北卡羅來納州總檢察長質疑加息數字：“細節很重要”</t>
    </r>
  </si>
  <si>
    <t xml:space="preserve">ABC11 News</t>
  </si>
  <si>
    <t xml:space="preserve">州檢察長質疑電價調漲幅度，不是訴訟或裁罰。</t>
  </si>
  <si>
    <t xml:space="preserve">731fdfb6733f64aa61dc111f</t>
  </si>
  <si>
    <t xml:space="preserve">INTU INVESTOR DEADLINE: Intuit Inc. Investors with Substantial Losses Have Opportunity to Lead Class Action Lawsuit Before September 8, 2026 Deadline</t>
  </si>
  <si>
    <r>
      <rPr>
        <sz val="10"/>
        <rFont val="Arial"/>
        <family val="0"/>
        <charset val="1"/>
      </rPr>
      <t xml:space="preserve">INTU </t>
    </r>
    <r>
      <rPr>
        <sz val="10"/>
        <rFont val="Noto Sans CJK SC"/>
        <family val="2"/>
      </rPr>
      <t xml:space="preserve">投資者截止日期：遭受重大損失的 </t>
    </r>
    <r>
      <rPr>
        <sz val="10"/>
        <rFont val="Arial"/>
        <family val="0"/>
        <charset val="1"/>
      </rPr>
      <t xml:space="preserve">Intuit Inc. </t>
    </r>
    <r>
      <rPr>
        <sz val="10"/>
        <rFont val="Noto Sans CJK SC"/>
        <family val="2"/>
      </rPr>
      <t xml:space="preserve">投資者有機會在 </t>
    </r>
    <r>
      <rPr>
        <sz val="10"/>
        <rFont val="Arial"/>
        <family val="0"/>
        <charset val="1"/>
      </rPr>
      <t xml:space="preserve">2026 </t>
    </r>
    <r>
      <rPr>
        <sz val="10"/>
        <rFont val="Noto Sans CJK SC"/>
        <family val="2"/>
      </rPr>
      <t xml:space="preserve">年 </t>
    </r>
    <r>
      <rPr>
        <sz val="10"/>
        <rFont val="Arial"/>
        <family val="0"/>
        <charset val="1"/>
      </rPr>
      <t xml:space="preserve">9 </t>
    </r>
    <r>
      <rPr>
        <sz val="10"/>
        <rFont val="Noto Sans CJK SC"/>
        <family val="2"/>
      </rPr>
      <t xml:space="preserve">月 </t>
    </r>
    <r>
      <rPr>
        <sz val="10"/>
        <rFont val="Arial"/>
        <family val="0"/>
        <charset val="1"/>
      </rPr>
      <t xml:space="preserve">8 </t>
    </r>
    <r>
      <rPr>
        <sz val="10"/>
        <rFont val="Noto Sans CJK SC"/>
        <family val="2"/>
      </rPr>
      <t xml:space="preserve">日截止日期之前提起集體訴訟</t>
    </r>
  </si>
  <si>
    <t xml:space="preserve">3b9907dd75ec02ba40934135</t>
  </si>
  <si>
    <t xml:space="preserve">Boeing</t>
  </si>
  <si>
    <t xml:space="preserve">波音董事贏得737 MAX艙門脱落相關訴訟</t>
  </si>
  <si>
    <r>
      <rPr>
        <sz val="10"/>
        <rFont val="Noto Sans CJK SC"/>
        <family val="2"/>
      </rPr>
      <t xml:space="preserve">波音董事贏得</t>
    </r>
    <r>
      <rPr>
        <sz val="10"/>
        <rFont val="Arial"/>
        <family val="0"/>
        <charset val="1"/>
      </rPr>
      <t xml:space="preserve">737 MAX</t>
    </r>
    <r>
      <rPr>
        <sz val="10"/>
        <rFont val="Noto Sans CJK SC"/>
        <family val="2"/>
      </rPr>
      <t xml:space="preserve">艙門脱落相關訴訟</t>
    </r>
  </si>
  <si>
    <r>
      <rPr>
        <sz val="10"/>
        <rFont val="Noto Sans CJK SC"/>
        <family val="2"/>
      </rPr>
      <t xml:space="preserve">波音董事贏得 </t>
    </r>
    <r>
      <rPr>
        <sz val="10"/>
        <rFont val="Arial"/>
        <family val="0"/>
        <charset val="1"/>
      </rPr>
      <t xml:space="preserve">737 MAX </t>
    </r>
    <r>
      <rPr>
        <sz val="10"/>
        <rFont val="Noto Sans CJK SC"/>
        <family val="2"/>
      </rPr>
      <t xml:space="preserve">艙門脫落相關訴訟（股東衍生訴訟）。</t>
    </r>
  </si>
  <si>
    <t xml:space="preserve">BA</t>
  </si>
  <si>
    <t xml:space="preserve">b3f929e1d89563e58c5cb72a</t>
  </si>
  <si>
    <t xml:space="preserve">REGN INVESTOR ALERT: Bronstein, Gewirtz and Grossman, LLC Announces that Regeneron Pharmaceuticals, Inc. Investors Have Opportunity to Lead Class Action Lawsuit!</t>
  </si>
  <si>
    <r>
      <rPr>
        <sz val="10"/>
        <rFont val="Arial"/>
        <family val="0"/>
        <charset val="1"/>
      </rPr>
      <t xml:space="preserve">REGN </t>
    </r>
    <r>
      <rPr>
        <sz val="10"/>
        <rFont val="Noto Sans CJK SC"/>
        <family val="2"/>
      </rPr>
      <t xml:space="preserve">投資者提醒：</t>
    </r>
    <r>
      <rPr>
        <sz val="10"/>
        <rFont val="Arial"/>
        <family val="0"/>
        <charset val="1"/>
      </rPr>
      <t xml:space="preserve">Bronstein</t>
    </r>
    <r>
      <rPr>
        <sz val="10"/>
        <rFont val="Noto Sans CJK SC"/>
        <family val="2"/>
      </rPr>
      <t xml:space="preserve">、</t>
    </r>
    <r>
      <rPr>
        <sz val="10"/>
        <rFont val="Arial"/>
        <family val="0"/>
        <charset val="1"/>
      </rPr>
      <t xml:space="preserve">Gewirtz </t>
    </r>
    <r>
      <rPr>
        <sz val="10"/>
        <rFont val="Noto Sans CJK SC"/>
        <family val="2"/>
      </rPr>
      <t xml:space="preserve">和 </t>
    </r>
    <r>
      <rPr>
        <sz val="10"/>
        <rFont val="Arial"/>
        <family val="0"/>
        <charset val="1"/>
      </rPr>
      <t xml:space="preserve">Grossman, LLC </t>
    </r>
    <r>
      <rPr>
        <sz val="10"/>
        <rFont val="Noto Sans CJK SC"/>
        <family val="2"/>
      </rPr>
      <t xml:space="preserve">宣布 </t>
    </r>
    <r>
      <rPr>
        <sz val="10"/>
        <rFont val="Arial"/>
        <family val="0"/>
        <charset val="1"/>
      </rPr>
      <t xml:space="preserve">Regeneron Pharmaceuticals, Inc. </t>
    </r>
    <r>
      <rPr>
        <sz val="10"/>
        <rFont val="Noto Sans CJK SC"/>
        <family val="2"/>
      </rPr>
      <t xml:space="preserve">投資者有機會提起集體訴訟！</t>
    </r>
  </si>
  <si>
    <t xml:space="preserve">accessnewswire.com</t>
  </si>
  <si>
    <t xml:space="preserve">e2d16013d86f22e2971d8cb4</t>
  </si>
  <si>
    <t xml:space="preserve">Attorney general says Duke Energy Progress customers could see 9.3% rate increase</t>
  </si>
  <si>
    <r>
      <rPr>
        <sz val="10"/>
        <rFont val="Noto Sans CJK SC"/>
        <family val="2"/>
      </rPr>
      <t xml:space="preserve">總檢察長表示，杜克能源進步公司的客戶可能會看到費率上漲 </t>
    </r>
    <r>
      <rPr>
        <sz val="10"/>
        <rFont val="Arial"/>
        <family val="0"/>
        <charset val="1"/>
      </rPr>
      <t xml:space="preserve">9.3%</t>
    </r>
  </si>
  <si>
    <t xml:space="preserve">WITN</t>
  </si>
  <si>
    <t xml:space="preserve">67332d7d7834a5cf6f17b37b</t>
  </si>
  <si>
    <t xml:space="preserve">REGN Shareholder Alert: Regeneron Pharmaceuticals, Inc. Securities Class Action Lawsuit - Investors Should Contact SueWallSt</t>
  </si>
  <si>
    <r>
      <rPr>
        <sz val="10"/>
        <rFont val="Arial"/>
        <family val="0"/>
        <charset val="1"/>
      </rPr>
      <t xml:space="preserve">REGN </t>
    </r>
    <r>
      <rPr>
        <sz val="10"/>
        <rFont val="Noto Sans CJK SC"/>
        <family val="2"/>
      </rPr>
      <t xml:space="preserve">股東提醒：</t>
    </r>
    <r>
      <rPr>
        <sz val="10"/>
        <rFont val="Arial"/>
        <family val="0"/>
        <charset val="1"/>
      </rPr>
      <t xml:space="preserve">Regeneron Pharmaceuticals, Inc. </t>
    </r>
    <r>
      <rPr>
        <sz val="10"/>
        <rFont val="Noto Sans CJK SC"/>
        <family val="2"/>
      </rPr>
      <t xml:space="preserve">證券集體訴訟 </t>
    </r>
    <r>
      <rPr>
        <sz val="10"/>
        <rFont val="Arial"/>
        <family val="0"/>
        <charset val="1"/>
      </rPr>
      <t xml:space="preserve">- </t>
    </r>
    <r>
      <rPr>
        <sz val="10"/>
        <rFont val="Noto Sans CJK SC"/>
        <family val="2"/>
      </rPr>
      <t xml:space="preserve">投資者應聯絡 </t>
    </r>
    <r>
      <rPr>
        <sz val="10"/>
        <rFont val="Arial"/>
        <family val="0"/>
        <charset val="1"/>
      </rPr>
      <t xml:space="preserve">SueWallSt</t>
    </r>
  </si>
  <si>
    <t xml:space="preserve">22865be225c70462c3034c24</t>
  </si>
  <si>
    <t xml:space="preserve">INTU Shareholder Alert: September 8, 2026 Lead Plaintiff Deadline in Intuit Inc. Securities Class Action - Contact SueWallSt</t>
  </si>
  <si>
    <r>
      <rPr>
        <sz val="10"/>
        <rFont val="Arial"/>
        <family val="0"/>
        <charset val="1"/>
      </rPr>
      <t xml:space="preserve">INTU </t>
    </r>
    <r>
      <rPr>
        <sz val="10"/>
        <rFont val="Noto Sans CJK SC"/>
        <family val="2"/>
      </rPr>
      <t xml:space="preserve">股東提醒：</t>
    </r>
    <r>
      <rPr>
        <sz val="10"/>
        <rFont val="Arial"/>
        <family val="0"/>
        <charset val="1"/>
      </rPr>
      <t xml:space="preserve">2026 </t>
    </r>
    <r>
      <rPr>
        <sz val="10"/>
        <rFont val="Noto Sans CJK SC"/>
        <family val="2"/>
      </rPr>
      <t xml:space="preserve">年 </t>
    </r>
    <r>
      <rPr>
        <sz val="10"/>
        <rFont val="Arial"/>
        <family val="0"/>
        <charset val="1"/>
      </rPr>
      <t xml:space="preserve">9 </t>
    </r>
    <r>
      <rPr>
        <sz val="10"/>
        <rFont val="Noto Sans CJK SC"/>
        <family val="2"/>
      </rPr>
      <t xml:space="preserve">月 </t>
    </r>
    <r>
      <rPr>
        <sz val="10"/>
        <rFont val="Arial"/>
        <family val="0"/>
        <charset val="1"/>
      </rPr>
      <t xml:space="preserve">8 </t>
    </r>
    <r>
      <rPr>
        <sz val="10"/>
        <rFont val="Noto Sans CJK SC"/>
        <family val="2"/>
      </rPr>
      <t xml:space="preserve">日 </t>
    </r>
    <r>
      <rPr>
        <sz val="10"/>
        <rFont val="Arial"/>
        <family val="0"/>
        <charset val="1"/>
      </rPr>
      <t xml:space="preserve">Intuit Inc. </t>
    </r>
    <r>
      <rPr>
        <sz val="10"/>
        <rFont val="Noto Sans CJK SC"/>
        <family val="2"/>
      </rPr>
      <t xml:space="preserve">證券集體訴訟首席原告截止日期 </t>
    </r>
    <r>
      <rPr>
        <sz val="10"/>
        <rFont val="Arial"/>
        <family val="0"/>
        <charset val="1"/>
      </rPr>
      <t xml:space="preserve">- </t>
    </r>
    <r>
      <rPr>
        <sz val="10"/>
        <rFont val="Noto Sans CJK SC"/>
        <family val="2"/>
      </rPr>
      <t xml:space="preserve">聯絡 </t>
    </r>
    <r>
      <rPr>
        <sz val="10"/>
        <rFont val="Arial"/>
        <family val="0"/>
        <charset val="1"/>
      </rPr>
      <t xml:space="preserve">SueWallSt</t>
    </r>
  </si>
  <si>
    <t xml:space="preserve">44e4669002c68dfa7a66ad64</t>
  </si>
  <si>
    <t xml:space="preserve">SPRY Slides As CVS Caremark Delay Triggers Class Action Hit</t>
  </si>
  <si>
    <r>
      <rPr>
        <sz val="10"/>
        <rFont val="Arial"/>
        <family val="0"/>
        <charset val="1"/>
      </rPr>
      <t xml:space="preserve">CVS Caremark </t>
    </r>
    <r>
      <rPr>
        <sz val="10"/>
        <rFont val="Noto Sans CJK SC"/>
        <family val="2"/>
      </rPr>
      <t xml:space="preserve">延遲引發集體訴訟，</t>
    </r>
    <r>
      <rPr>
        <sz val="10"/>
        <rFont val="Arial"/>
        <family val="0"/>
        <charset val="1"/>
      </rPr>
      <t xml:space="preserve">SPRY </t>
    </r>
    <r>
      <rPr>
        <sz val="10"/>
        <rFont val="Noto Sans CJK SC"/>
        <family val="2"/>
      </rPr>
      <t xml:space="preserve">下滑</t>
    </r>
  </si>
  <si>
    <t xml:space="preserve">timothysykes.com</t>
  </si>
  <si>
    <r>
      <rPr>
        <sz val="10"/>
        <rFont val="Arial"/>
        <family val="0"/>
        <charset val="1"/>
      </rPr>
      <t xml:space="preserve">SPRY </t>
    </r>
    <r>
      <rPr>
        <sz val="10"/>
        <rFont val="Noto Sans CJK SC"/>
        <family val="2"/>
      </rPr>
      <t xml:space="preserve">股價因 </t>
    </r>
    <r>
      <rPr>
        <sz val="10"/>
        <rFont val="Arial"/>
        <family val="0"/>
        <charset val="1"/>
      </rPr>
      <t xml:space="preserve">CVS Caremark </t>
    </r>
    <r>
      <rPr>
        <sz val="10"/>
        <rFont val="Noto Sans CJK SC"/>
        <family val="2"/>
      </rPr>
      <t xml:space="preserve">延遲被集體訴訟，主體是 </t>
    </r>
    <r>
      <rPr>
        <sz val="10"/>
        <rFont val="Arial"/>
        <family val="0"/>
        <charset val="1"/>
      </rPr>
      <t xml:space="preserve">ARS Pharma</t>
    </r>
    <r>
      <rPr>
        <sz val="10"/>
        <rFont val="Noto Sans CJK SC"/>
        <family val="2"/>
      </rPr>
      <t xml:space="preserve">，非 </t>
    </r>
    <r>
      <rPr>
        <sz val="10"/>
        <rFont val="Arial"/>
        <family val="0"/>
        <charset val="1"/>
      </rPr>
      <t xml:space="preserve">CVS</t>
    </r>
    <r>
      <rPr>
        <sz val="10"/>
        <rFont val="Noto Sans CJK SC"/>
        <family val="2"/>
      </rPr>
      <t xml:space="preserve">。</t>
    </r>
  </si>
  <si>
    <t xml:space="preserve">bd2b7ccd251b6bce8181f20d</t>
  </si>
  <si>
    <t xml:space="preserve">INVESTOR ALERT: Pomerantz Law Firm Reminds Investors with Losses on their Investment in Regeneron Pharmaceuticals, Inc. of Class Action Lawsuit and Upcoming Deadlines – REGN</t>
  </si>
  <si>
    <r>
      <rPr>
        <sz val="10"/>
        <rFont val="Noto Sans CJK SC"/>
        <family val="2"/>
      </rPr>
      <t xml:space="preserve">投資者警報：</t>
    </r>
    <r>
      <rPr>
        <sz val="10"/>
        <rFont val="Arial"/>
        <family val="0"/>
        <charset val="1"/>
      </rPr>
      <t xml:space="preserve">Pomerantz </t>
    </r>
    <r>
      <rPr>
        <sz val="10"/>
        <rFont val="Noto Sans CJK SC"/>
        <family val="2"/>
      </rPr>
      <t xml:space="preserve">律師事務所提醒因投資 </t>
    </r>
    <r>
      <rPr>
        <sz val="10"/>
        <rFont val="Arial"/>
        <family val="0"/>
        <charset val="1"/>
      </rPr>
      <t xml:space="preserve">Regeneron Pharmaceuticals, Inc. </t>
    </r>
    <r>
      <rPr>
        <sz val="10"/>
        <rFont val="Noto Sans CJK SC"/>
        <family val="2"/>
      </rPr>
      <t xml:space="preserve">遭受損失的投資者集體訴訟和即將到來的截止日期 – </t>
    </r>
    <r>
      <rPr>
        <sz val="10"/>
        <rFont val="Arial"/>
        <family val="0"/>
        <charset val="1"/>
      </rPr>
      <t xml:space="preserve">REGN</t>
    </r>
  </si>
  <si>
    <t xml:space="preserve">FinancialContent</t>
  </si>
  <si>
    <t xml:space="preserve">88dce9620803a274d37e6ba4</t>
  </si>
  <si>
    <t xml:space="preserve">Pomerantz Law Firm Announces the Filing of a Class Action Against First Solar, Inc. and Certain Officers – FSLR</t>
  </si>
  <si>
    <r>
      <rPr>
        <sz val="10"/>
        <rFont val="Arial"/>
        <family val="0"/>
        <charset val="1"/>
      </rPr>
      <t xml:space="preserve">Pomerantz </t>
    </r>
    <r>
      <rPr>
        <sz val="10"/>
        <rFont val="Noto Sans CJK SC"/>
        <family val="2"/>
      </rPr>
      <t xml:space="preserve">律師事務所宣布對 </t>
    </r>
    <r>
      <rPr>
        <sz val="10"/>
        <rFont val="Arial"/>
        <family val="0"/>
        <charset val="1"/>
      </rPr>
      <t xml:space="preserve">First Solar, Inc. </t>
    </r>
    <r>
      <rPr>
        <sz val="10"/>
        <rFont val="Noto Sans CJK SC"/>
        <family val="2"/>
      </rPr>
      <t xml:space="preserve">和部分管理人員提起集體訴訟 – </t>
    </r>
    <r>
      <rPr>
        <sz val="10"/>
        <rFont val="Arial"/>
        <family val="0"/>
        <charset val="1"/>
      </rPr>
      <t xml:space="preserve">FSLR</t>
    </r>
  </si>
  <si>
    <t xml:space="preserve">a7c9236d29b29e45ba8730c9</t>
  </si>
  <si>
    <t xml:space="preserve">Micron Technology</t>
  </si>
  <si>
    <t xml:space="preserve">美法官駁回長江存儲指控美光散布虛假言論的訴訟</t>
  </si>
  <si>
    <t xml:space="preserve">美法官駁回長江指控美光散播涉嫌的訴訟</t>
  </si>
  <si>
    <t xml:space="preserve">法官駁回長江存儲對美光的指控，美光勝訴，事件對美光為正面。</t>
  </si>
  <si>
    <t xml:space="preserve">f77c4c4ce8e106e85dc603da</t>
  </si>
  <si>
    <t xml:space="preserve">PNR Alert: Hagens Berman Notifies Pentair plc (NYSE: PNR) Investors of Expanded Class Period in New Securities Class Action Lawsuit and Upcoming Lead Plaintiff Deadline</t>
  </si>
  <si>
    <r>
      <rPr>
        <sz val="10"/>
        <rFont val="Arial"/>
        <family val="0"/>
        <charset val="1"/>
      </rPr>
      <t xml:space="preserve">PNR </t>
    </r>
    <r>
      <rPr>
        <sz val="10"/>
        <rFont val="Noto Sans CJK SC"/>
        <family val="2"/>
      </rPr>
      <t xml:space="preserve">警報：</t>
    </r>
    <r>
      <rPr>
        <sz val="10"/>
        <rFont val="Arial"/>
        <family val="0"/>
        <charset val="1"/>
      </rPr>
      <t xml:space="preserve">Hagens Berman </t>
    </r>
    <r>
      <rPr>
        <sz val="10"/>
        <rFont val="Noto Sans CJK SC"/>
        <family val="2"/>
      </rPr>
      <t xml:space="preserve">通知 </t>
    </r>
    <r>
      <rPr>
        <sz val="10"/>
        <rFont val="Arial"/>
        <family val="0"/>
        <charset val="1"/>
      </rPr>
      <t xml:space="preserve">Pentair plc</t>
    </r>
    <r>
      <rPr>
        <sz val="10"/>
        <rFont val="Noto Sans CJK SC"/>
        <family val="2"/>
      </rPr>
      <t xml:space="preserve">（</t>
    </r>
    <r>
      <rPr>
        <sz val="10"/>
        <rFont val="Arial"/>
        <family val="0"/>
        <charset val="1"/>
      </rPr>
      <t xml:space="preserve">NYSE</t>
    </r>
    <r>
      <rPr>
        <sz val="10"/>
        <rFont val="Noto Sans CJK SC"/>
        <family val="2"/>
      </rPr>
      <t xml:space="preserve">：</t>
    </r>
    <r>
      <rPr>
        <sz val="10"/>
        <rFont val="Arial"/>
        <family val="0"/>
        <charset val="1"/>
      </rPr>
      <t xml:space="preserve">PNR</t>
    </r>
    <r>
      <rPr>
        <sz val="10"/>
        <rFont val="Noto Sans CJK SC"/>
        <family val="2"/>
      </rPr>
      <t xml:space="preserve">）投資者新證券集體訴訟的集體訴訟期限已延長，且首席原告截止日期即將到來</t>
    </r>
  </si>
  <si>
    <t xml:space="preserve">e383e1ec6967003c4dd50486</t>
  </si>
  <si>
    <t xml:space="preserve">亞馬遜恢復具有約束力的仲裁，禁止集體訴訟</t>
  </si>
  <si>
    <t xml:space="preserve">亞馬遜恢復強制仲裁條款，屬政策調整，不是訴訟事件。</t>
  </si>
  <si>
    <t xml:space="preserve">f098b4f44eb261c2d1e7bcad</t>
  </si>
  <si>
    <t xml:space="preserve">EXPANDED CLASS PERIOD - Law Offices of Frank R. Cruz Encourages Pentair plc (PNR) Shareholders To Inquire About Securities Fraud Class Action</t>
  </si>
  <si>
    <r>
      <rPr>
        <sz val="10"/>
        <rFont val="Noto Sans CJK SC"/>
        <family val="2"/>
      </rPr>
      <t xml:space="preserve">延長集體訴訟期限 </t>
    </r>
    <r>
      <rPr>
        <sz val="10"/>
        <rFont val="Arial"/>
        <family val="0"/>
        <charset val="1"/>
      </rPr>
      <t xml:space="preserve">- Frank R. Cruz </t>
    </r>
    <r>
      <rPr>
        <sz val="10"/>
        <rFont val="Noto Sans CJK SC"/>
        <family val="2"/>
      </rPr>
      <t xml:space="preserve">律師事務所鼓勵 </t>
    </r>
    <r>
      <rPr>
        <sz val="10"/>
        <rFont val="Arial"/>
        <family val="0"/>
        <charset val="1"/>
      </rPr>
      <t xml:space="preserve">Pentair plc (PNR) </t>
    </r>
    <r>
      <rPr>
        <sz val="10"/>
        <rFont val="Noto Sans CJK SC"/>
        <family val="2"/>
      </rPr>
      <t xml:space="preserve">股東詢問有關證券詐欺集體訴訟的情況</t>
    </r>
  </si>
  <si>
    <t xml:space="preserve">1cf84168c856e441c1e85131</t>
  </si>
  <si>
    <t xml:space="preserve">AppLovin</t>
  </si>
  <si>
    <t xml:space="preserve">Apple class action alleges App Store failed to stop fake crypto wallet app</t>
  </si>
  <si>
    <r>
      <rPr>
        <sz val="10"/>
        <rFont val="Noto Sans CJK SC"/>
        <family val="2"/>
      </rPr>
      <t xml:space="preserve">蘋果集體訴訟稱 </t>
    </r>
    <r>
      <rPr>
        <sz val="10"/>
        <rFont val="Arial"/>
        <family val="0"/>
        <charset val="1"/>
      </rPr>
      <t xml:space="preserve">App Store </t>
    </r>
    <r>
      <rPr>
        <sz val="10"/>
        <rFont val="Noto Sans CJK SC"/>
        <family val="2"/>
      </rPr>
      <t xml:space="preserve">未能阻止假加密錢包應用</t>
    </r>
  </si>
  <si>
    <r>
      <rPr>
        <sz val="10"/>
        <rFont val="Noto Sans CJK SC"/>
        <family val="2"/>
      </rPr>
      <t xml:space="preserve">公司歸屬為 </t>
    </r>
    <r>
      <rPr>
        <sz val="10"/>
        <rFont val="Arial"/>
        <family val="0"/>
        <charset val="1"/>
      </rPr>
      <t xml:space="preserve">AppLovin</t>
    </r>
    <r>
      <rPr>
        <sz val="10"/>
        <rFont val="Noto Sans CJK SC"/>
        <family val="2"/>
      </rPr>
      <t xml:space="preserve">，但內容是 </t>
    </r>
    <r>
      <rPr>
        <sz val="10"/>
        <rFont val="Arial"/>
        <family val="0"/>
        <charset val="1"/>
      </rPr>
      <t xml:space="preserve">Apple App Store </t>
    </r>
    <r>
      <rPr>
        <sz val="10"/>
        <rFont val="Noto Sans CJK SC"/>
        <family val="2"/>
      </rPr>
      <t xml:space="preserve">的消費者集體訴訟，屬一般消費者訴訟。</t>
    </r>
  </si>
  <si>
    <t xml:space="preserve">aa8d349543d6d4f10250c2a2</t>
  </si>
  <si>
    <t xml:space="preserve">FSLR Stockholders Have Opportunity to Lead First Solar, Inc. Class Action Lawsuit – Contact Bronstein, Gewirtz and Grossman, LLC Today!</t>
  </si>
  <si>
    <r>
      <rPr>
        <sz val="10"/>
        <rFont val="Arial"/>
        <family val="0"/>
        <charset val="1"/>
      </rPr>
      <t xml:space="preserve">FSLR </t>
    </r>
    <r>
      <rPr>
        <sz val="10"/>
        <rFont val="Noto Sans CJK SC"/>
        <family val="2"/>
      </rPr>
      <t xml:space="preserve">股東有機會領導 </t>
    </r>
    <r>
      <rPr>
        <sz val="10"/>
        <rFont val="Arial"/>
        <family val="0"/>
        <charset val="1"/>
      </rPr>
      <t xml:space="preserve">First Solar, Inc. </t>
    </r>
    <r>
      <rPr>
        <sz val="10"/>
        <rFont val="Noto Sans CJK SC"/>
        <family val="2"/>
      </rPr>
      <t xml:space="preserve">集體訴訟 – 立即聯繫 </t>
    </r>
    <r>
      <rPr>
        <sz val="10"/>
        <rFont val="Arial"/>
        <family val="0"/>
        <charset val="1"/>
      </rPr>
      <t xml:space="preserve">Bronstein</t>
    </r>
    <r>
      <rPr>
        <sz val="10"/>
        <rFont val="Noto Sans CJK SC"/>
        <family val="2"/>
      </rPr>
      <t xml:space="preserve">、</t>
    </r>
    <r>
      <rPr>
        <sz val="10"/>
        <rFont val="Arial"/>
        <family val="0"/>
        <charset val="1"/>
      </rPr>
      <t xml:space="preserve">Gewirtz </t>
    </r>
    <r>
      <rPr>
        <sz val="10"/>
        <rFont val="Noto Sans CJK SC"/>
        <family val="2"/>
      </rPr>
      <t xml:space="preserve">和 </t>
    </r>
    <r>
      <rPr>
        <sz val="10"/>
        <rFont val="Arial"/>
        <family val="0"/>
        <charset val="1"/>
      </rPr>
      <t xml:space="preserve">Grossman, LLC</t>
    </r>
    <r>
      <rPr>
        <sz val="10"/>
        <rFont val="Noto Sans CJK SC"/>
        <family val="2"/>
      </rPr>
      <t xml:space="preserve">！</t>
    </r>
  </si>
  <si>
    <t xml:space="preserve">d4cfd68254a8e4063b3c0497</t>
  </si>
  <si>
    <t xml:space="preserve">Steris</t>
  </si>
  <si>
    <t xml:space="preserve">Republican Doug Lloyd visits Sault Ste. Marie to campaign for Michigan Attorney General</t>
  </si>
  <si>
    <r>
      <rPr>
        <sz val="10"/>
        <rFont val="Noto Sans CJK SC"/>
        <family val="2"/>
      </rPr>
      <t xml:space="preserve">共和黨人道格</t>
    </r>
    <r>
      <rPr>
        <sz val="10"/>
        <rFont val="Arial"/>
        <family val="0"/>
        <charset val="1"/>
      </rPr>
      <t xml:space="preserve">·</t>
    </r>
    <r>
      <rPr>
        <sz val="10"/>
        <rFont val="Noto Sans CJK SC"/>
        <family val="2"/>
      </rPr>
      <t xml:space="preserve">勞埃德訪問蘇聖瑪麗瑪麗競選密西根州總檢察長</t>
    </r>
  </si>
  <si>
    <t xml:space="preserve">Sault Michigan News</t>
  </si>
  <si>
    <t xml:space="preserve">9c374c95c390f3941ad6b230</t>
  </si>
  <si>
    <t xml:space="preserve">APPROACHING DEADLINE ALERT: Intuit Inc. (INTU) Investors: September 8, 2026, Filing Deadline in Securities Fraud Class Action - Contact Kessler Topaz Meltzer &amp; Check, LLP</t>
  </si>
  <si>
    <r>
      <rPr>
        <sz val="10"/>
        <rFont val="Noto Sans CJK SC"/>
        <family val="2"/>
      </rPr>
      <t xml:space="preserve">接近截止日期警報：</t>
    </r>
    <r>
      <rPr>
        <sz val="10"/>
        <rFont val="Arial"/>
        <family val="0"/>
        <charset val="1"/>
      </rPr>
      <t xml:space="preserve">Intuit Inc. (INTU) </t>
    </r>
    <r>
      <rPr>
        <sz val="10"/>
        <rFont val="Noto Sans CJK SC"/>
        <family val="2"/>
      </rPr>
      <t xml:space="preserve">投資者：</t>
    </r>
    <r>
      <rPr>
        <sz val="10"/>
        <rFont val="Arial"/>
        <family val="0"/>
        <charset val="1"/>
      </rPr>
      <t xml:space="preserve">2026 </t>
    </r>
    <r>
      <rPr>
        <sz val="10"/>
        <rFont val="Noto Sans CJK SC"/>
        <family val="2"/>
      </rPr>
      <t xml:space="preserve">年 </t>
    </r>
    <r>
      <rPr>
        <sz val="10"/>
        <rFont val="Arial"/>
        <family val="0"/>
        <charset val="1"/>
      </rPr>
      <t xml:space="preserve">9 </t>
    </r>
    <r>
      <rPr>
        <sz val="10"/>
        <rFont val="Noto Sans CJK SC"/>
        <family val="2"/>
      </rPr>
      <t xml:space="preserve">月 </t>
    </r>
    <r>
      <rPr>
        <sz val="10"/>
        <rFont val="Arial"/>
        <family val="0"/>
        <charset val="1"/>
      </rPr>
      <t xml:space="preserve">8 </t>
    </r>
    <r>
      <rPr>
        <sz val="10"/>
        <rFont val="Noto Sans CJK SC"/>
        <family val="2"/>
      </rPr>
      <t xml:space="preserve">日，證券詐欺集體訴訟提交截止日期 </t>
    </r>
    <r>
      <rPr>
        <sz val="10"/>
        <rFont val="Arial"/>
        <family val="0"/>
        <charset val="1"/>
      </rPr>
      <t xml:space="preserve">- </t>
    </r>
    <r>
      <rPr>
        <sz val="10"/>
        <rFont val="Noto Sans CJK SC"/>
        <family val="2"/>
      </rPr>
      <t xml:space="preserve">聯絡 </t>
    </r>
    <r>
      <rPr>
        <sz val="10"/>
        <rFont val="Arial"/>
        <family val="0"/>
        <charset val="1"/>
      </rPr>
      <t xml:space="preserve">Kessler Topaz Meltzer &amp; Check, LLP</t>
    </r>
  </si>
  <si>
    <t xml:space="preserve">441dc5808e35da8e78e9fce1</t>
  </si>
  <si>
    <t xml:space="preserve">Boy George - Radio Interview (3 Jul 26) Capital One Class Action Lawsuit (61jGcnyHu9)</t>
  </si>
  <si>
    <r>
      <rPr>
        <sz val="10"/>
        <rFont val="Arial"/>
        <family val="0"/>
        <charset val="1"/>
      </rPr>
      <t xml:space="preserve">Boy George - </t>
    </r>
    <r>
      <rPr>
        <sz val="10"/>
        <rFont val="Noto Sans CJK SC"/>
        <family val="2"/>
      </rPr>
      <t xml:space="preserve">電台訪談（</t>
    </r>
    <r>
      <rPr>
        <sz val="10"/>
        <rFont val="Arial"/>
        <family val="0"/>
        <charset val="1"/>
      </rPr>
      <t xml:space="preserve">26 </t>
    </r>
    <r>
      <rPr>
        <sz val="10"/>
        <rFont val="Noto Sans CJK SC"/>
        <family val="2"/>
      </rPr>
      <t xml:space="preserve">年 </t>
    </r>
    <r>
      <rPr>
        <sz val="10"/>
        <rFont val="Arial"/>
        <family val="0"/>
        <charset val="1"/>
      </rPr>
      <t xml:space="preserve">7 </t>
    </r>
    <r>
      <rPr>
        <sz val="10"/>
        <rFont val="Noto Sans CJK SC"/>
        <family val="2"/>
      </rPr>
      <t xml:space="preserve">月 </t>
    </r>
    <r>
      <rPr>
        <sz val="10"/>
        <rFont val="Arial"/>
        <family val="0"/>
        <charset val="1"/>
      </rPr>
      <t xml:space="preserve">3 </t>
    </r>
    <r>
      <rPr>
        <sz val="10"/>
        <rFont val="Noto Sans CJK SC"/>
        <family val="2"/>
      </rPr>
      <t xml:space="preserve">日）第一資本集體訴訟 </t>
    </r>
    <r>
      <rPr>
        <sz val="10"/>
        <rFont val="Arial"/>
        <family val="0"/>
        <charset val="1"/>
      </rPr>
      <t xml:space="preserve">(61jGcnyHu9)</t>
    </r>
  </si>
  <si>
    <t xml:space="preserve">Mshale</t>
  </si>
  <si>
    <t xml:space="preserve">23143c5a5dd4c31fa03783dd</t>
  </si>
  <si>
    <t xml:space="preserve">PODD</t>
  </si>
  <si>
    <t xml:space="preserve">Insulet Corporation</t>
  </si>
  <si>
    <t xml:space="preserve">PODD UPCOMING DEADLINE: Faruqi &amp; Faruqi, LLP Reminds Insulet (PODD) Investors of Securities Class Action Lawsuit Deadline on August 31, 2026</t>
  </si>
  <si>
    <r>
      <rPr>
        <sz val="10"/>
        <rFont val="Arial"/>
        <family val="0"/>
        <charset val="1"/>
      </rPr>
      <t xml:space="preserve">PODD </t>
    </r>
    <r>
      <rPr>
        <sz val="10"/>
        <rFont val="Noto Sans CJK SC"/>
        <family val="2"/>
      </rPr>
      <t xml:space="preserve">截止日期即將到來：</t>
    </r>
    <r>
      <rPr>
        <sz val="10"/>
        <rFont val="Arial"/>
        <family val="0"/>
        <charset val="1"/>
      </rPr>
      <t xml:space="preserve">Faruqi &amp; Faruqi, LLP </t>
    </r>
    <r>
      <rPr>
        <sz val="10"/>
        <rFont val="Noto Sans CJK SC"/>
        <family val="2"/>
      </rPr>
      <t xml:space="preserve">提醒 </t>
    </r>
    <r>
      <rPr>
        <sz val="10"/>
        <rFont val="Arial"/>
        <family val="0"/>
        <charset val="1"/>
      </rPr>
      <t xml:space="preserve">Insulet (PODD) </t>
    </r>
    <r>
      <rPr>
        <sz val="10"/>
        <rFont val="Noto Sans CJK SC"/>
        <family val="2"/>
      </rPr>
      <t xml:space="preserve">投資者證券集體訴訟截止日期為 </t>
    </r>
    <r>
      <rPr>
        <sz val="10"/>
        <rFont val="Arial"/>
        <family val="0"/>
        <charset val="1"/>
      </rPr>
      <t xml:space="preserve">2026 </t>
    </r>
    <r>
      <rPr>
        <sz val="10"/>
        <rFont val="Noto Sans CJK SC"/>
        <family val="2"/>
      </rPr>
      <t xml:space="preserve">年 </t>
    </r>
    <r>
      <rPr>
        <sz val="10"/>
        <rFont val="Arial"/>
        <family val="0"/>
        <charset val="1"/>
      </rPr>
      <t xml:space="preserve">8 </t>
    </r>
    <r>
      <rPr>
        <sz val="10"/>
        <rFont val="Noto Sans CJK SC"/>
        <family val="2"/>
      </rPr>
      <t xml:space="preserve">月 </t>
    </r>
    <r>
      <rPr>
        <sz val="10"/>
        <rFont val="Arial"/>
        <family val="0"/>
        <charset val="1"/>
      </rPr>
      <t xml:space="preserve">31 </t>
    </r>
    <r>
      <rPr>
        <sz val="10"/>
        <rFont val="Noto Sans CJK SC"/>
        <family val="2"/>
      </rPr>
      <t xml:space="preserve">日</t>
    </r>
  </si>
  <si>
    <t xml:space="preserve">TMX Newsfile</t>
  </si>
  <si>
    <r>
      <rPr>
        <sz val="10"/>
        <rFont val="Arial"/>
        <family val="0"/>
        <charset val="1"/>
      </rPr>
      <t xml:space="preserve">Insulet </t>
    </r>
    <r>
      <rPr>
        <sz val="10"/>
        <rFont val="Noto Sans CJK SC"/>
        <family val="2"/>
      </rPr>
      <t xml:space="preserve">證券集體訴訟（律師事務所公告）。</t>
    </r>
  </si>
  <si>
    <t xml:space="preserve">b87674e722f99233c85565cf</t>
  </si>
  <si>
    <t xml:space="preserve">2026-08-16 | PNR STOCKHOLDER ALERT: Bronstein, Gewirtz and Grossman, LLC Announces that Pentair plc Investors with Substantial Losses Have Opportunity to Lead Class Action Lawsuit! | NYSE:PNR | Press Release</t>
  </si>
  <si>
    <r>
      <rPr>
        <sz val="10"/>
        <rFont val="Arial"/>
        <family val="0"/>
        <charset val="1"/>
      </rPr>
      <t xml:space="preserve">2026-08-16 | PNR </t>
    </r>
    <r>
      <rPr>
        <sz val="10"/>
        <rFont val="Noto Sans CJK SC"/>
        <family val="2"/>
      </rPr>
      <t xml:space="preserve">股東提醒：</t>
    </r>
    <r>
      <rPr>
        <sz val="10"/>
        <rFont val="Arial"/>
        <family val="0"/>
        <charset val="1"/>
      </rPr>
      <t xml:space="preserve">Bronstein</t>
    </r>
    <r>
      <rPr>
        <sz val="10"/>
        <rFont val="Noto Sans CJK SC"/>
        <family val="2"/>
      </rPr>
      <t xml:space="preserve">、</t>
    </r>
    <r>
      <rPr>
        <sz val="10"/>
        <rFont val="Arial"/>
        <family val="0"/>
        <charset val="1"/>
      </rPr>
      <t xml:space="preserve">Gewirtz </t>
    </r>
    <r>
      <rPr>
        <sz val="10"/>
        <rFont val="Noto Sans CJK SC"/>
        <family val="2"/>
      </rPr>
      <t xml:space="preserve">和 </t>
    </r>
    <r>
      <rPr>
        <sz val="10"/>
        <rFont val="Arial"/>
        <family val="0"/>
        <charset val="1"/>
      </rPr>
      <t xml:space="preserve">Grossman, LLC </t>
    </r>
    <r>
      <rPr>
        <sz val="10"/>
        <rFont val="Noto Sans CJK SC"/>
        <family val="2"/>
      </rPr>
      <t xml:space="preserve">宣布遭受重大損失的 </t>
    </r>
    <r>
      <rPr>
        <sz val="10"/>
        <rFont val="Arial"/>
        <family val="0"/>
        <charset val="1"/>
      </rPr>
      <t xml:space="preserve">Pentair plc </t>
    </r>
    <r>
      <rPr>
        <sz val="10"/>
        <rFont val="Noto Sans CJK SC"/>
        <family val="2"/>
      </rPr>
      <t xml:space="preserve">投資者有機會提起集體訴訟！ </t>
    </r>
    <r>
      <rPr>
        <sz val="10"/>
        <rFont val="Arial"/>
        <family val="0"/>
        <charset val="1"/>
      </rPr>
      <t xml:space="preserve">|</t>
    </r>
    <r>
      <rPr>
        <sz val="10"/>
        <rFont val="Noto Sans CJK SC"/>
        <family val="2"/>
      </rPr>
      <t xml:space="preserve">紐約證券交易所：</t>
    </r>
    <r>
      <rPr>
        <sz val="10"/>
        <rFont val="Arial"/>
        <family val="0"/>
        <charset val="1"/>
      </rPr>
      <t xml:space="preserve">PNR |</t>
    </r>
    <r>
      <rPr>
        <sz val="10"/>
        <rFont val="Noto Sans CJK SC"/>
        <family val="2"/>
      </rPr>
      <t xml:space="preserve">新聞稿</t>
    </r>
  </si>
  <si>
    <t xml:space="preserve">Stockhouse</t>
  </si>
  <si>
    <t xml:space="preserve">ee57266d6e4d6dfd4d68c58c</t>
  </si>
  <si>
    <t xml:space="preserve">mykxlg.com</t>
  </si>
  <si>
    <t xml:space="preserve">9a0a0fd909ef90019dc43539</t>
  </si>
  <si>
    <t xml:space="preserve">Walt Disney Company (The)</t>
  </si>
  <si>
    <t xml:space="preserve">迪士尼旗下ABC起訴美國聯邦通信委員會，指其部分監管行為違法</t>
  </si>
  <si>
    <r>
      <rPr>
        <sz val="10"/>
        <rFont val="Arial"/>
        <family val="0"/>
        <charset val="1"/>
      </rPr>
      <t xml:space="preserve">Disney </t>
    </r>
    <r>
      <rPr>
        <sz val="10"/>
        <rFont val="Noto Sans CJK SC"/>
        <family val="2"/>
      </rPr>
      <t xml:space="preserve">旗下 </t>
    </r>
    <r>
      <rPr>
        <sz val="10"/>
        <rFont val="Arial"/>
        <family val="0"/>
        <charset val="1"/>
      </rPr>
      <t xml:space="preserve">ABC </t>
    </r>
    <r>
      <rPr>
        <sz val="10"/>
        <rFont val="Noto Sans CJK SC"/>
        <family val="2"/>
      </rPr>
      <t xml:space="preserve">起訴 </t>
    </r>
    <r>
      <rPr>
        <sz val="10"/>
        <rFont val="Arial"/>
        <family val="0"/>
        <charset val="1"/>
      </rPr>
      <t xml:space="preserve">FCC</t>
    </r>
    <r>
      <rPr>
        <sz val="10"/>
        <rFont val="Noto Sans CJK SC"/>
        <family val="2"/>
      </rPr>
      <t xml:space="preserve">，指其監管行為違法（</t>
    </r>
    <r>
      <rPr>
        <sz val="10"/>
        <rFont val="Arial"/>
        <family val="0"/>
        <charset val="1"/>
      </rPr>
      <t xml:space="preserve">Disney </t>
    </r>
    <r>
      <rPr>
        <sz val="10"/>
        <rFont val="Noto Sans CJK SC"/>
        <family val="2"/>
      </rPr>
      <t xml:space="preserve">為原告）。</t>
    </r>
  </si>
  <si>
    <t xml:space="preserve">DIS</t>
  </si>
  <si>
    <t xml:space="preserve">22fd0299db8c771718c417da</t>
  </si>
  <si>
    <t xml:space="preserve">PNR Shareholder Alert: October 2, 2026 Lead Plaintiff Deadline in Pentair plc Securities Class Action - Contact The Gross Law Firm</t>
  </si>
  <si>
    <t xml:space="preserve">16c498ebe35f9ed2f4a0d030</t>
  </si>
  <si>
    <t xml:space="preserve">ICE</t>
  </si>
  <si>
    <t xml:space="preserve">Intercontinental Exchange Inc. Common St</t>
  </si>
  <si>
    <t xml:space="preserve">Minnesota attorney general sues Texas governor to compel ICE agent’s extradition for trial</t>
  </si>
  <si>
    <t xml:space="preserve">NBC News</t>
  </si>
  <si>
    <t xml:space="preserve">016d51d5631e9130d8acf040</t>
  </si>
  <si>
    <t xml:space="preserve">As Meta faces trial for hooking kids on social media, NC's attorney general offers parents advice</t>
  </si>
  <si>
    <t xml:space="preserve">NC Newsline</t>
  </si>
  <si>
    <t xml:space="preserve">9100ec78b6e606f865f3b807</t>
  </si>
  <si>
    <t xml:space="preserve">2026-08-20</t>
  </si>
  <si>
    <t xml:space="preserve">California Attorney General Rob Bonta: Paramount-WBD lawsuit is a 'black-and-white' antitrust case</t>
  </si>
  <si>
    <t xml:space="preserve">00b3fe78af7ec9307af7c898</t>
  </si>
  <si>
    <t xml:space="preserve">INVESTOR ALERT: Pomerantz Law Firm Reminds Investors with Losses on their Investment in Pentair plc of Class Action Lawsuit and Upcoming Deadlines - PNR</t>
  </si>
  <si>
    <t xml:space="preserve">prnewswire.com</t>
  </si>
  <si>
    <t xml:space="preserve">aa0e0d1cde37f85e1e33d68d</t>
  </si>
  <si>
    <t xml:space="preserve">Colorado attorney general sues ​ICE detention center operator ​i​n tuberculosis ​case</t>
  </si>
  <si>
    <t xml:space="preserve">Colorado Newsline</t>
  </si>
  <si>
    <t xml:space="preserve">432e70cfc3cd017e4c677aa0</t>
  </si>
  <si>
    <t xml:space="preserve">EFX</t>
  </si>
  <si>
    <t xml:space="preserve">Equifax, Inc. Common Stock</t>
  </si>
  <si>
    <t xml:space="preserve">Equifax agrees to $100M deal to end class action claims over credit score error</t>
  </si>
  <si>
    <r>
      <rPr>
        <sz val="10"/>
        <rFont val="Arial"/>
        <family val="0"/>
        <charset val="1"/>
      </rPr>
      <t xml:space="preserve">Equifax </t>
    </r>
    <r>
      <rPr>
        <sz val="10"/>
        <rFont val="Noto Sans CJK SC"/>
        <family val="2"/>
      </rPr>
      <t xml:space="preserve">同意以 </t>
    </r>
    <r>
      <rPr>
        <sz val="10"/>
        <rFont val="Arial"/>
        <family val="0"/>
        <charset val="1"/>
      </rPr>
      <t xml:space="preserve">1 </t>
    </r>
    <r>
      <rPr>
        <sz val="10"/>
        <rFont val="Noto Sans CJK SC"/>
        <family val="2"/>
      </rPr>
      <t xml:space="preserve">億美元和解信用分數錯誤的集體訴訟。</t>
    </r>
  </si>
  <si>
    <t xml:space="preserve">ec8e6b1a1b1c66ac1d45db71</t>
  </si>
  <si>
    <t xml:space="preserve">美司法部反對就迪士尼ABC牌照訴訟案舉行緊急聽證會</t>
  </si>
  <si>
    <r>
      <rPr>
        <sz val="10"/>
        <rFont val="Arial"/>
        <family val="0"/>
        <charset val="1"/>
      </rPr>
      <t xml:space="preserve">Disney </t>
    </r>
    <r>
      <rPr>
        <sz val="10"/>
        <rFont val="Noto Sans CJK SC"/>
        <family val="2"/>
      </rPr>
      <t xml:space="preserve">旗下 </t>
    </r>
    <r>
      <rPr>
        <sz val="10"/>
        <rFont val="Arial"/>
        <family val="0"/>
        <charset val="1"/>
      </rPr>
      <t xml:space="preserve">ABC </t>
    </r>
    <r>
      <rPr>
        <sz val="10"/>
        <rFont val="Noto Sans CJK SC"/>
        <family val="2"/>
      </rPr>
      <t xml:space="preserve">與 </t>
    </r>
    <r>
      <rPr>
        <sz val="10"/>
        <rFont val="Arial"/>
        <family val="0"/>
        <charset val="1"/>
      </rPr>
      <t xml:space="preserve">FCC </t>
    </r>
    <r>
      <rPr>
        <sz val="10"/>
        <rFont val="Noto Sans CJK SC"/>
        <family val="2"/>
      </rPr>
      <t xml:space="preserve">牌照訴訟，司法部反對緊急聽證（</t>
    </r>
    <r>
      <rPr>
        <sz val="10"/>
        <rFont val="Arial"/>
        <family val="0"/>
        <charset val="1"/>
      </rPr>
      <t xml:space="preserve">Disney </t>
    </r>
    <r>
      <rPr>
        <sz val="10"/>
        <rFont val="Noto Sans CJK SC"/>
        <family val="2"/>
      </rPr>
      <t xml:space="preserve">為原告）。</t>
    </r>
  </si>
  <si>
    <t xml:space="preserve">3659fbbaa3cea9a8a2d4b980</t>
  </si>
  <si>
    <t xml:space="preserve">Abbott Laboratories</t>
  </si>
  <si>
    <t xml:space="preserve">雅培將支付6.7億美元以了結部分早產兒配方奶粉訴訟</t>
  </si>
  <si>
    <r>
      <rPr>
        <sz val="10"/>
        <rFont val="Noto Sans CJK SC"/>
        <family val="2"/>
      </rPr>
      <t xml:space="preserve">雅培同意支付 </t>
    </r>
    <r>
      <rPr>
        <sz val="10"/>
        <rFont val="Arial"/>
        <family val="0"/>
        <charset val="1"/>
      </rPr>
      <t xml:space="preserve">6.7 </t>
    </r>
    <r>
      <rPr>
        <sz val="10"/>
        <rFont val="Noto Sans CJK SC"/>
        <family val="2"/>
      </rPr>
      <t xml:space="preserve">億美元了結部分早產兒配方奶粉訴訟。</t>
    </r>
  </si>
  <si>
    <t xml:space="preserve">ABT</t>
  </si>
  <si>
    <t xml:space="preserve">2c47dcd5fe84634ff135980b</t>
  </si>
  <si>
    <t xml:space="preserve">PNR Investor Alert: Pentair plc Securities Class Action Notice - Contact SueWallSt</t>
  </si>
  <si>
    <t xml:space="preserve">784e9e349fa690e0b9d8c895</t>
  </si>
  <si>
    <t xml:space="preserve">美國司法部反對在迪士尼ABC執照訴訟案中立即舉行聽證會</t>
  </si>
  <si>
    <t xml:space="preserve">c937b4988a142cad289af5a8</t>
  </si>
  <si>
    <t xml:space="preserve">c5cc7637cf9a5876b35c475c</t>
  </si>
  <si>
    <t xml:space="preserve">消息稱Meta就各州指控其平台危害兒童健康的訴訟達成和解</t>
  </si>
  <si>
    <r>
      <rPr>
        <sz val="10"/>
        <rFont val="Arial"/>
        <family val="0"/>
        <charset val="1"/>
      </rPr>
      <t xml:space="preserve">Meta </t>
    </r>
    <r>
      <rPr>
        <sz val="10"/>
        <rFont val="Noto Sans CJK SC"/>
        <family val="2"/>
      </rPr>
      <t xml:space="preserve">與多州檢察長就兒童健康訴訟達成／討論和解。</t>
    </r>
  </si>
  <si>
    <t xml:space="preserve">99f71492bbe380c4ae85903d</t>
  </si>
  <si>
    <t xml:space="preserve">Meta據悉與多州檢察長就天價訴訟討論庭審中和解</t>
  </si>
  <si>
    <t xml:space="preserve">46ee5351059c05b03abf5ed1</t>
  </si>
  <si>
    <t xml:space="preserve">If you get your meds at Kroger pay attention to this class action lawsuit</t>
  </si>
  <si>
    <t xml:space="preserve">11Alive.com</t>
  </si>
  <si>
    <t xml:space="preserve">消費者類集體訴訟（藥價、訂閱、簡訊、成分），屬一般訴訟，非重大訴訟。</t>
  </si>
  <si>
    <t xml:space="preserve">fb90f93be93ce7f3916b3e2b</t>
  </si>
  <si>
    <t xml:space="preserve">KKR</t>
  </si>
  <si>
    <t xml:space="preserve">KKR &amp; Co. Inc. Common Stock</t>
  </si>
  <si>
    <t xml:space="preserve">美股異動丨KKR盤前升2.36% 支付2.5億美元就美司法部併購申報訴訟達成和解</t>
  </si>
  <si>
    <t xml:space="preserve">REGULATORY_PENALTY</t>
  </si>
  <si>
    <r>
      <rPr>
        <sz val="10"/>
        <rFont val="Arial"/>
        <family val="0"/>
        <charset val="1"/>
      </rPr>
      <t xml:space="preserve">KKR </t>
    </r>
    <r>
      <rPr>
        <sz val="10"/>
        <rFont val="Noto Sans CJK SC"/>
        <family val="2"/>
      </rPr>
      <t xml:space="preserve">支付 </t>
    </r>
    <r>
      <rPr>
        <sz val="10"/>
        <rFont val="Arial"/>
        <family val="0"/>
        <charset val="1"/>
      </rPr>
      <t xml:space="preserve">2.5 </t>
    </r>
    <r>
      <rPr>
        <sz val="10"/>
        <rFont val="Noto Sans CJK SC"/>
        <family val="2"/>
      </rPr>
      <t xml:space="preserve">億美元和解司法部併購申報訴訟，屬主管機關裁罰結果。</t>
    </r>
  </si>
  <si>
    <t xml:space="preserve">00b3eb0a13584fb6e7e61053</t>
  </si>
  <si>
    <t xml:space="preserve">PNR INVESTOR DEADLINE: Robbins Geller Rudman &amp; Dowd LLP Files Class Action Lawsuit Against Pentair plc and Announces Opportunity for Investors with Substantial Losses to Lead the Pentair Class Action Lawsuit</t>
  </si>
  <si>
    <t xml:space="preserve">df17447d9bc471f1391300cd</t>
  </si>
  <si>
    <t xml:space="preserve">KKR將支付2.5億美元了結司法部併購申報訴訟</t>
  </si>
  <si>
    <t xml:space="preserve">da1b0f5d42dae22f74977dfa</t>
  </si>
  <si>
    <t xml:space="preserve">Levi &amp; Korsinsky Reminds Pentair plc Investors of the Pending Class Action Lawsuit With a Lead Plaintiff Deadline of October 2, 2026 - PNR</t>
  </si>
  <si>
    <t xml:space="preserve">466023413d68985d9685c100</t>
  </si>
  <si>
    <t xml:space="preserve">2026-08-28</t>
  </si>
  <si>
    <t xml:space="preserve">Kroger to Pay $17M to Settle Class Action Over Drug Prices</t>
  </si>
  <si>
    <t xml:space="preserve">Progressive Grocer</t>
  </si>
  <si>
    <t xml:space="preserve">4c5cfe5dcb4c1082e86ed71c</t>
  </si>
  <si>
    <t xml:space="preserve">PENTAIR CLASS ACTION ALERT: Bragar Eagel &amp; Squire, P.C.</t>
  </si>
  <si>
    <t xml:space="preserve">becd80dd500a64133a6ce5b3</t>
  </si>
  <si>
    <t xml:space="preserve">SueWallSt Reminds GoDaddy Inc. Investors of the Pending Class Action Lawsuit With a Lead Plaintiff Deadline of October 20, 2026 - GDDY</t>
  </si>
  <si>
    <r>
      <rPr>
        <sz val="10"/>
        <rFont val="Arial"/>
        <family val="0"/>
        <charset val="1"/>
      </rPr>
      <t xml:space="preserve">GoDaddy </t>
    </r>
    <r>
      <rPr>
        <sz val="10"/>
        <rFont val="Noto Sans CJK SC"/>
        <family val="2"/>
      </rPr>
      <t xml:space="preserve">證券集體訴訟（律師事務所公告）。</t>
    </r>
  </si>
  <si>
    <t xml:space="preserve">3245a856ccbcb227925ccec7</t>
  </si>
  <si>
    <t xml:space="preserve">2026-08-29</t>
  </si>
  <si>
    <t xml:space="preserve">Alphabet Inc. (Class A)</t>
  </si>
  <si>
    <t xml:space="preserve">谷歌隱私訴訟案產生高達1.47億美元律師費</t>
  </si>
  <si>
    <t xml:space="preserve">谷歌隱私訴訟的律師費金額報導，屬訴訟後續費用，不是新的訴訟事件。</t>
  </si>
  <si>
    <t xml:space="preserve">d6721a5147e05e76cff03436</t>
  </si>
  <si>
    <t xml:space="preserve">Alphabet Inc. (Class C)</t>
  </si>
  <si>
    <t xml:space="preserve">279b5b5b42a43fe1539f14f0</t>
  </si>
  <si>
    <t xml:space="preserve">DTE</t>
  </si>
  <si>
    <t xml:space="preserve">DTE Energy</t>
  </si>
  <si>
    <t xml:space="preserve">Attorney General Dana Nessel seeks deep cuts to DTE’s $474 million rate request</t>
  </si>
  <si>
    <t xml:space="preserve">WILX</t>
  </si>
  <si>
    <t xml:space="preserve">ca55499683ca7bec961b27bb</t>
  </si>
  <si>
    <t xml:space="preserve">Pentair plc (PNR) Investors: Securities Fraud Class Action Filed, Contact Hagens Berman Before October 2, 2026 Lead Plaintiff Deadline</t>
  </si>
  <si>
    <t xml:space="preserve">f94f68e6c30c6b9ec890c074</t>
  </si>
  <si>
    <t xml:space="preserve">2026-08-31</t>
  </si>
  <si>
    <r>
      <rPr>
        <sz val="10"/>
        <rFont val="Arial"/>
        <family val="0"/>
        <charset val="1"/>
      </rPr>
      <t xml:space="preserve">Intuit </t>
    </r>
    <r>
      <rPr>
        <sz val="10"/>
        <rFont val="Noto Sans CJK SC"/>
        <family val="2"/>
      </rPr>
      <t xml:space="preserve">證券集體訴訟（律師事務所公告）。</t>
    </r>
  </si>
  <si>
    <t xml:space="preserve">8651d9bfdf03762529adf979</t>
  </si>
  <si>
    <t xml:space="preserve">PNR Shareholder Alert: Pentair plc Securities Class Action</t>
  </si>
  <si>
    <t xml:space="preserve">ffc491311ed3ecf2a7794c75</t>
  </si>
  <si>
    <t xml:space="preserve">Pentair plc (PNR) Notice of October 2, 2026 Application Deadline for Class Action Lawsuit</t>
  </si>
  <si>
    <t xml:space="preserve">4d5c7eec77f4b1bc946d1101</t>
  </si>
  <si>
    <t xml:space="preserve">UPS</t>
  </si>
  <si>
    <t xml:space="preserve">United Parcel Service, Inc. Common Stock</t>
  </si>
  <si>
    <t xml:space="preserve">UPS Settles Military Leave Class Action for $152,000, Plus Fees</t>
  </si>
  <si>
    <t xml:space="preserve">news.bloombergtax.com</t>
  </si>
  <si>
    <r>
      <rPr>
        <sz val="10"/>
        <rFont val="Arial"/>
        <family val="0"/>
        <charset val="1"/>
      </rPr>
      <t xml:space="preserve">UPS </t>
    </r>
    <r>
      <rPr>
        <sz val="10"/>
        <rFont val="Noto Sans CJK SC"/>
        <family val="2"/>
      </rPr>
      <t xml:space="preserve">以 </t>
    </r>
    <r>
      <rPr>
        <sz val="10"/>
        <rFont val="Arial"/>
        <family val="0"/>
        <charset val="1"/>
      </rPr>
      <t xml:space="preserve">15.2 </t>
    </r>
    <r>
      <rPr>
        <sz val="10"/>
        <rFont val="Noto Sans CJK SC"/>
        <family val="2"/>
      </rPr>
      <t xml:space="preserve">萬美元和解軍職請假集體訴訟，金額很小。</t>
    </r>
  </si>
  <si>
    <t xml:space="preserve">9c17ad3511da0ee331a5bfa2</t>
  </si>
  <si>
    <t xml:space="preserve">GDDY Class Action Alert: GoDaddy Customer Acquisition Issues and Subsequent 14% Stock Drop Lead to Investor Securities Fraud Class Action to Recover Losses</t>
  </si>
  <si>
    <t xml:space="preserve">600f2e555edeb20cf685722a</t>
  </si>
  <si>
    <t xml:space="preserve">美國法官駁回針對Meta旗下Instagram購物涉壟斷的訴訟</t>
  </si>
  <si>
    <r>
      <rPr>
        <sz val="10"/>
        <rFont val="Noto Sans CJK SC"/>
        <family val="2"/>
      </rPr>
      <t xml:space="preserve">法官駁回針對 </t>
    </r>
    <r>
      <rPr>
        <sz val="10"/>
        <rFont val="Arial"/>
        <family val="0"/>
        <charset val="1"/>
      </rPr>
      <t xml:space="preserve">Instagram </t>
    </r>
    <r>
      <rPr>
        <sz val="10"/>
        <rFont val="Noto Sans CJK SC"/>
        <family val="2"/>
      </rPr>
      <t xml:space="preserve">購物壟斷的訴訟，對 </t>
    </r>
    <r>
      <rPr>
        <sz val="10"/>
        <rFont val="Arial"/>
        <family val="0"/>
        <charset val="1"/>
      </rPr>
      <t xml:space="preserve">Meta </t>
    </r>
    <r>
      <rPr>
        <sz val="10"/>
        <rFont val="Noto Sans CJK SC"/>
        <family val="2"/>
      </rPr>
      <t xml:space="preserve">為正面結果。</t>
    </r>
  </si>
  <si>
    <t xml:space="preserve">2d28f25ad5da7f30392b61db</t>
  </si>
  <si>
    <t xml:space="preserve">Intuit (INTU) Faces Class Action Over AI And Investor Disclosure Claims</t>
  </si>
  <si>
    <t xml:space="preserve">9a42bf61fc999309b2228e3a</t>
  </si>
  <si>
    <t xml:space="preserve">PNR INVESTORS: Robbins Geller Rudman &amp; Dowd LLP Files Class Action Lawsuit Against Pentair plc and Announces Opportunity for Investors with Substantial Losses to Lead Class Action Lawsuit Before October 2, 2026 Deadline</t>
  </si>
  <si>
    <t xml:space="preserve">4bc978645cd68b5cac62e4ad</t>
  </si>
  <si>
    <t xml:space="preserve">2026-09-02</t>
  </si>
  <si>
    <t xml:space="preserve">INTU Shareholder Alert: Investors With Losses May Seek to Lead the Class Action in Intuit Inc. Securities Lawsuit - Contact Levi &amp; Korsinsky</t>
  </si>
  <si>
    <t xml:space="preserve">17d3ff618f29f32ead3e511f</t>
  </si>
  <si>
    <t xml:space="preserve">REGN Deadline Alert: Levi &amp; Korsinsky Reminds Regeneron Pharmaceuticals (REGN) Investors of Securities Class Action Deadline on September 14, 2026</t>
  </si>
  <si>
    <t xml:space="preserve">0bd66729964f637d8b56cde8</t>
  </si>
  <si>
    <t xml:space="preserve">GDDY Shareholder Alert: GoDaddy Inc. Securities Class Action Lawsuit - Investors Should Contact Levi &amp; Korsinsky</t>
  </si>
  <si>
    <t xml:space="preserve">a8f1b6448e246daba71190cb</t>
  </si>
  <si>
    <t xml:space="preserve">Philip Morris International</t>
  </si>
  <si>
    <t xml:space="preserve">法院記錄顯示，奧馳亞起訴美國食品藥品監督管理局</t>
  </si>
  <si>
    <r>
      <rPr>
        <sz val="10"/>
        <rFont val="Noto Sans CJK SC"/>
        <family val="2"/>
      </rPr>
      <t xml:space="preserve">起訴 </t>
    </r>
    <r>
      <rPr>
        <sz val="10"/>
        <rFont val="Arial"/>
        <family val="0"/>
        <charset val="1"/>
      </rPr>
      <t xml:space="preserve">FDA </t>
    </r>
    <r>
      <rPr>
        <sz val="10"/>
        <rFont val="Noto Sans CJK SC"/>
        <family val="2"/>
      </rPr>
      <t xml:space="preserve">的是奧馳亞（</t>
    </r>
    <r>
      <rPr>
        <sz val="10"/>
        <rFont val="Arial"/>
        <family val="0"/>
        <charset val="1"/>
      </rPr>
      <t xml:space="preserve">Altria</t>
    </r>
    <r>
      <rPr>
        <sz val="10"/>
        <rFont val="Noto Sans CJK SC"/>
        <family val="2"/>
      </rPr>
      <t xml:space="preserve">），非 </t>
    </r>
    <r>
      <rPr>
        <sz val="10"/>
        <rFont val="Arial"/>
        <family val="0"/>
        <charset val="1"/>
      </rPr>
      <t xml:space="preserve">Philip Morris International</t>
    </r>
    <r>
      <rPr>
        <sz val="10"/>
        <rFont val="Noto Sans CJK SC"/>
        <family val="2"/>
      </rPr>
      <t xml:space="preserve">，且為原告。</t>
    </r>
  </si>
  <si>
    <t xml:space="preserve">6cddcbc9436b92f806872bbe</t>
  </si>
  <si>
    <t xml:space="preserve">Portnoy Law Firm Announces Class Action on Behalf of Intuit, Inc. Investors</t>
  </si>
  <si>
    <t xml:space="preserve">0904304e4d6a4d9ea1e94806</t>
  </si>
  <si>
    <t xml:space="preserve">5c5583e9fb5fd9203ad46da2</t>
  </si>
  <si>
    <t xml:space="preserve">Bronstein, Gewirtz &amp; Grossman LLC Urges Intuit Inc. Investors to Act: Class Action Filed Alleging Investor Harm</t>
  </si>
  <si>
    <t xml:space="preserve">aeb36e3ec38b911419731993</t>
  </si>
  <si>
    <t xml:space="preserve">PNR UPCOMING DEADLINE: SueWallSt Alerts Pentair plc Stockholders of Securities Class Action</t>
  </si>
  <si>
    <r>
      <rPr>
        <sz val="10"/>
        <rFont val="Arial"/>
        <family val="0"/>
        <charset val="1"/>
      </rPr>
      <t xml:space="preserve">PNR </t>
    </r>
    <r>
      <rPr>
        <sz val="10"/>
        <rFont val="Noto Sans CJK SC"/>
        <family val="2"/>
      </rPr>
      <t xml:space="preserve">即將截止日期：</t>
    </r>
    <r>
      <rPr>
        <sz val="10"/>
        <rFont val="Arial"/>
        <family val="0"/>
        <charset val="1"/>
      </rPr>
      <t xml:space="preserve">SueWallSt </t>
    </r>
    <r>
      <rPr>
        <sz val="10"/>
        <rFont val="Noto Sans CJK SC"/>
        <family val="2"/>
      </rPr>
      <t xml:space="preserve">提醒 </t>
    </r>
    <r>
      <rPr>
        <sz val="10"/>
        <rFont val="Arial"/>
        <family val="0"/>
        <charset val="1"/>
      </rPr>
      <t xml:space="preserve">Pentair plc </t>
    </r>
    <r>
      <rPr>
        <sz val="10"/>
        <rFont val="Noto Sans CJK SC"/>
        <family val="2"/>
      </rPr>
      <t xml:space="preserve">股東進行證券集體訴訟</t>
    </r>
  </si>
  <si>
    <t xml:space="preserve">186afc2fcb733cb2aefaeebe</t>
  </si>
  <si>
    <t xml:space="preserve">GDDY UPCOMING DEADLINE: SueWallSt Alerts GoDaddy Inc. Stockholders of Securities Class Action</t>
  </si>
  <si>
    <r>
      <rPr>
        <sz val="10"/>
        <rFont val="Arial"/>
        <family val="0"/>
        <charset val="1"/>
      </rPr>
      <t xml:space="preserve">GDDY </t>
    </r>
    <r>
      <rPr>
        <sz val="10"/>
        <rFont val="Noto Sans CJK SC"/>
        <family val="2"/>
      </rPr>
      <t xml:space="preserve">即將到來的截止日期：</t>
    </r>
    <r>
      <rPr>
        <sz val="10"/>
        <rFont val="Arial"/>
        <family val="0"/>
        <charset val="1"/>
      </rPr>
      <t xml:space="preserve">SueWallSt </t>
    </r>
    <r>
      <rPr>
        <sz val="10"/>
        <rFont val="Noto Sans CJK SC"/>
        <family val="2"/>
      </rPr>
      <t xml:space="preserve">提醒 </t>
    </r>
    <r>
      <rPr>
        <sz val="10"/>
        <rFont val="Arial"/>
        <family val="0"/>
        <charset val="1"/>
      </rPr>
      <t xml:space="preserve">GoDaddy Inc. </t>
    </r>
    <r>
      <rPr>
        <sz val="10"/>
        <rFont val="Noto Sans CJK SC"/>
        <family val="2"/>
      </rPr>
      <t xml:space="preserve">股東進行證券集體訴訟</t>
    </r>
  </si>
  <si>
    <t xml:space="preserve">8b128b26431ba36ca54ce040</t>
  </si>
  <si>
    <t xml:space="preserve">SueWallSt Reminds Intuit Inc. Investors of the Pending Class Action Lawsuit With a Lead Plaintiff Deadline of September 8, 2026 - INTU</t>
  </si>
  <si>
    <r>
      <rPr>
        <sz val="10"/>
        <rFont val="Arial"/>
        <family val="0"/>
        <charset val="1"/>
      </rPr>
      <t xml:space="preserve">SueWallSt </t>
    </r>
    <r>
      <rPr>
        <sz val="10"/>
        <rFont val="Noto Sans CJK SC"/>
        <family val="2"/>
      </rPr>
      <t xml:space="preserve">提醒 </t>
    </r>
    <r>
      <rPr>
        <sz val="10"/>
        <rFont val="Arial"/>
        <family val="0"/>
        <charset val="1"/>
      </rPr>
      <t xml:space="preserve">Intuit Inc. </t>
    </r>
    <r>
      <rPr>
        <sz val="10"/>
        <rFont val="Noto Sans CJK SC"/>
        <family val="2"/>
      </rPr>
      <t xml:space="preserve">投資者註意未決集體訴訟，主要原告截止日期為 </t>
    </r>
    <r>
      <rPr>
        <sz val="10"/>
        <rFont val="Arial"/>
        <family val="0"/>
        <charset val="1"/>
      </rPr>
      <t xml:space="preserve">2026 </t>
    </r>
    <r>
      <rPr>
        <sz val="10"/>
        <rFont val="Noto Sans CJK SC"/>
        <family val="2"/>
      </rPr>
      <t xml:space="preserve">年 </t>
    </r>
    <r>
      <rPr>
        <sz val="10"/>
        <rFont val="Arial"/>
        <family val="0"/>
        <charset val="1"/>
      </rPr>
      <t xml:space="preserve">9 </t>
    </r>
    <r>
      <rPr>
        <sz val="10"/>
        <rFont val="Noto Sans CJK SC"/>
        <family val="2"/>
      </rPr>
      <t xml:space="preserve">月 </t>
    </r>
    <r>
      <rPr>
        <sz val="10"/>
        <rFont val="Arial"/>
        <family val="0"/>
        <charset val="1"/>
      </rPr>
      <t xml:space="preserve">8 </t>
    </r>
    <r>
      <rPr>
        <sz val="10"/>
        <rFont val="Noto Sans CJK SC"/>
        <family val="2"/>
      </rPr>
      <t xml:space="preserve">日 </t>
    </r>
    <r>
      <rPr>
        <sz val="10"/>
        <rFont val="Arial"/>
        <family val="0"/>
        <charset val="1"/>
      </rPr>
      <t xml:space="preserve">- INTU</t>
    </r>
  </si>
  <si>
    <t xml:space="preserve">5963e38cd3308e8ab89e26d4</t>
  </si>
  <si>
    <t xml:space="preserve">REGN Investor Alert: Regeneron Pharmaceuticals, Inc. Securities Class Action Notice - Contact SueWallSt</t>
  </si>
  <si>
    <r>
      <rPr>
        <sz val="10"/>
        <rFont val="Arial"/>
        <family val="0"/>
        <charset val="1"/>
      </rPr>
      <t xml:space="preserve">REGN </t>
    </r>
    <r>
      <rPr>
        <sz val="10"/>
        <rFont val="Noto Sans CJK SC"/>
        <family val="2"/>
      </rPr>
      <t xml:space="preserve">投資者警報：</t>
    </r>
    <r>
      <rPr>
        <sz val="10"/>
        <rFont val="Arial"/>
        <family val="0"/>
        <charset val="1"/>
      </rPr>
      <t xml:space="preserve">Regeneron Pharmaceuticals, Inc. </t>
    </r>
    <r>
      <rPr>
        <sz val="10"/>
        <rFont val="Noto Sans CJK SC"/>
        <family val="2"/>
      </rPr>
      <t xml:space="preserve">證券集體訴訟通知 </t>
    </r>
    <r>
      <rPr>
        <sz val="10"/>
        <rFont val="Arial"/>
        <family val="0"/>
        <charset val="1"/>
      </rPr>
      <t xml:space="preserve">- </t>
    </r>
    <r>
      <rPr>
        <sz val="10"/>
        <rFont val="Noto Sans CJK SC"/>
        <family val="2"/>
      </rPr>
      <t xml:space="preserve">聯絡 </t>
    </r>
    <r>
      <rPr>
        <sz val="10"/>
        <rFont val="Arial"/>
        <family val="0"/>
        <charset val="1"/>
      </rPr>
      <t xml:space="preserve">SueWallSt</t>
    </r>
  </si>
  <si>
    <t xml:space="preserve">89376a7d55f327500616a7d4</t>
  </si>
  <si>
    <t xml:space="preserve">54e3b50e03ad1dee9aaac622</t>
  </si>
  <si>
    <t xml:space="preserve">Pomerantz Law Firm Announces the Filing of a Class Action Against Intuit Inc. and Certain Officers - INTU</t>
  </si>
  <si>
    <r>
      <rPr>
        <sz val="10"/>
        <rFont val="Arial"/>
        <family val="0"/>
        <charset val="1"/>
      </rPr>
      <t xml:space="preserve">Pomerantz </t>
    </r>
    <r>
      <rPr>
        <sz val="10"/>
        <rFont val="Noto Sans CJK SC"/>
        <family val="2"/>
      </rPr>
      <t xml:space="preserve">律師事務所宣布對 </t>
    </r>
    <r>
      <rPr>
        <sz val="10"/>
        <rFont val="Arial"/>
        <family val="0"/>
        <charset val="1"/>
      </rPr>
      <t xml:space="preserve">Intuit Inc. </t>
    </r>
    <r>
      <rPr>
        <sz val="10"/>
        <rFont val="Noto Sans CJK SC"/>
        <family val="2"/>
      </rPr>
      <t xml:space="preserve">和部分管理人員提起集體訴訟 </t>
    </r>
    <r>
      <rPr>
        <sz val="10"/>
        <rFont val="Arial"/>
        <family val="0"/>
        <charset val="1"/>
      </rPr>
      <t xml:space="preserve">- INTU</t>
    </r>
  </si>
  <si>
    <t xml:space="preserve">99336e301f0137b9ca748465</t>
  </si>
  <si>
    <t xml:space="preserve">INVESTOR ALERT: Pomerantz Law Firm Reminds Investors with Losses on their Investment in GoDaddy Inc. of Class Action Lawsuit and Upcoming Deadlines - GDDY</t>
  </si>
  <si>
    <r>
      <rPr>
        <sz val="10"/>
        <rFont val="Noto Sans CJK SC"/>
        <family val="2"/>
      </rPr>
      <t xml:space="preserve">投資者警報：</t>
    </r>
    <r>
      <rPr>
        <sz val="10"/>
        <rFont val="Arial"/>
        <family val="0"/>
        <charset val="1"/>
      </rPr>
      <t xml:space="preserve">Pomerantz </t>
    </r>
    <r>
      <rPr>
        <sz val="10"/>
        <rFont val="Noto Sans CJK SC"/>
        <family val="2"/>
      </rPr>
      <t xml:space="preserve">律師事務所提醒因投資 </t>
    </r>
    <r>
      <rPr>
        <sz val="10"/>
        <rFont val="Arial"/>
        <family val="0"/>
        <charset val="1"/>
      </rPr>
      <t xml:space="preserve">GoDaddy Inc. </t>
    </r>
    <r>
      <rPr>
        <sz val="10"/>
        <rFont val="Noto Sans CJK SC"/>
        <family val="2"/>
      </rPr>
      <t xml:space="preserve">遭受損失的投資者集體訴訟和即將到來的截止日期 </t>
    </r>
    <r>
      <rPr>
        <sz val="10"/>
        <rFont val="Arial"/>
        <family val="0"/>
        <charset val="1"/>
      </rPr>
      <t xml:space="preserve">- GDDY</t>
    </r>
  </si>
  <si>
    <t xml:space="preserve">889992980bdacb2696be07b8</t>
  </si>
  <si>
    <r>
      <rPr>
        <sz val="10"/>
        <rFont val="Noto Sans CJK SC"/>
        <family val="2"/>
      </rPr>
      <t xml:space="preserve">投資者警報：</t>
    </r>
    <r>
      <rPr>
        <sz val="10"/>
        <rFont val="Arial"/>
        <family val="0"/>
        <charset val="1"/>
      </rPr>
      <t xml:space="preserve">Pomerantz </t>
    </r>
    <r>
      <rPr>
        <sz val="10"/>
        <rFont val="Noto Sans CJK SC"/>
        <family val="2"/>
      </rPr>
      <t xml:space="preserve">律師事務所提醒因投資 </t>
    </r>
    <r>
      <rPr>
        <sz val="10"/>
        <rFont val="Arial"/>
        <family val="0"/>
        <charset val="1"/>
      </rPr>
      <t xml:space="preserve">Pentair plc </t>
    </r>
    <r>
      <rPr>
        <sz val="10"/>
        <rFont val="Noto Sans CJK SC"/>
        <family val="2"/>
      </rPr>
      <t xml:space="preserve">遭受損失的投資者集體訴訟和即將到來的截止日期 </t>
    </r>
    <r>
      <rPr>
        <sz val="10"/>
        <rFont val="Arial"/>
        <family val="0"/>
        <charset val="1"/>
      </rPr>
      <t xml:space="preserve">- PNR</t>
    </r>
  </si>
  <si>
    <t xml:space="preserve">9edfa1ccb57ba57c90457c2e</t>
  </si>
  <si>
    <t xml:space="preserve">Missouri attorney general spends $167,000 in state funds on anti-abortion PSA before election</t>
  </si>
  <si>
    <r>
      <rPr>
        <sz val="10"/>
        <rFont val="Noto Sans CJK SC"/>
        <family val="2"/>
      </rPr>
      <t xml:space="preserve">密蘇裡州總檢察長在選舉前花費 </t>
    </r>
    <r>
      <rPr>
        <sz val="10"/>
        <rFont val="Arial"/>
        <family val="0"/>
        <charset val="1"/>
      </rPr>
      <t xml:space="preserve">167,000 </t>
    </r>
    <r>
      <rPr>
        <sz val="10"/>
        <rFont val="Noto Sans CJK SC"/>
        <family val="2"/>
      </rPr>
      <t xml:space="preserve">美元的國家資金用於反墮胎 </t>
    </r>
    <r>
      <rPr>
        <sz val="10"/>
        <rFont val="Arial"/>
        <family val="0"/>
        <charset val="1"/>
      </rPr>
      <t xml:space="preserve">PSA</t>
    </r>
  </si>
  <si>
    <t xml:space="preserve">KCUR</t>
  </si>
  <si>
    <r>
      <rPr>
        <sz val="10"/>
        <rFont val="Arial"/>
        <family val="0"/>
        <charset val="1"/>
      </rPr>
      <t xml:space="preserve">PSA </t>
    </r>
    <r>
      <rPr>
        <sz val="10"/>
        <rFont val="Noto Sans CJK SC"/>
        <family val="2"/>
      </rPr>
      <t xml:space="preserve">是政治廣告（公共服務公告），與 </t>
    </r>
    <r>
      <rPr>
        <sz val="10"/>
        <rFont val="Arial"/>
        <family val="0"/>
        <charset val="1"/>
      </rPr>
      <t xml:space="preserve">Public Storage </t>
    </r>
    <r>
      <rPr>
        <sz val="10"/>
        <rFont val="Noto Sans CJK SC"/>
        <family val="2"/>
      </rPr>
      <t xml:space="preserve">無關。</t>
    </r>
  </si>
  <si>
    <t xml:space="preserve">6ca9b1528a97277ffad716e5</t>
  </si>
  <si>
    <t xml:space="preserve">Meta Platforms</t>
  </si>
  <si>
    <t xml:space="preserve">Apple faces $2.7 billion class action lawsuit in UK over app tracking rules</t>
  </si>
  <si>
    <r>
      <rPr>
        <sz val="10"/>
        <rFont val="Noto Sans CJK SC"/>
        <family val="2"/>
      </rPr>
      <t xml:space="preserve">蘋果因應用程式追蹤規則在英國面臨 </t>
    </r>
    <r>
      <rPr>
        <sz val="10"/>
        <rFont val="Arial"/>
        <family val="0"/>
        <charset val="1"/>
      </rPr>
      <t xml:space="preserve">27 </t>
    </r>
    <r>
      <rPr>
        <sz val="10"/>
        <rFont val="Noto Sans CJK SC"/>
        <family val="2"/>
      </rPr>
      <t xml:space="preserve">億美元集體訴訟</t>
    </r>
  </si>
  <si>
    <r>
      <rPr>
        <sz val="10"/>
        <rFont val="Noto Sans CJK SC"/>
        <family val="2"/>
      </rPr>
      <t xml:space="preserve">事件是 </t>
    </r>
    <r>
      <rPr>
        <sz val="10"/>
        <rFont val="Arial"/>
        <family val="0"/>
        <charset val="1"/>
      </rPr>
      <t xml:space="preserve">Apple </t>
    </r>
    <r>
      <rPr>
        <sz val="10"/>
        <rFont val="Noto Sans CJK SC"/>
        <family val="2"/>
      </rPr>
      <t xml:space="preserve">在英國面臨 </t>
    </r>
    <r>
      <rPr>
        <sz val="10"/>
        <rFont val="Arial"/>
        <family val="0"/>
        <charset val="1"/>
      </rPr>
      <t xml:space="preserve">27 </t>
    </r>
    <r>
      <rPr>
        <sz val="10"/>
        <rFont val="Noto Sans CJK SC"/>
        <family val="2"/>
      </rPr>
      <t xml:space="preserve">億美元集體訴訟，公司欄位為 </t>
    </r>
    <r>
      <rPr>
        <sz val="10"/>
        <rFont val="Arial"/>
        <family val="0"/>
        <charset val="1"/>
      </rPr>
      <t xml:space="preserve">Meta</t>
    </r>
    <r>
      <rPr>
        <sz val="10"/>
        <rFont val="Noto Sans CJK SC"/>
        <family val="2"/>
      </rPr>
      <t xml:space="preserve">，疑似歸錯公司。</t>
    </r>
  </si>
  <si>
    <t xml:space="preserve">Apple Inc.</t>
  </si>
  <si>
    <t xml:space="preserve">AAPL</t>
  </si>
  <si>
    <t xml:space="preserve">a37f44666d6b93b23fa84c03</t>
  </si>
  <si>
    <t xml:space="preserve">PNR INVESTOR DEADLINE: Robbins Geller Rudman &amp; Dowd LLP Files Class Action Lawsuit Against Pentair plc and Announces Opportunity for Investors with Substantial Losses to Lead Class Action Lawsuit - October 2, 2026 Deadline</t>
  </si>
  <si>
    <r>
      <rPr>
        <sz val="10"/>
        <rFont val="Arial"/>
        <family val="0"/>
        <charset val="1"/>
      </rPr>
      <t xml:space="preserve">PNR </t>
    </r>
    <r>
      <rPr>
        <sz val="10"/>
        <rFont val="Noto Sans CJK SC"/>
        <family val="2"/>
      </rPr>
      <t xml:space="preserve">投资者截止日期：</t>
    </r>
    <r>
      <rPr>
        <sz val="10"/>
        <rFont val="Arial"/>
        <family val="0"/>
        <charset val="1"/>
      </rPr>
      <t xml:space="preserve">Robbins Geller Rudman &amp; Dowd LLP </t>
    </r>
    <r>
      <rPr>
        <sz val="10"/>
        <rFont val="Noto Sans CJK SC"/>
        <family val="2"/>
      </rPr>
      <t xml:space="preserve">对 </t>
    </r>
    <r>
      <rPr>
        <sz val="10"/>
        <rFont val="Arial"/>
        <family val="0"/>
        <charset val="1"/>
      </rPr>
      <t xml:space="preserve">Pentair plc </t>
    </r>
    <r>
      <rPr>
        <sz val="10"/>
        <rFont val="Noto Sans CJK SC"/>
        <family val="2"/>
      </rPr>
      <t xml:space="preserve">提起集体诉讼，并宣布为遭受重大损失的投资者提起集体诉讼的机会 </t>
    </r>
    <r>
      <rPr>
        <sz val="10"/>
        <rFont val="Arial"/>
        <family val="0"/>
        <charset val="1"/>
      </rPr>
      <t xml:space="preserve">- 2026 </t>
    </r>
    <r>
      <rPr>
        <sz val="10"/>
        <rFont val="Noto Sans CJK SC"/>
        <family val="2"/>
      </rPr>
      <t xml:space="preserve">年 </t>
    </r>
    <r>
      <rPr>
        <sz val="10"/>
        <rFont val="Arial"/>
        <family val="0"/>
        <charset val="1"/>
      </rPr>
      <t xml:space="preserve">10 </t>
    </r>
    <r>
      <rPr>
        <sz val="10"/>
        <rFont val="Noto Sans CJK SC"/>
        <family val="2"/>
      </rPr>
      <t xml:space="preserve">月 </t>
    </r>
    <r>
      <rPr>
        <sz val="10"/>
        <rFont val="Arial"/>
        <family val="0"/>
        <charset val="1"/>
      </rPr>
      <t xml:space="preserve">2 </t>
    </r>
    <r>
      <rPr>
        <sz val="10"/>
        <rFont val="Noto Sans CJK SC"/>
        <family val="2"/>
      </rPr>
      <t xml:space="preserve">日</t>
    </r>
  </si>
  <si>
    <t xml:space="preserve">marketscreener.com</t>
  </si>
  <si>
    <t xml:space="preserve">1ad4c85e4c29e0c4f18c0761</t>
  </si>
  <si>
    <t xml:space="preserve">REGN INVESTOR ALERT: Regeneron Pharmaceuticals, Inc. Investors with Substantial Losses Have Opportunity to Lead the Regeneron Class Action Lawsuit</t>
  </si>
  <si>
    <r>
      <rPr>
        <sz val="10"/>
        <rFont val="Arial"/>
        <family val="0"/>
        <charset val="1"/>
      </rPr>
      <t xml:space="preserve">REGN </t>
    </r>
    <r>
      <rPr>
        <sz val="10"/>
        <rFont val="Noto Sans CJK SC"/>
        <family val="2"/>
      </rPr>
      <t xml:space="preserve">投資者提醒：遭受重大損失的 </t>
    </r>
    <r>
      <rPr>
        <sz val="10"/>
        <rFont val="Arial"/>
        <family val="0"/>
        <charset val="1"/>
      </rPr>
      <t xml:space="preserve">Regeneron Pharmaceuticals, Inc. </t>
    </r>
    <r>
      <rPr>
        <sz val="10"/>
        <rFont val="Noto Sans CJK SC"/>
        <family val="2"/>
      </rPr>
      <t xml:space="preserve">投資者有機會主導 </t>
    </r>
    <r>
      <rPr>
        <sz val="10"/>
        <rFont val="Arial"/>
        <family val="0"/>
        <charset val="1"/>
      </rPr>
      <t xml:space="preserve">Regeneron </t>
    </r>
    <r>
      <rPr>
        <sz val="10"/>
        <rFont val="Noto Sans CJK SC"/>
        <family val="2"/>
      </rPr>
      <t xml:space="preserve">集體訴訟</t>
    </r>
  </si>
  <si>
    <t xml:space="preserve">3cde3885f386eda4a41847ca</t>
  </si>
  <si>
    <t xml:space="preserve">Boeing Investors Say 4th Circ. Ruling Imperils Class Actions</t>
  </si>
  <si>
    <t xml:space="preserve">波音投資者稱第四環。裁決將危害集體訴訟</t>
  </si>
  <si>
    <r>
      <rPr>
        <sz val="10"/>
        <rFont val="Arial"/>
        <family val="0"/>
        <charset val="1"/>
      </rPr>
      <t xml:space="preserve">Boeing </t>
    </r>
    <r>
      <rPr>
        <sz val="10"/>
        <rFont val="Noto Sans CJK SC"/>
        <family val="2"/>
      </rPr>
      <t xml:space="preserve">投資人評論第四巡迴法院裁決對集體訴訟的影響，屬法律評論。</t>
    </r>
  </si>
  <si>
    <t xml:space="preserve">32b8bc24f78de0d3c3294e4e</t>
  </si>
  <si>
    <t xml:space="preserve">HCA</t>
  </si>
  <si>
    <t xml:space="preserve">HCA Healthcare, Inc. Common Stock</t>
  </si>
  <si>
    <t xml:space="preserve">HCA class action lawsuit: Patients say trackers needed to book urgent care appointments online</t>
  </si>
  <si>
    <r>
      <rPr>
        <sz val="10"/>
        <rFont val="Arial"/>
        <family val="0"/>
        <charset val="1"/>
      </rPr>
      <t xml:space="preserve">HCA </t>
    </r>
    <r>
      <rPr>
        <sz val="10"/>
        <rFont val="Noto Sans CJK SC"/>
        <family val="2"/>
      </rPr>
      <t xml:space="preserve">集體訴訟：患者表示追蹤器需要在線預訂緊急護理預約</t>
    </r>
  </si>
  <si>
    <t xml:space="preserve">WKRN News 2</t>
  </si>
  <si>
    <t xml:space="preserve">PRIVACY_INCIDENT</t>
  </si>
  <si>
    <r>
      <rPr>
        <sz val="10"/>
        <rFont val="Arial"/>
        <family val="0"/>
        <charset val="1"/>
      </rPr>
      <t xml:space="preserve">HCA </t>
    </r>
    <r>
      <rPr>
        <sz val="10"/>
        <rFont val="Noto Sans CJK SC"/>
        <family val="2"/>
      </rPr>
      <t xml:space="preserve">病患指控網站追蹤器侵犯隱私，屬隱私事件。</t>
    </r>
  </si>
  <si>
    <t xml:space="preserve">6b7c085a8386555b51d8b5a8</t>
  </si>
  <si>
    <r>
      <rPr>
        <sz val="10"/>
        <rFont val="Arial"/>
        <family val="0"/>
        <charset val="1"/>
      </rPr>
      <t xml:space="preserve">Pentair plc (PNR) </t>
    </r>
    <r>
      <rPr>
        <sz val="10"/>
        <rFont val="Noto Sans CJK SC"/>
        <family val="2"/>
      </rPr>
      <t xml:space="preserve">關於 </t>
    </r>
    <r>
      <rPr>
        <sz val="10"/>
        <rFont val="Arial"/>
        <family val="0"/>
        <charset val="1"/>
      </rPr>
      <t xml:space="preserve">2026 </t>
    </r>
    <r>
      <rPr>
        <sz val="10"/>
        <rFont val="Noto Sans CJK SC"/>
        <family val="2"/>
      </rPr>
      <t xml:space="preserve">年 </t>
    </r>
    <r>
      <rPr>
        <sz val="10"/>
        <rFont val="Arial"/>
        <family val="0"/>
        <charset val="1"/>
      </rPr>
      <t xml:space="preserve">10 </t>
    </r>
    <r>
      <rPr>
        <sz val="10"/>
        <rFont val="Noto Sans CJK SC"/>
        <family val="2"/>
      </rPr>
      <t xml:space="preserve">月 </t>
    </r>
    <r>
      <rPr>
        <sz val="10"/>
        <rFont val="Arial"/>
        <family val="0"/>
        <charset val="1"/>
      </rPr>
      <t xml:space="preserve">2 </t>
    </r>
    <r>
      <rPr>
        <sz val="10"/>
        <rFont val="Noto Sans CJK SC"/>
        <family val="2"/>
      </rPr>
      <t xml:space="preserve">日集體訴訟申請截止日期的通知</t>
    </r>
  </si>
  <si>
    <t xml:space="preserve">ee6678be577c258f20468ef6</t>
  </si>
  <si>
    <t xml:space="preserve">REGN ALERT: Hagens Berman Alerts Regeneron Pharmaceuticals, Inc. (REGN) Investors to Pending Securities Fraud Class Action Amid Disclosures About Key Trial's Protocol and Ultimate Failure</t>
  </si>
  <si>
    <r>
      <rPr>
        <sz val="10"/>
        <rFont val="Arial"/>
        <family val="0"/>
        <charset val="1"/>
      </rPr>
      <t xml:space="preserve">REGN </t>
    </r>
    <r>
      <rPr>
        <sz val="10"/>
        <rFont val="Noto Sans CJK SC"/>
        <family val="2"/>
      </rPr>
      <t xml:space="preserve">警報：哈根斯伯曼 </t>
    </r>
    <r>
      <rPr>
        <sz val="10"/>
        <rFont val="Arial"/>
        <family val="0"/>
        <charset val="1"/>
      </rPr>
      <t xml:space="preserve">(Hagens Berman) </t>
    </r>
    <r>
      <rPr>
        <sz val="10"/>
        <rFont val="Noto Sans CJK SC"/>
        <family val="2"/>
      </rPr>
      <t xml:space="preserve">提醒 </t>
    </r>
    <r>
      <rPr>
        <sz val="10"/>
        <rFont val="Arial"/>
        <family val="0"/>
        <charset val="1"/>
      </rPr>
      <t xml:space="preserve">Regeneron Pharmaceuticals, Inc. (REGN) </t>
    </r>
    <r>
      <rPr>
        <sz val="10"/>
        <rFont val="Noto Sans CJK SC"/>
        <family val="2"/>
      </rPr>
      <t xml:space="preserve">投資者註意未決的證券欺詐集體訴訟，其中披露了有關關鍵試驗的協議和最終失敗的信息</t>
    </r>
  </si>
  <si>
    <t xml:space="preserve">8cd5d0104f7177725ae04d1b</t>
  </si>
  <si>
    <t xml:space="preserve">GDDY SHAREHOLDER ALERT: Bronstein, Gewirtz and Grossman, LLC Announces that GoDaddy Inc. Stockholders with Substantial Losses Have Opportunity to Lead Class Action Lawsuit!</t>
  </si>
  <si>
    <r>
      <rPr>
        <sz val="10"/>
        <rFont val="Arial"/>
        <family val="0"/>
        <charset val="1"/>
      </rPr>
      <t xml:space="preserve">GDDY </t>
    </r>
    <r>
      <rPr>
        <sz val="10"/>
        <rFont val="Noto Sans CJK SC"/>
        <family val="2"/>
      </rPr>
      <t xml:space="preserve">股東提醒：</t>
    </r>
    <r>
      <rPr>
        <sz val="10"/>
        <rFont val="Arial"/>
        <family val="0"/>
        <charset val="1"/>
      </rPr>
      <t xml:space="preserve">Bronstein</t>
    </r>
    <r>
      <rPr>
        <sz val="10"/>
        <rFont val="Noto Sans CJK SC"/>
        <family val="2"/>
      </rPr>
      <t xml:space="preserve">、</t>
    </r>
    <r>
      <rPr>
        <sz val="10"/>
        <rFont val="Arial"/>
        <family val="0"/>
        <charset val="1"/>
      </rPr>
      <t xml:space="preserve">Gewirtz </t>
    </r>
    <r>
      <rPr>
        <sz val="10"/>
        <rFont val="Noto Sans CJK SC"/>
        <family val="2"/>
      </rPr>
      <t xml:space="preserve">和 </t>
    </r>
    <r>
      <rPr>
        <sz val="10"/>
        <rFont val="Arial"/>
        <family val="0"/>
        <charset val="1"/>
      </rPr>
      <t xml:space="preserve">Grossman, LLC </t>
    </r>
    <r>
      <rPr>
        <sz val="10"/>
        <rFont val="Noto Sans CJK SC"/>
        <family val="2"/>
      </rPr>
      <t xml:space="preserve">宣布遭受重大損失的 </t>
    </r>
    <r>
      <rPr>
        <sz val="10"/>
        <rFont val="Arial"/>
        <family val="0"/>
        <charset val="1"/>
      </rPr>
      <t xml:space="preserve">GoDaddy Inc. </t>
    </r>
    <r>
      <rPr>
        <sz val="10"/>
        <rFont val="Noto Sans CJK SC"/>
        <family val="2"/>
      </rPr>
      <t xml:space="preserve">股東有機會提起集體訴訟！</t>
    </r>
  </si>
  <si>
    <t xml:space="preserve">bd43b6190fadea4fa33334e2</t>
  </si>
  <si>
    <t xml:space="preserve">bd70771ee4d2251c91648496</t>
  </si>
  <si>
    <t xml:space="preserve">Nationwide Class Action Against Amazon Claims Abusive Treatment of Pregnant Warehouse Workers</t>
  </si>
  <si>
    <t xml:space="preserve">A Better Balance</t>
  </si>
  <si>
    <t xml:space="preserve">亞馬遜倉儲員工勞資集體訴訟，屬一般勞資訴訟。</t>
  </si>
  <si>
    <t xml:space="preserve">b545593e60d56060932416ef</t>
  </si>
  <si>
    <t xml:space="preserve">PYPL</t>
  </si>
  <si>
    <t xml:space="preserve">PayPal</t>
  </si>
  <si>
    <t xml:space="preserve">PayPal sent private Venmo transaction data to outside companies, a new class action alleges</t>
  </si>
  <si>
    <t xml:space="preserve">Claim Depot</t>
  </si>
  <si>
    <r>
      <rPr>
        <sz val="10"/>
        <rFont val="Arial"/>
        <family val="0"/>
        <charset val="1"/>
      </rPr>
      <t xml:space="preserve">PayPal </t>
    </r>
    <r>
      <rPr>
        <sz val="10"/>
        <rFont val="Noto Sans CJK SC"/>
        <family val="2"/>
      </rPr>
      <t xml:space="preserve">被指控將 </t>
    </r>
    <r>
      <rPr>
        <sz val="10"/>
        <rFont val="Arial"/>
        <family val="0"/>
        <charset val="1"/>
      </rPr>
      <t xml:space="preserve">Venmo </t>
    </r>
    <r>
      <rPr>
        <sz val="10"/>
        <rFont val="Noto Sans CJK SC"/>
        <family val="2"/>
      </rPr>
      <t xml:space="preserve">交易資料提供給外部公司，屬隱私事件。</t>
    </r>
  </si>
  <si>
    <t xml:space="preserve">c98baec383b420596255d17b</t>
  </si>
  <si>
    <t xml:space="preserve">2026-09-09</t>
  </si>
  <si>
    <t xml:space="preserve">GDDY Shareholder Alert: October 20, 2026 Lead Plaintiff Deadline in GoDaddy Inc. Securities Class Action - Contact Levi &amp; Korsinsky</t>
  </si>
  <si>
    <t xml:space="preserve">088947dcda9acc028025c95e</t>
  </si>
  <si>
    <t xml:space="preserve">Robbins LLP Urges GDDY Stockholders Who Lost Money Investing in GoDaddy Inc. to Contact the Firm for Information About Leading the Class Action</t>
  </si>
  <si>
    <t xml:space="preserve">385749f905ec5ecc1f64a8ee</t>
  </si>
  <si>
    <t xml:space="preserve">GDDY Shareholder Alert: Investors With Losses May Seek to Lead the Class Action in GoDaddy Inc. Securities Lawsuit - Contact SueWallSt</t>
  </si>
  <si>
    <t xml:space="preserve">5e5612bbf809454efc2fa3db</t>
  </si>
  <si>
    <t xml:space="preserve">GoDaddy Inc. (GDDY) Investors: October 20, 2026, Deadline in Securities Fraud Class Action Lawsuit</t>
  </si>
  <si>
    <t xml:space="preserve">21cbba0f9e4e028e9347f982</t>
  </si>
  <si>
    <t xml:space="preserve">NFLX</t>
  </si>
  <si>
    <t xml:space="preserve">Netflix, Inc.</t>
  </si>
  <si>
    <t xml:space="preserve">Florida attorney general sues Netflix over ‘bait-and-switch’ on privacy for kids</t>
  </si>
  <si>
    <r>
      <rPr>
        <sz val="10"/>
        <rFont val="Noto Sans CJK SC"/>
        <family val="2"/>
      </rPr>
      <t xml:space="preserve">佛州檢察長起訴 </t>
    </r>
    <r>
      <rPr>
        <sz val="10"/>
        <rFont val="Arial"/>
        <family val="0"/>
        <charset val="1"/>
      </rPr>
      <t xml:space="preserve">Netflix </t>
    </r>
    <r>
      <rPr>
        <sz val="10"/>
        <rFont val="Noto Sans CJK SC"/>
        <family val="2"/>
      </rPr>
      <t xml:space="preserve">涉兒童隱私。</t>
    </r>
  </si>
  <si>
    <t xml:space="preserve">598301bce0c925a4ac558f97</t>
  </si>
  <si>
    <t xml:space="preserve">2026-09-11</t>
  </si>
  <si>
    <t xml:space="preserve">GDDY Class Alert: GoDaddy Securities Fraud Class Action to</t>
  </si>
  <si>
    <t xml:space="preserve">75fec4b6c72d78e1d11f8371</t>
  </si>
  <si>
    <t xml:space="preserve">Robbins LLP Urges PNR Stockholders to Contact the Firm for Information About the Class Action Against Pentair plc</t>
  </si>
  <si>
    <t xml:space="preserve">52344d060d1108565bcee86c</t>
  </si>
  <si>
    <t xml:space="preserve">2026-09-16</t>
  </si>
  <si>
    <t xml:space="preserve">GDDY Shareholder Alert: GoDaddy Inc. Securities Class Action Lawsuit - Investors With Losses May Contact Levi &amp; Korsinsky</t>
  </si>
  <si>
    <t xml:space="preserve">ab0f8f737ba4fa480c100a43</t>
  </si>
  <si>
    <t xml:space="preserve">GDDY DEADLINE: SueWallSt Reminds GoDaddy Inc. Investors of Upcoming Securities Class Action Deadline</t>
  </si>
  <si>
    <t xml:space="preserve">ad70b34cfda0aa20db65fd65</t>
  </si>
  <si>
    <t xml:space="preserve">PNR Shareholder Alert: Pentair plc Securities Class Action Lawsuit - Investors Should Contact SueWallSt</t>
  </si>
  <si>
    <t xml:space="preserve">8edebe2e0f23398202b688cd</t>
  </si>
  <si>
    <t xml:space="preserve">2026-09-25</t>
  </si>
  <si>
    <t xml:space="preserve">CVS texted consumers after they opted out, a new class action lawsuit claims.</t>
  </si>
  <si>
    <t xml:space="preserve">8630ba2dd82ff84adddaa7f4</t>
  </si>
  <si>
    <t xml:space="preserve">2026-09-27</t>
  </si>
  <si>
    <t xml:space="preserve">APP</t>
  </si>
  <si>
    <t xml:space="preserve">Applovin Corporation</t>
  </si>
  <si>
    <t xml:space="preserve">AppLovin Stock Is Down 54% in 2026 and Facing a Class Action. Here’s Where It Could Go</t>
  </si>
  <si>
    <r>
      <rPr>
        <sz val="10"/>
        <rFont val="Arial"/>
        <family val="0"/>
        <charset val="1"/>
      </rPr>
      <t xml:space="preserve">AppLovin </t>
    </r>
    <r>
      <rPr>
        <sz val="10"/>
        <rFont val="Noto Sans CJK SC"/>
        <family val="2"/>
      </rPr>
      <t xml:space="preserve">證券集體訴訟。</t>
    </r>
  </si>
  <si>
    <t xml:space="preserve">f16f5e0f5e719faa2e28d4db</t>
  </si>
  <si>
    <t xml:space="preserve">2026-09-28</t>
  </si>
  <si>
    <t xml:space="preserve">PNR DEADLINE NOTICE: Faruqi &amp; Faruqi, LLP Reminds Pentair (PNR) Investors of Securities Class Action Lawsuit Deadline on October 2, 2026</t>
  </si>
  <si>
    <t xml:space="preserve">3b46f49745e60c6b38e6f5c0</t>
  </si>
  <si>
    <t xml:space="preserve">US judge rejects class action over Energizer, Walmart battery prices</t>
  </si>
  <si>
    <r>
      <rPr>
        <sz val="10"/>
        <rFont val="Noto Sans CJK SC"/>
        <family val="2"/>
      </rPr>
      <t xml:space="preserve">法官駁回電池價格集體訴訟，對 </t>
    </r>
    <r>
      <rPr>
        <sz val="10"/>
        <rFont val="Arial"/>
        <family val="0"/>
        <charset val="1"/>
      </rPr>
      <t xml:space="preserve">Walmart </t>
    </r>
    <r>
      <rPr>
        <sz val="10"/>
        <rFont val="Noto Sans CJK SC"/>
        <family val="2"/>
      </rPr>
      <t xml:space="preserve">為正面結果。</t>
    </r>
  </si>
  <si>
    <t xml:space="preserve">7f3ec1945fddddab2bfb50ac</t>
  </si>
  <si>
    <t xml:space="preserve">PFE</t>
  </si>
  <si>
    <t xml:space="preserve">Pfizer, Inc. Common Stock</t>
  </si>
  <si>
    <t xml:space="preserve">Florida Attorney General sues Pfizer and CEO over COVID-19 vaccine claims</t>
  </si>
  <si>
    <r>
      <rPr>
        <sz val="10"/>
        <rFont val="Noto Sans CJK SC"/>
        <family val="2"/>
      </rPr>
      <t xml:space="preserve">佛州檢察長起訴 </t>
    </r>
    <r>
      <rPr>
        <sz val="10"/>
        <rFont val="Arial"/>
        <family val="0"/>
        <charset val="1"/>
      </rPr>
      <t xml:space="preserve">Pfizer </t>
    </r>
    <r>
      <rPr>
        <sz val="10"/>
        <rFont val="Noto Sans CJK SC"/>
        <family val="2"/>
      </rPr>
      <t xml:space="preserve">與其 </t>
    </r>
    <r>
      <rPr>
        <sz val="10"/>
        <rFont val="Arial"/>
        <family val="0"/>
        <charset val="1"/>
      </rPr>
      <t xml:space="preserve">CEO</t>
    </r>
    <r>
      <rPr>
        <sz val="10"/>
        <rFont val="Noto Sans CJK SC"/>
        <family val="2"/>
      </rPr>
      <t xml:space="preserve">，涉及 </t>
    </r>
    <r>
      <rPr>
        <sz val="10"/>
        <rFont val="Arial"/>
        <family val="0"/>
        <charset val="1"/>
      </rPr>
      <t xml:space="preserve">COVID </t>
    </r>
    <r>
      <rPr>
        <sz val="10"/>
        <rFont val="Noto Sans CJK SC"/>
        <family val="2"/>
      </rPr>
      <t xml:space="preserve">疫苗宣稱。</t>
    </r>
  </si>
  <si>
    <t xml:space="preserve">87b832be833919af16679865</t>
  </si>
  <si>
    <t xml:space="preserve">2026-10-02</t>
  </si>
  <si>
    <t xml:space="preserve">First Solar</t>
  </si>
  <si>
    <t xml:space="preserve">第一太陽能起訴中國JA Solar侵犯專利權</t>
  </si>
  <si>
    <r>
      <rPr>
        <sz val="10"/>
        <rFont val="Arial"/>
        <family val="0"/>
        <charset val="1"/>
      </rPr>
      <t xml:space="preserve">First Solar </t>
    </r>
    <r>
      <rPr>
        <sz val="10"/>
        <rFont val="Noto Sans CJK SC"/>
        <family val="2"/>
      </rPr>
      <t xml:space="preserve">為原告（起訴 </t>
    </r>
    <r>
      <rPr>
        <sz val="10"/>
        <rFont val="Arial"/>
        <family val="0"/>
        <charset val="1"/>
      </rPr>
      <t xml:space="preserve">JA Solar </t>
    </r>
    <r>
      <rPr>
        <sz val="10"/>
        <rFont val="Noto Sans CJK SC"/>
        <family val="2"/>
      </rPr>
      <t xml:space="preserve">侵權），不是對公司的訴訟。</t>
    </r>
  </si>
  <si>
    <t xml:space="preserve">49ef3f5655e631c8b912a1fe</t>
  </si>
  <si>
    <t xml:space="preserve">MCD</t>
  </si>
  <si>
    <t xml:space="preserve">McDonald's Corporation Common Stock</t>
  </si>
  <si>
    <t xml:space="preserve">McDonald's hit with class action alleging AI-powered menu price-fixing</t>
  </si>
  <si>
    <r>
      <rPr>
        <sz val="10"/>
        <rFont val="Noto Sans CJK SC"/>
        <family val="2"/>
      </rPr>
      <t xml:space="preserve">麥當勞被控以 </t>
    </r>
    <r>
      <rPr>
        <sz val="10"/>
        <rFont val="Arial"/>
        <family val="0"/>
        <charset val="1"/>
      </rPr>
      <t xml:space="preserve">AI </t>
    </r>
    <r>
      <rPr>
        <sz val="10"/>
        <rFont val="Noto Sans CJK SC"/>
        <family val="2"/>
      </rPr>
      <t xml:space="preserve">菜單定價操縱價格（集體訴訟）。</t>
    </r>
  </si>
  <si>
    <t xml:space="preserve">db14b425341c66039d5f451a</t>
  </si>
  <si>
    <t xml:space="preserve">JBHT</t>
  </si>
  <si>
    <t xml:space="preserve">J.B. Hunt</t>
  </si>
  <si>
    <t xml:space="preserve">Rosen Law Firm Encourages J.B. Hunt Transport Services, Inc. Investors to Inquire About Securities Class Action Investigation - JBHT</t>
  </si>
  <si>
    <r>
      <rPr>
        <sz val="10"/>
        <rFont val="Noto Sans CJK SC"/>
        <family val="2"/>
      </rPr>
      <t xml:space="preserve">律所對 </t>
    </r>
    <r>
      <rPr>
        <sz val="10"/>
        <rFont val="Arial"/>
        <family val="0"/>
        <charset val="1"/>
      </rPr>
      <t xml:space="preserve">J.B. Hunt </t>
    </r>
    <r>
      <rPr>
        <sz val="10"/>
        <rFont val="Noto Sans CJK SC"/>
        <family val="2"/>
      </rPr>
      <t xml:space="preserve">的證券集體訴訟「調查」公告，尚未確認已提起訴訟。</t>
    </r>
  </si>
  <si>
    <t xml:space="preserve">4a8a13c5a5587bf3082d6d0f</t>
  </si>
  <si>
    <t xml:space="preserve">2026-10-08</t>
  </si>
  <si>
    <t xml:space="preserve">Ford Motor Company</t>
  </si>
  <si>
    <t xml:space="preserve">英國法院駁回了針對汽車製造商的柴油車尾氣排放訴訟中的上訴許可申請</t>
  </si>
  <si>
    <t xml:space="preserve">英國法院駁回柴油車尾氣訴訟的上訴許可申請；不確定駁回的是車廠或原告一方。</t>
  </si>
  <si>
    <t xml:space="preserve">F</t>
  </si>
  <si>
    <t xml:space="preserve">381d3368c6c9f41ce74590e9</t>
  </si>
  <si>
    <t xml:space="preserve">Uber class action alleges company enrolled users in Uber One without consent</t>
  </si>
  <si>
    <t xml:space="preserve">a47ec3a8e00258e537cfdb3e</t>
  </si>
  <si>
    <t xml:space="preserve">XOM</t>
  </si>
  <si>
    <t xml:space="preserve">ExxonMobil</t>
  </si>
  <si>
    <t xml:space="preserve">Weil Wins Dismissal of Plastics Class Action for ExxonMobil</t>
  </si>
  <si>
    <t xml:space="preserve">Weil</t>
  </si>
  <si>
    <t xml:space="preserve">埃克森美孚勝訴（塑膠集體訴訟、紐約市環保訴訟被駁回），屬正面結果。</t>
  </si>
  <si>
    <t xml:space="preserve">a56141ede6d0d4ab2b1ad0df</t>
  </si>
  <si>
    <t xml:space="preserve">Class action alleges consumers enrolled in Uber One subscription without consent</t>
  </si>
  <si>
    <t xml:space="preserve">cf4be0c7b9098718f032aa3f</t>
  </si>
  <si>
    <t xml:space="preserve">埃克森美孚、殼牌、BP勝訴 成功駁回紐約市環保訴訟‌</t>
  </si>
  <si>
    <t xml:space="preserve">2b3099325cb0d6bbe8f1a160</t>
  </si>
  <si>
    <t xml:space="preserve">2026-10-10</t>
  </si>
  <si>
    <t xml:space="preserve">Tariff refund class action lawsuits target Walmart, Puma, others</t>
  </si>
  <si>
    <t xml:space="preserve">關稅退費消費者集體訴訟，屬一般消費者訴訟。</t>
  </si>
  <si>
    <t xml:space="preserve">aed03c1292af01ec9e457a52</t>
  </si>
  <si>
    <t xml:space="preserve">2026-10-13</t>
  </si>
  <si>
    <t xml:space="preserve">HONA</t>
  </si>
  <si>
    <t xml:space="preserve">Honeywell Aerospace Inc.</t>
  </si>
  <si>
    <t xml:space="preserve">INVESTOR ALERT: Honeywell Aerospace Inc. (HONA) Investors with Substantial Losses May Seek to Lead Class Action Lawsuit, Robbins Geller Rudman &amp; Dowd LLP Announces - November 23, 2026 Deadline</t>
  </si>
  <si>
    <r>
      <rPr>
        <sz val="10"/>
        <rFont val="Noto Sans CJK SC"/>
        <family val="2"/>
      </rPr>
      <t xml:space="preserve">投資者提醒：</t>
    </r>
    <r>
      <rPr>
        <sz val="10"/>
        <rFont val="Arial"/>
        <family val="0"/>
        <charset val="1"/>
      </rPr>
      <t xml:space="preserve">Robbins Geller Rudman &amp; Dowd LLP </t>
    </r>
    <r>
      <rPr>
        <sz val="10"/>
        <rFont val="Noto Sans CJK SC"/>
        <family val="2"/>
      </rPr>
      <t xml:space="preserve">宣布，遭受重大損失的 </t>
    </r>
    <r>
      <rPr>
        <sz val="10"/>
        <rFont val="Arial"/>
        <family val="0"/>
        <charset val="1"/>
      </rPr>
      <t xml:space="preserve">Honeywell Aerospace Inc. (HONA) </t>
    </r>
    <r>
      <rPr>
        <sz val="10"/>
        <rFont val="Noto Sans CJK SC"/>
        <family val="2"/>
      </rPr>
      <t xml:space="preserve">投資者可能會尋求提起集體訴訟 </t>
    </r>
    <r>
      <rPr>
        <sz val="10"/>
        <rFont val="Arial"/>
        <family val="0"/>
        <charset val="1"/>
      </rPr>
      <t xml:space="preserve">- </t>
    </r>
    <r>
      <rPr>
        <sz val="10"/>
        <rFont val="Noto Sans CJK SC"/>
        <family val="2"/>
      </rPr>
      <t xml:space="preserve">截止日期為 </t>
    </r>
    <r>
      <rPr>
        <sz val="10"/>
        <rFont val="Arial"/>
        <family val="0"/>
        <charset val="1"/>
      </rPr>
      <t xml:space="preserve">2026 </t>
    </r>
    <r>
      <rPr>
        <sz val="10"/>
        <rFont val="Noto Sans CJK SC"/>
        <family val="2"/>
      </rPr>
      <t xml:space="preserve">年 </t>
    </r>
    <r>
      <rPr>
        <sz val="10"/>
        <rFont val="Arial"/>
        <family val="0"/>
        <charset val="1"/>
      </rPr>
      <t xml:space="preserve">11 </t>
    </r>
    <r>
      <rPr>
        <sz val="10"/>
        <rFont val="Noto Sans CJK SC"/>
        <family val="2"/>
      </rPr>
      <t xml:space="preserve">月 </t>
    </r>
    <r>
      <rPr>
        <sz val="10"/>
        <rFont val="Arial"/>
        <family val="0"/>
        <charset val="1"/>
      </rPr>
      <t xml:space="preserve">23 </t>
    </r>
    <r>
      <rPr>
        <sz val="10"/>
        <rFont val="Noto Sans CJK SC"/>
        <family val="2"/>
      </rPr>
      <t xml:space="preserve">日</t>
    </r>
  </si>
  <si>
    <r>
      <rPr>
        <sz val="10"/>
        <rFont val="Arial"/>
        <family val="0"/>
        <charset val="1"/>
      </rPr>
      <t xml:space="preserve">Honeywell Aerospace </t>
    </r>
    <r>
      <rPr>
        <sz val="10"/>
        <rFont val="Noto Sans CJK SC"/>
        <family val="2"/>
      </rPr>
      <t xml:space="preserve">證券集體訴訟（律師事務所公告）。</t>
    </r>
  </si>
  <si>
    <t xml:space="preserve">6519595a0c4e31b51576fdc7</t>
  </si>
  <si>
    <t xml:space="preserve">HONA Shareholder Alert: Investors With Losses May Seek to Lead the Class Action in Honeywell Aerospace Securities Lawsuit - Contact Levi &amp; Korsinsky</t>
  </si>
  <si>
    <r>
      <rPr>
        <sz val="10"/>
        <rFont val="Arial"/>
        <family val="0"/>
        <charset val="1"/>
      </rPr>
      <t xml:space="preserve">HONA </t>
    </r>
    <r>
      <rPr>
        <sz val="10"/>
        <rFont val="Noto Sans CJK SC"/>
        <family val="2"/>
      </rPr>
      <t xml:space="preserve">股東提醒：遭受損失的投資者可能會尋求主導霍尼韋爾航空航天證券訴訟的集體訴訟 </t>
    </r>
    <r>
      <rPr>
        <sz val="10"/>
        <rFont val="Arial"/>
        <family val="0"/>
        <charset val="1"/>
      </rPr>
      <t xml:space="preserve">- </t>
    </r>
    <r>
      <rPr>
        <sz val="10"/>
        <rFont val="Noto Sans CJK SC"/>
        <family val="2"/>
      </rPr>
      <t xml:space="preserve">聯繫 </t>
    </r>
    <r>
      <rPr>
        <sz val="10"/>
        <rFont val="Arial"/>
        <family val="0"/>
        <charset val="1"/>
      </rPr>
      <t xml:space="preserve">Levi &amp; Korsinsky</t>
    </r>
  </si>
  <si>
    <t xml:space="preserve">9a51a8085af589668e5f9f74</t>
  </si>
  <si>
    <t xml:space="preserve">Robbins LLP Urges HONA Stockholders Who Lost Money Investing in Honeywell Aerospace Inc. to Contact the Firm for Information About Leading the Class Action</t>
  </si>
  <si>
    <r>
      <rPr>
        <sz val="10"/>
        <rFont val="Arial"/>
        <family val="0"/>
        <charset val="1"/>
      </rPr>
      <t xml:space="preserve">Robbins LLP </t>
    </r>
    <r>
      <rPr>
        <sz val="10"/>
        <rFont val="Noto Sans CJK SC"/>
        <family val="2"/>
      </rPr>
      <t xml:space="preserve">敦促因投資霍尼韋爾航空航太公司而遭受損失的 </t>
    </r>
    <r>
      <rPr>
        <sz val="10"/>
        <rFont val="Arial"/>
        <family val="0"/>
        <charset val="1"/>
      </rPr>
      <t xml:space="preserve">HONA </t>
    </r>
    <r>
      <rPr>
        <sz val="10"/>
        <rFont val="Noto Sans CJK SC"/>
        <family val="2"/>
      </rPr>
      <t xml:space="preserve">股東聯繫該公司，以了解有關領導集體訴訟的信息</t>
    </r>
  </si>
  <si>
    <t xml:space="preserve">86bbf19629a0a200e4c3274b</t>
  </si>
  <si>
    <t xml:space="preserve">Amazon faces coordinated class action lawsuits over alleged tariff overcharges</t>
  </si>
  <si>
    <t xml:space="preserve">亞馬遜因涉嫌關稅過高而面臨協調集體訴訟</t>
  </si>
  <si>
    <t xml:space="preserve">02b050204bee2e85c36cc8e2</t>
  </si>
  <si>
    <t xml:space="preserve">HONA CLASS ACTION NOTICE: Faruqi &amp; Faruqi, LLP Reminds Honeywell</t>
  </si>
  <si>
    <r>
      <rPr>
        <sz val="10"/>
        <rFont val="Arial"/>
        <family val="0"/>
        <charset val="1"/>
      </rPr>
      <t xml:space="preserve">HONA </t>
    </r>
    <r>
      <rPr>
        <sz val="10"/>
        <rFont val="Noto Sans CJK SC"/>
        <family val="2"/>
      </rPr>
      <t xml:space="preserve">集體訴訟通知：</t>
    </r>
    <r>
      <rPr>
        <sz val="10"/>
        <rFont val="Arial"/>
        <family val="0"/>
        <charset val="1"/>
      </rPr>
      <t xml:space="preserve">Faruqi &amp; Faruqi, LLP </t>
    </r>
    <r>
      <rPr>
        <sz val="10"/>
        <rFont val="Noto Sans CJK SC"/>
        <family val="2"/>
      </rPr>
      <t xml:space="preserve">提醒霍尼韋爾</t>
    </r>
  </si>
  <si>
    <t xml:space="preserve">The National Law Review</t>
  </si>
  <si>
    <t xml:space="preserve">1889698fa52a43a521d5aed3</t>
  </si>
  <si>
    <t xml:space="preserve">APP Shareholder Alert: AppLovin Corporation Securities Class Action Lawsuit - Investors Should Contact SueWallSt</t>
  </si>
  <si>
    <r>
      <rPr>
        <sz val="10"/>
        <rFont val="Arial"/>
        <family val="0"/>
        <charset val="1"/>
      </rPr>
      <t xml:space="preserve">APP </t>
    </r>
    <r>
      <rPr>
        <sz val="10"/>
        <rFont val="Noto Sans CJK SC"/>
        <family val="2"/>
      </rPr>
      <t xml:space="preserve">股東提醒：</t>
    </r>
    <r>
      <rPr>
        <sz val="10"/>
        <rFont val="Arial"/>
        <family val="0"/>
        <charset val="1"/>
      </rPr>
      <t xml:space="preserve">AppLovin Corporation </t>
    </r>
    <r>
      <rPr>
        <sz val="10"/>
        <rFont val="Noto Sans CJK SC"/>
        <family val="2"/>
      </rPr>
      <t xml:space="preserve">證券集體訴訟 </t>
    </r>
    <r>
      <rPr>
        <sz val="10"/>
        <rFont val="Arial"/>
        <family val="0"/>
        <charset val="1"/>
      </rPr>
      <t xml:space="preserve">- </t>
    </r>
    <r>
      <rPr>
        <sz val="10"/>
        <rFont val="Noto Sans CJK SC"/>
        <family val="2"/>
      </rPr>
      <t xml:space="preserve">投資者應聯絡 </t>
    </r>
    <r>
      <rPr>
        <sz val="10"/>
        <rFont val="Arial"/>
        <family val="0"/>
        <charset val="1"/>
      </rPr>
      <t xml:space="preserve">SueWallSt</t>
    </r>
  </si>
  <si>
    <t xml:space="preserve">94bffaab1b83fe730a7d0067</t>
  </si>
  <si>
    <t xml:space="preserve">SueWallSt Reminds Honeywell Aerospace Investors of the Pending Class Action Lawsuit With a Lead Plaintiff Deadline of November 23, 2026 - HONA</t>
  </si>
  <si>
    <r>
      <rPr>
        <sz val="10"/>
        <rFont val="Arial"/>
        <family val="0"/>
        <charset val="1"/>
      </rPr>
      <t xml:space="preserve">SueWallSt </t>
    </r>
    <r>
      <rPr>
        <sz val="10"/>
        <rFont val="Noto Sans CJK SC"/>
        <family val="2"/>
      </rPr>
      <t xml:space="preserve">提醒霍尼韋爾航空航太投資者未決集體訴訟，主要原告截止日期為 </t>
    </r>
    <r>
      <rPr>
        <sz val="10"/>
        <rFont val="Arial"/>
        <family val="0"/>
        <charset val="1"/>
      </rPr>
      <t xml:space="preserve">2026 </t>
    </r>
    <r>
      <rPr>
        <sz val="10"/>
        <rFont val="Noto Sans CJK SC"/>
        <family val="2"/>
      </rPr>
      <t xml:space="preserve">年 </t>
    </r>
    <r>
      <rPr>
        <sz val="10"/>
        <rFont val="Arial"/>
        <family val="0"/>
        <charset val="1"/>
      </rPr>
      <t xml:space="preserve">11 </t>
    </r>
    <r>
      <rPr>
        <sz val="10"/>
        <rFont val="Noto Sans CJK SC"/>
        <family val="2"/>
      </rPr>
      <t xml:space="preserve">月 </t>
    </r>
    <r>
      <rPr>
        <sz val="10"/>
        <rFont val="Arial"/>
        <family val="0"/>
        <charset val="1"/>
      </rPr>
      <t xml:space="preserve">23 </t>
    </r>
    <r>
      <rPr>
        <sz val="10"/>
        <rFont val="Noto Sans CJK SC"/>
        <family val="2"/>
      </rPr>
      <t xml:space="preserve">日 </t>
    </r>
    <r>
      <rPr>
        <sz val="10"/>
        <rFont val="Arial"/>
        <family val="0"/>
        <charset val="1"/>
      </rPr>
      <t xml:space="preserve">- HONA</t>
    </r>
  </si>
  <si>
    <t xml:space="preserve">9bff809c2f6cb1741f0d9d84</t>
  </si>
  <si>
    <r>
      <rPr>
        <sz val="10"/>
        <rFont val="Arial"/>
        <family val="0"/>
        <charset val="1"/>
      </rPr>
      <t xml:space="preserve">SueWallSt </t>
    </r>
    <r>
      <rPr>
        <sz val="10"/>
        <rFont val="Noto Sans CJK SC"/>
        <family val="2"/>
      </rPr>
      <t xml:space="preserve">提醒 </t>
    </r>
    <r>
      <rPr>
        <sz val="10"/>
        <rFont val="Arial"/>
        <family val="0"/>
        <charset val="1"/>
      </rPr>
      <t xml:space="preserve">GoDaddy Inc. </t>
    </r>
    <r>
      <rPr>
        <sz val="10"/>
        <rFont val="Noto Sans CJK SC"/>
        <family val="2"/>
      </rPr>
      <t xml:space="preserve">投資者未決集體訴訟，主要原告截止日期為 </t>
    </r>
    <r>
      <rPr>
        <sz val="10"/>
        <rFont val="Arial"/>
        <family val="0"/>
        <charset val="1"/>
      </rPr>
      <t xml:space="preserve">2026 </t>
    </r>
    <r>
      <rPr>
        <sz val="10"/>
        <rFont val="Noto Sans CJK SC"/>
        <family val="2"/>
      </rPr>
      <t xml:space="preserve">年 </t>
    </r>
    <r>
      <rPr>
        <sz val="10"/>
        <rFont val="Arial"/>
        <family val="0"/>
        <charset val="1"/>
      </rPr>
      <t xml:space="preserve">10 </t>
    </r>
    <r>
      <rPr>
        <sz val="10"/>
        <rFont val="Noto Sans CJK SC"/>
        <family val="2"/>
      </rPr>
      <t xml:space="preserve">月 </t>
    </r>
    <r>
      <rPr>
        <sz val="10"/>
        <rFont val="Arial"/>
        <family val="0"/>
        <charset val="1"/>
      </rPr>
      <t xml:space="preserve">20 </t>
    </r>
    <r>
      <rPr>
        <sz val="10"/>
        <rFont val="Noto Sans CJK SC"/>
        <family val="2"/>
      </rPr>
      <t xml:space="preserve">日 </t>
    </r>
    <r>
      <rPr>
        <sz val="10"/>
        <rFont val="Arial"/>
        <family val="0"/>
        <charset val="1"/>
      </rPr>
      <t xml:space="preserve">- GDDY</t>
    </r>
  </si>
  <si>
    <t xml:space="preserve">c80abc3f77b563d3412adfb1</t>
  </si>
  <si>
    <t xml:space="preserve">Costco class action targets allulose in Kirkland sugar-free drink mix</t>
  </si>
  <si>
    <r>
      <rPr>
        <sz val="10"/>
        <rFont val="Arial"/>
        <family val="0"/>
        <charset val="1"/>
      </rPr>
      <t xml:space="preserve">Costco</t>
    </r>
    <r>
      <rPr>
        <sz val="10"/>
        <rFont val="Noto Sans CJK SC"/>
        <family val="2"/>
      </rPr>
      <t xml:space="preserve">集體訴訟針對柯克蘭無糖飲料混合物中的阿洛酮糖</t>
    </r>
  </si>
  <si>
    <t xml:space="preserve">ecd479b29a54eeeb3d11d706</t>
  </si>
  <si>
    <t xml:space="preserve">INVESTOR ALERT: Pomerantz Law Firm Reminds Investors with Losses on their Investment in Honeywell Aerospace Inc. of Class Action Lawsuit and Upcoming Deadlines - HONA</t>
  </si>
  <si>
    <r>
      <rPr>
        <sz val="10"/>
        <rFont val="Noto Sans CJK SC"/>
        <family val="2"/>
      </rPr>
      <t xml:space="preserve">投資者警報：</t>
    </r>
    <r>
      <rPr>
        <sz val="10"/>
        <rFont val="Arial"/>
        <family val="0"/>
        <charset val="1"/>
      </rPr>
      <t xml:space="preserve">Pomerantz </t>
    </r>
    <r>
      <rPr>
        <sz val="10"/>
        <rFont val="Noto Sans CJK SC"/>
        <family val="2"/>
      </rPr>
      <t xml:space="preserve">律師事務所提醒因投資霍尼韋爾航空航天公司而遭受損失的投資者集體訴訟和即將到來的截止日期 </t>
    </r>
    <r>
      <rPr>
        <sz val="10"/>
        <rFont val="Arial"/>
        <family val="0"/>
        <charset val="1"/>
      </rPr>
      <t xml:space="preserve">- HONA</t>
    </r>
  </si>
  <si>
    <t xml:space="preserve">44dcb3f8c38704b479bf1d71</t>
  </si>
  <si>
    <t xml:space="preserve">Jacobson urges state attorney general to investigate Sysco’s acquisition of Restaurant Depot</t>
  </si>
  <si>
    <r>
      <rPr>
        <sz val="10"/>
        <rFont val="Noto Sans CJK SC"/>
        <family val="2"/>
      </rPr>
      <t xml:space="preserve">雅各布森敦促州總檢察長調查 </t>
    </r>
    <r>
      <rPr>
        <sz val="10"/>
        <rFont val="Arial"/>
        <family val="0"/>
        <charset val="1"/>
      </rPr>
      <t xml:space="preserve">Sysco </t>
    </r>
    <r>
      <rPr>
        <sz val="10"/>
        <rFont val="Noto Sans CJK SC"/>
        <family val="2"/>
      </rPr>
      <t xml:space="preserve">收購 </t>
    </r>
    <r>
      <rPr>
        <sz val="10"/>
        <rFont val="Arial"/>
        <family val="0"/>
        <charset val="1"/>
      </rPr>
      <t xml:space="preserve">Restaurant Depot </t>
    </r>
    <r>
      <rPr>
        <sz val="10"/>
        <rFont val="Noto Sans CJK SC"/>
        <family val="2"/>
      </rPr>
      <t xml:space="preserve">的交易</t>
    </r>
  </si>
  <si>
    <t xml:space="preserve">Mid Hudson News</t>
  </si>
  <si>
    <t xml:space="preserve">aec7db2e5715262b689c205a</t>
  </si>
  <si>
    <t xml:space="preserve">Amazon Stock Rebounds From Slump: AI Ambitions and $2.5B FTC Deal Ignite $3 Trillion Hopes</t>
  </si>
  <si>
    <r>
      <rPr>
        <sz val="10"/>
        <rFont val="Noto Sans CJK SC"/>
        <family val="2"/>
      </rPr>
      <t xml:space="preserve">亞馬遜股價從低迷中反彈：人工智慧野心和 </t>
    </r>
    <r>
      <rPr>
        <sz val="10"/>
        <rFont val="Arial"/>
        <family val="0"/>
        <charset val="1"/>
      </rPr>
      <t xml:space="preserve">2.5 </t>
    </r>
    <r>
      <rPr>
        <sz val="10"/>
        <rFont val="Noto Sans CJK SC"/>
        <family val="2"/>
      </rPr>
      <t xml:space="preserve">億美元的 </t>
    </r>
    <r>
      <rPr>
        <sz val="10"/>
        <rFont val="Arial"/>
        <family val="0"/>
        <charset val="1"/>
      </rPr>
      <t xml:space="preserve">FTC </t>
    </r>
    <r>
      <rPr>
        <sz val="10"/>
        <rFont val="Noto Sans CJK SC"/>
        <family val="2"/>
      </rPr>
      <t xml:space="preserve">交易點燃了 </t>
    </r>
    <r>
      <rPr>
        <sz val="10"/>
        <rFont val="Arial"/>
        <family val="0"/>
        <charset val="1"/>
      </rPr>
      <t xml:space="preserve">3 </t>
    </r>
    <r>
      <rPr>
        <sz val="10"/>
        <rFont val="Noto Sans CJK SC"/>
        <family val="2"/>
      </rPr>
      <t xml:space="preserve">兆美元的希望</t>
    </r>
  </si>
  <si>
    <t xml:space="preserve">TechStock²</t>
  </si>
  <si>
    <t xml:space="preserve">REGULATORY_INVESTIGATION</t>
  </si>
  <si>
    <t xml:space="preserve">監管調查</t>
  </si>
  <si>
    <r>
      <rPr>
        <sz val="10"/>
        <rFont val="Arial"/>
        <family val="0"/>
        <charset val="1"/>
      </rPr>
      <t xml:space="preserve">Amazon </t>
    </r>
    <r>
      <rPr>
        <sz val="10"/>
        <rFont val="Noto Sans CJK SC"/>
        <family val="2"/>
      </rPr>
      <t xml:space="preserve">股價評論，提到 </t>
    </r>
    <r>
      <rPr>
        <sz val="10"/>
        <rFont val="Arial"/>
        <family val="0"/>
        <charset val="1"/>
      </rPr>
      <t xml:space="preserve">25 </t>
    </r>
    <r>
      <rPr>
        <sz val="10"/>
        <rFont val="Noto Sans CJK SC"/>
        <family val="2"/>
      </rPr>
      <t xml:space="preserve">億美元 </t>
    </r>
    <r>
      <rPr>
        <sz val="10"/>
        <rFont val="Arial"/>
        <family val="0"/>
        <charset val="1"/>
      </rPr>
      <t xml:space="preserve">FTC </t>
    </r>
    <r>
      <rPr>
        <sz val="10"/>
        <rFont val="Noto Sans CJK SC"/>
        <family val="2"/>
      </rPr>
      <t xml:space="preserve">和解為舊事件，非新事件。</t>
    </r>
  </si>
  <si>
    <t xml:space="preserve">f084e7f42feace867ce0c5d7</t>
  </si>
  <si>
    <t xml:space="preserve">ADM</t>
  </si>
  <si>
    <t xml:space="preserve">Archer Daniels Midland</t>
  </si>
  <si>
    <t xml:space="preserve">FRONTAL TRUST ADM COR REND CON LIQUIDE CLPP Balance Sheet – BCS:CFIFTCLP_E1</t>
  </si>
  <si>
    <r>
      <rPr>
        <sz val="10"/>
        <rFont val="Arial"/>
        <family val="0"/>
        <charset val="1"/>
      </rPr>
      <t xml:space="preserve">FRONTAL TRUST ADM COR REND CON LIQUIDE CLPP </t>
    </r>
    <r>
      <rPr>
        <sz val="10"/>
        <rFont val="Noto Sans CJK SC"/>
        <family val="2"/>
      </rPr>
      <t xml:space="preserve">資產負債表 – </t>
    </r>
    <r>
      <rPr>
        <sz val="10"/>
        <rFont val="Arial"/>
        <family val="0"/>
        <charset val="1"/>
      </rPr>
      <t xml:space="preserve">BCS:CFIFTCLP_E1</t>
    </r>
  </si>
  <si>
    <t xml:space="preserve">亂碼財務表格標題，不是新聞。</t>
  </si>
  <si>
    <t xml:space="preserve">84493893e0416f70f80cc30a</t>
  </si>
  <si>
    <t xml:space="preserve">COR</t>
  </si>
  <si>
    <t xml:space="preserve">Cencora, Inc. Common Stock</t>
  </si>
  <si>
    <t xml:space="preserve">84a28f6db916fb32846972ec</t>
  </si>
  <si>
    <t xml:space="preserve">CME</t>
  </si>
  <si>
    <t xml:space="preserve">CME Group Inc.</t>
  </si>
  <si>
    <t xml:space="preserve">CFTC Innovation Advisory Committee meeting: CME Group CEO Warns About Prediction Market Listings Open to Manipulation</t>
  </si>
  <si>
    <t xml:space="preserve">Crowdfund Insider</t>
  </si>
  <si>
    <r>
      <rPr>
        <sz val="10"/>
        <rFont val="Arial"/>
        <family val="0"/>
        <charset val="1"/>
      </rPr>
      <t xml:space="preserve">CME </t>
    </r>
    <r>
      <rPr>
        <sz val="10"/>
        <rFont val="Noto Sans CJK SC"/>
        <family val="2"/>
      </rPr>
      <t xml:space="preserve">執行長在 </t>
    </r>
    <r>
      <rPr>
        <sz val="10"/>
        <rFont val="Arial"/>
        <family val="0"/>
        <charset val="1"/>
      </rPr>
      <t xml:space="preserve">CFTC </t>
    </r>
    <r>
      <rPr>
        <sz val="10"/>
        <rFont val="Noto Sans CJK SC"/>
        <family val="2"/>
      </rPr>
      <t xml:space="preserve">會議上提出預測市場警告，沒有調查。</t>
    </r>
  </si>
  <si>
    <t xml:space="preserve">29ca53ec6f51746b22cb1b98</t>
  </si>
  <si>
    <t xml:space="preserve">Delta Air Lines</t>
  </si>
  <si>
    <t xml:space="preserve">美國聯邦貿易委員會（FTC）正考慮要求披露個性化定價</t>
  </si>
  <si>
    <r>
      <rPr>
        <sz val="10"/>
        <rFont val="Arial"/>
        <family val="0"/>
        <charset val="1"/>
      </rPr>
      <t xml:space="preserve">FTC </t>
    </r>
    <r>
      <rPr>
        <sz val="10"/>
        <rFont val="Noto Sans CJK SC"/>
        <family val="2"/>
      </rPr>
      <t xml:space="preserve">考慮要求揭露個人化定價屬產業規範討論，非針對 </t>
    </r>
    <r>
      <rPr>
        <sz val="10"/>
        <rFont val="Arial"/>
        <family val="0"/>
        <charset val="1"/>
      </rPr>
      <t xml:space="preserve">Delta </t>
    </r>
    <r>
      <rPr>
        <sz val="10"/>
        <rFont val="Noto Sans CJK SC"/>
        <family val="2"/>
      </rPr>
      <t xml:space="preserve">的調查。</t>
    </r>
  </si>
  <si>
    <t xml:space="preserve">22a56251dfb3f01a27778045</t>
  </si>
  <si>
    <t xml:space="preserve">2026-08-24</t>
  </si>
  <si>
    <t xml:space="preserve">CoStar Group</t>
  </si>
  <si>
    <t xml:space="preserve">Zillow 就聯邦貿易委員會（FTC）指控其向Redfin支付款項以停止在公寓房源方面展開競爭一事達成和解</t>
  </si>
  <si>
    <r>
      <rPr>
        <sz val="10"/>
        <rFont val="Arial"/>
        <family val="0"/>
        <charset val="1"/>
      </rPr>
      <t xml:space="preserve">Zillow </t>
    </r>
    <r>
      <rPr>
        <sz val="10"/>
        <rFont val="Noto Sans CJK SC"/>
        <family val="2"/>
      </rPr>
      <t xml:space="preserve">與 </t>
    </r>
    <r>
      <rPr>
        <sz val="10"/>
        <rFont val="Arial"/>
        <family val="0"/>
        <charset val="1"/>
      </rPr>
      <t xml:space="preserve">FTC </t>
    </r>
    <r>
      <rPr>
        <sz val="10"/>
        <rFont val="Noto Sans CJK SC"/>
        <family val="2"/>
      </rPr>
      <t xml:space="preserve">和解，公司欄位為 </t>
    </r>
    <r>
      <rPr>
        <sz val="10"/>
        <rFont val="Arial"/>
        <family val="0"/>
        <charset val="1"/>
      </rPr>
      <t xml:space="preserve">CoStar</t>
    </r>
    <r>
      <rPr>
        <sz val="10"/>
        <rFont val="Noto Sans CJK SC"/>
        <family val="2"/>
      </rPr>
      <t xml:space="preserve">，公司誤配。</t>
    </r>
  </si>
  <si>
    <t xml:space="preserve">060383bbaaf5165da1fe8415</t>
  </si>
  <si>
    <t xml:space="preserve">2026-08-25</t>
  </si>
  <si>
    <t xml:space="preserve">FTC Warns Patent-Right Acquisitions Cannot Escape Antitrust Review in Amgen Enbrel Case</t>
  </si>
  <si>
    <r>
      <rPr>
        <sz val="10"/>
        <rFont val="Arial"/>
        <family val="0"/>
        <charset val="1"/>
      </rPr>
      <t xml:space="preserve">FTC </t>
    </r>
    <r>
      <rPr>
        <sz val="10"/>
        <rFont val="Noto Sans CJK SC"/>
        <family val="2"/>
      </rPr>
      <t xml:space="preserve">對 </t>
    </r>
    <r>
      <rPr>
        <sz val="10"/>
        <rFont val="Arial"/>
        <family val="0"/>
        <charset val="1"/>
      </rPr>
      <t xml:space="preserve">Amgen Enbrel </t>
    </r>
    <r>
      <rPr>
        <sz val="10"/>
        <rFont val="Noto Sans CJK SC"/>
        <family val="2"/>
      </rPr>
      <t xml:space="preserve">反壟斷案發表意見（警告專利收購不能迴避審查），非直接調查 </t>
    </r>
    <r>
      <rPr>
        <sz val="10"/>
        <rFont val="Arial"/>
        <family val="0"/>
        <charset val="1"/>
      </rPr>
      <t xml:space="preserve">Amgen</t>
    </r>
    <r>
      <rPr>
        <sz val="10"/>
        <rFont val="Noto Sans CJK SC"/>
        <family val="2"/>
      </rPr>
      <t xml:space="preserve">。</t>
    </r>
  </si>
  <si>
    <t xml:space="preserve">040dfa713c783337dd8a9c50</t>
  </si>
  <si>
    <t xml:space="preserve">Amazon’s ad auction surcharges secretly bilked brands of billions, FTC alleges</t>
  </si>
  <si>
    <t xml:space="preserve">Marketing Dive</t>
  </si>
  <si>
    <r>
      <rPr>
        <sz val="10"/>
        <rFont val="Arial"/>
        <family val="0"/>
        <charset val="1"/>
      </rPr>
      <t xml:space="preserve">FTC </t>
    </r>
    <r>
      <rPr>
        <sz val="10"/>
        <rFont val="Noto Sans CJK SC"/>
        <family val="2"/>
      </rPr>
      <t xml:space="preserve">與 </t>
    </r>
    <r>
      <rPr>
        <sz val="10"/>
        <rFont val="Arial"/>
        <family val="0"/>
        <charset val="1"/>
      </rPr>
      <t xml:space="preserve">22 </t>
    </r>
    <r>
      <rPr>
        <sz val="10"/>
        <rFont val="Noto Sans CJK SC"/>
        <family val="2"/>
      </rPr>
      <t xml:space="preserve">州起訴 </t>
    </r>
    <r>
      <rPr>
        <sz val="10"/>
        <rFont val="Arial"/>
        <family val="0"/>
        <charset val="1"/>
      </rPr>
      <t xml:space="preserve">Amazon</t>
    </r>
    <r>
      <rPr>
        <sz val="10"/>
        <rFont val="Noto Sans CJK SC"/>
        <family val="2"/>
      </rPr>
      <t xml:space="preserve">，指控廣告拍賣暗中加價。</t>
    </r>
  </si>
  <si>
    <t xml:space="preserve">ed8f2f7bebaadae9f1bc5d81</t>
  </si>
  <si>
    <t xml:space="preserve">The Morning Risk Report: FTC Files Lawsuit Alleging Amazon Deceived Advertisers</t>
  </si>
  <si>
    <t xml:space="preserve">714959e6841e99096a6381df</t>
  </si>
  <si>
    <t xml:space="preserve">How Amazon’s ‘Secret’ Ad Pricing System Worked, According to the FTC</t>
  </si>
  <si>
    <t xml:space="preserve">ca3a5f8f48bcb20c0dafa0e2</t>
  </si>
  <si>
    <t xml:space="preserve">FTC, 22 states sue Amazon over advertising surcharges</t>
  </si>
  <si>
    <t xml:space="preserve">Courthouse News</t>
  </si>
  <si>
    <t xml:space="preserve">a964c576991971f973087284</t>
  </si>
  <si>
    <t xml:space="preserve">FTC and 22 states file suit accusing Amazon of secretly overcharging advertisers</t>
  </si>
  <si>
    <t xml:space="preserve">Politico</t>
  </si>
  <si>
    <t xml:space="preserve">2677594f7ab6545f7b711ddc</t>
  </si>
  <si>
    <t xml:space="preserve">AG Davenport Sues Amazon with FTC and 21 States for Rigging Advertising Auctions, Reaping Billions in Illegal Profits</t>
  </si>
  <si>
    <t xml:space="preserve">Insider NJ</t>
  </si>
  <si>
    <t xml:space="preserve">6ba3004303d164e1910e915b</t>
  </si>
  <si>
    <t xml:space="preserve">FTC and 22 States Sue Amazon Over Advertising Practices</t>
  </si>
  <si>
    <t xml:space="preserve">004b1245213be0dd4574e8a2</t>
  </si>
  <si>
    <t xml:space="preserve">FTC sues Amazon, alleging it overcharged advertisers</t>
  </si>
  <si>
    <t xml:space="preserve">CNN</t>
  </si>
  <si>
    <t xml:space="preserve">ad64556ce1e6d19ce0b16072</t>
  </si>
  <si>
    <t xml:space="preserve">FTC聯合22州起訴亞馬遜 涉嫌從廣吿主多收數百億美元</t>
  </si>
  <si>
    <t xml:space="preserve">8143fc2d66639e2ae05eba17</t>
  </si>
  <si>
    <t xml:space="preserve">DOJ Probes Soaring Beef Prices at Eight Major Stores Including Walmart</t>
  </si>
  <si>
    <t xml:space="preserve">Newsweek</t>
  </si>
  <si>
    <r>
      <rPr>
        <sz val="10"/>
        <rFont val="Noto Sans CJK SC"/>
        <family val="2"/>
      </rPr>
      <t xml:space="preserve">司法部調查八家大型零售商的牛肉價格（含 </t>
    </r>
    <r>
      <rPr>
        <sz val="10"/>
        <rFont val="Arial"/>
        <family val="0"/>
        <charset val="1"/>
      </rPr>
      <t xml:space="preserve">Walmart</t>
    </r>
    <r>
      <rPr>
        <sz val="10"/>
        <rFont val="Noto Sans CJK SC"/>
        <family val="2"/>
      </rPr>
      <t xml:space="preserve">）。</t>
    </r>
  </si>
  <si>
    <t xml:space="preserve">6a66ae2386df9bd095066f6e</t>
  </si>
  <si>
    <t xml:space="preserve">FTC alleges Amazon illegally made $20 billion by rigging billions of ad auctions</t>
  </si>
  <si>
    <t xml:space="preserve">Ars Technica</t>
  </si>
  <si>
    <t xml:space="preserve">5ba73d30ec10e43eb2f1e0c8</t>
  </si>
  <si>
    <t xml:space="preserve">Amazon Stock Extends Losses After FTC Lawsuit Over Ad Practices</t>
  </si>
  <si>
    <t xml:space="preserve">Investor's Business Daily</t>
  </si>
  <si>
    <r>
      <rPr>
        <sz val="10"/>
        <rFont val="Arial"/>
        <family val="0"/>
        <charset val="1"/>
      </rPr>
      <t xml:space="preserve">Amazon </t>
    </r>
    <r>
      <rPr>
        <sz val="10"/>
        <rFont val="Noto Sans CJK SC"/>
        <family val="2"/>
      </rPr>
      <t xml:space="preserve">遭 </t>
    </r>
    <r>
      <rPr>
        <sz val="10"/>
        <rFont val="Arial"/>
        <family val="0"/>
        <charset val="1"/>
      </rPr>
      <t xml:space="preserve">FTC </t>
    </r>
    <r>
      <rPr>
        <sz val="10"/>
        <rFont val="Noto Sans CJK SC"/>
        <family val="2"/>
      </rPr>
      <t xml:space="preserve">廣告定價訴訟的後續評論或股價反應。</t>
    </r>
  </si>
  <si>
    <t xml:space="preserve">ec69b956b26f9191149ed8e8</t>
  </si>
  <si>
    <t xml:space="preserve">Jim Cramer says selling Amazon shares over new FTC lawsuit would be 'hysterical'</t>
  </si>
  <si>
    <t xml:space="preserve">9a0364d084bd89340cec4959</t>
  </si>
  <si>
    <t xml:space="preserve">CFTC Seeks Dismissal of CME's Crypto Perpetual Futures Lawsuit</t>
  </si>
  <si>
    <r>
      <rPr>
        <sz val="10"/>
        <rFont val="Arial"/>
        <family val="0"/>
        <charset val="1"/>
      </rPr>
      <t xml:space="preserve">CFTC </t>
    </r>
    <r>
      <rPr>
        <sz val="10"/>
        <rFont val="Noto Sans CJK SC"/>
        <family val="2"/>
      </rPr>
      <t xml:space="preserve">尋求駁回 </t>
    </r>
    <r>
      <rPr>
        <sz val="10"/>
        <rFont val="Arial"/>
        <family val="0"/>
        <charset val="1"/>
      </rPr>
      <t xml:space="preserve">CME </t>
    </r>
    <r>
      <rPr>
        <sz val="10"/>
        <rFont val="Noto Sans CJK SC"/>
        <family val="2"/>
      </rPr>
      <t xml:space="preserve">的加密永續期貨訴訟</t>
    </r>
  </si>
  <si>
    <t xml:space="preserve">finance.biggo.com</t>
  </si>
  <si>
    <r>
      <rPr>
        <sz val="10"/>
        <rFont val="Arial"/>
        <family val="0"/>
        <charset val="1"/>
      </rPr>
      <t xml:space="preserve">CME </t>
    </r>
    <r>
      <rPr>
        <sz val="10"/>
        <rFont val="Noto Sans CJK SC"/>
        <family val="2"/>
      </rPr>
      <t xml:space="preserve">是原告（起訴 </t>
    </r>
    <r>
      <rPr>
        <sz val="10"/>
        <rFont val="Arial"/>
        <family val="0"/>
        <charset val="1"/>
      </rPr>
      <t xml:space="preserve">CFTC</t>
    </r>
    <r>
      <rPr>
        <sz val="10"/>
        <rFont val="Noto Sans CJK SC"/>
        <family val="2"/>
      </rPr>
      <t xml:space="preserve">），</t>
    </r>
    <r>
      <rPr>
        <sz val="10"/>
        <rFont val="Arial"/>
        <family val="0"/>
        <charset val="1"/>
      </rPr>
      <t xml:space="preserve">CFTC </t>
    </r>
    <r>
      <rPr>
        <sz val="10"/>
        <rFont val="Noto Sans CJK SC"/>
        <family val="2"/>
      </rPr>
      <t xml:space="preserve">只是聲請駁回，沒有對 </t>
    </r>
    <r>
      <rPr>
        <sz val="10"/>
        <rFont val="Arial"/>
        <family val="0"/>
        <charset val="1"/>
      </rPr>
      <t xml:space="preserve">CME </t>
    </r>
    <r>
      <rPr>
        <sz val="10"/>
        <rFont val="Noto Sans CJK SC"/>
        <family val="2"/>
      </rPr>
      <t xml:space="preserve">的調查或裁罰。</t>
    </r>
  </si>
  <si>
    <t xml:space="preserve">5fbbcd363c8c01d3895cc40d</t>
  </si>
  <si>
    <t xml:space="preserve">CFTC Seeks Dismissal of CME Suit Over Crypto Perpetual Futures</t>
  </si>
  <si>
    <r>
      <rPr>
        <sz val="10"/>
        <rFont val="Arial"/>
        <family val="0"/>
        <charset val="1"/>
      </rPr>
      <t xml:space="preserve">CFTC </t>
    </r>
    <r>
      <rPr>
        <sz val="10"/>
        <rFont val="Noto Sans CJK SC"/>
        <family val="2"/>
      </rPr>
      <t xml:space="preserve">尋求駁回 </t>
    </r>
    <r>
      <rPr>
        <sz val="10"/>
        <rFont val="Arial"/>
        <family val="0"/>
        <charset val="1"/>
      </rPr>
      <t xml:space="preserve">CME </t>
    </r>
    <r>
      <rPr>
        <sz val="10"/>
        <rFont val="Noto Sans CJK SC"/>
        <family val="2"/>
      </rPr>
      <t xml:space="preserve">關於加密貨幣永續期貨的訴訟</t>
    </r>
  </si>
  <si>
    <t xml:space="preserve">bloomingbit</t>
  </si>
  <si>
    <t xml:space="preserve">f6932f23cad2315310789129</t>
  </si>
  <si>
    <t xml:space="preserve">CFTC Moves to Kill CME Lawsuit Over Kalshi’s Bitcoin Perpetual Futures</t>
  </si>
  <si>
    <r>
      <rPr>
        <sz val="10"/>
        <rFont val="Arial"/>
        <family val="0"/>
        <charset val="1"/>
      </rPr>
      <t xml:space="preserve">CFTC </t>
    </r>
    <r>
      <rPr>
        <sz val="10"/>
        <rFont val="Noto Sans CJK SC"/>
        <family val="2"/>
      </rPr>
      <t xml:space="preserve">採取行動終止 </t>
    </r>
    <r>
      <rPr>
        <sz val="10"/>
        <rFont val="Arial"/>
        <family val="0"/>
        <charset val="1"/>
      </rPr>
      <t xml:space="preserve">CME </t>
    </r>
    <r>
      <rPr>
        <sz val="10"/>
        <rFont val="Noto Sans CJK SC"/>
        <family val="2"/>
      </rPr>
      <t xml:space="preserve">就 </t>
    </r>
    <r>
      <rPr>
        <sz val="10"/>
        <rFont val="Arial"/>
        <family val="0"/>
        <charset val="1"/>
      </rPr>
      <t xml:space="preserve">Kalshi </t>
    </r>
    <r>
      <rPr>
        <sz val="10"/>
        <rFont val="Noto Sans CJK SC"/>
        <family val="2"/>
      </rPr>
      <t xml:space="preserve">比特幣永續期貨提起的訴訟</t>
    </r>
  </si>
  <si>
    <t xml:space="preserve">Bitcoin Foundation</t>
  </si>
  <si>
    <t xml:space="preserve">374ddc963548a64cb0366d68</t>
  </si>
  <si>
    <t xml:space="preserve">CFTC Seeks Dismissal of CME’s Kalshi Bitcoin Futures Lawsuit</t>
  </si>
  <si>
    <r>
      <rPr>
        <sz val="10"/>
        <rFont val="Arial"/>
        <family val="0"/>
        <charset val="1"/>
      </rPr>
      <t xml:space="preserve">CFTC </t>
    </r>
    <r>
      <rPr>
        <sz val="10"/>
        <rFont val="Noto Sans CJK SC"/>
        <family val="2"/>
      </rPr>
      <t xml:space="preserve">尋求駁回 </t>
    </r>
    <r>
      <rPr>
        <sz val="10"/>
        <rFont val="Arial"/>
        <family val="0"/>
        <charset val="1"/>
      </rPr>
      <t xml:space="preserve">CME </t>
    </r>
    <r>
      <rPr>
        <sz val="10"/>
        <rFont val="Noto Sans CJK SC"/>
        <family val="2"/>
      </rPr>
      <t xml:space="preserve">的 </t>
    </r>
    <r>
      <rPr>
        <sz val="10"/>
        <rFont val="Arial"/>
        <family val="0"/>
        <charset val="1"/>
      </rPr>
      <t xml:space="preserve">Kalshi </t>
    </r>
    <r>
      <rPr>
        <sz val="10"/>
        <rFont val="Noto Sans CJK SC"/>
        <family val="2"/>
      </rPr>
      <t xml:space="preserve">比特幣期貨訴訟</t>
    </r>
  </si>
  <si>
    <t xml:space="preserve">CryptoRank</t>
  </si>
  <si>
    <t xml:space="preserve">b125b25d89f18f2f44c0a8ce</t>
  </si>
  <si>
    <t xml:space="preserve">CFTC asks court to dismiss CME's lawsuit over B...</t>
  </si>
  <si>
    <r>
      <rPr>
        <sz val="10"/>
        <rFont val="Arial"/>
        <family val="0"/>
        <charset val="1"/>
      </rPr>
      <t xml:space="preserve">CFTC </t>
    </r>
    <r>
      <rPr>
        <sz val="10"/>
        <rFont val="Noto Sans CJK SC"/>
        <family val="2"/>
      </rPr>
      <t xml:space="preserve">請求法院駁回 </t>
    </r>
    <r>
      <rPr>
        <sz val="10"/>
        <rFont val="Arial"/>
        <family val="0"/>
        <charset val="1"/>
      </rPr>
      <t xml:space="preserve">CME </t>
    </r>
    <r>
      <rPr>
        <sz val="10"/>
        <rFont val="Noto Sans CJK SC"/>
        <family val="2"/>
      </rPr>
      <t xml:space="preserve">對 </t>
    </r>
    <r>
      <rPr>
        <sz val="10"/>
        <rFont val="Arial"/>
        <family val="0"/>
        <charset val="1"/>
      </rPr>
      <t xml:space="preserve">B...</t>
    </r>
  </si>
  <si>
    <t xml:space="preserve">b1001b3a99a98eaf4fa02ec7</t>
  </si>
  <si>
    <t xml:space="preserve">CFTC Called For the Dismissal of CME Group’s Lawsuit Over Crypto Perpetual Futures</t>
  </si>
  <si>
    <r>
      <rPr>
        <sz val="10"/>
        <rFont val="Noto Sans CJK SC"/>
        <family val="2"/>
      </rPr>
      <t xml:space="preserve">美國商品期貨交易委員會 </t>
    </r>
    <r>
      <rPr>
        <sz val="10"/>
        <rFont val="Arial"/>
        <family val="0"/>
        <charset val="1"/>
      </rPr>
      <t xml:space="preserve">(CFTC) </t>
    </r>
    <r>
      <rPr>
        <sz val="10"/>
        <rFont val="Noto Sans CJK SC"/>
        <family val="2"/>
      </rPr>
      <t xml:space="preserve">呼籲駁回芝商所針對加密貨幣永續期貨的訴訟</t>
    </r>
  </si>
  <si>
    <t xml:space="preserve">incrypted</t>
  </si>
  <si>
    <t xml:space="preserve">fd73a9333911a870f2ce25de</t>
  </si>
  <si>
    <t xml:space="preserve">CFTC seeks dismissal of CME crypto futures lawsuit</t>
  </si>
  <si>
    <r>
      <rPr>
        <sz val="10"/>
        <rFont val="Arial"/>
        <family val="0"/>
        <charset val="1"/>
      </rPr>
      <t xml:space="preserve">CFTC </t>
    </r>
    <r>
      <rPr>
        <sz val="10"/>
        <rFont val="Noto Sans CJK SC"/>
        <family val="2"/>
      </rPr>
      <t xml:space="preserve">尋求駁回 </t>
    </r>
    <r>
      <rPr>
        <sz val="10"/>
        <rFont val="Arial"/>
        <family val="0"/>
        <charset val="1"/>
      </rPr>
      <t xml:space="preserve">CME </t>
    </r>
    <r>
      <rPr>
        <sz val="10"/>
        <rFont val="Noto Sans CJK SC"/>
        <family val="2"/>
      </rPr>
      <t xml:space="preserve">加密期貨訴訟</t>
    </r>
  </si>
  <si>
    <t xml:space="preserve">Cryptonews.net</t>
  </si>
  <si>
    <t xml:space="preserve">67ffa221361413798c16bf08</t>
  </si>
  <si>
    <t xml:space="preserve">CFTC Asks Court to Dismiss CME’s Lawsuit Over Kalshi’s Bitcoin Perpetual Futures</t>
  </si>
  <si>
    <r>
      <rPr>
        <sz val="10"/>
        <rFont val="Arial"/>
        <family val="0"/>
        <charset val="1"/>
      </rPr>
      <t xml:space="preserve">CFTC </t>
    </r>
    <r>
      <rPr>
        <sz val="10"/>
        <rFont val="Noto Sans CJK SC"/>
        <family val="2"/>
      </rPr>
      <t xml:space="preserve">要求法院駁回 </t>
    </r>
    <r>
      <rPr>
        <sz val="10"/>
        <rFont val="Arial"/>
        <family val="0"/>
        <charset val="1"/>
      </rPr>
      <t xml:space="preserve">CME </t>
    </r>
    <r>
      <rPr>
        <sz val="10"/>
        <rFont val="Noto Sans CJK SC"/>
        <family val="2"/>
      </rPr>
      <t xml:space="preserve">關於 </t>
    </r>
    <r>
      <rPr>
        <sz val="10"/>
        <rFont val="Arial"/>
        <family val="0"/>
        <charset val="1"/>
      </rPr>
      <t xml:space="preserve">Kalshi </t>
    </r>
    <r>
      <rPr>
        <sz val="10"/>
        <rFont val="Noto Sans CJK SC"/>
        <family val="2"/>
      </rPr>
      <t xml:space="preserve">比特幣永續期貨的訴訟</t>
    </r>
  </si>
  <si>
    <t xml:space="preserve">unchainedcrypto.com</t>
  </si>
  <si>
    <t xml:space="preserve">101b7a5d142569f98ec05a04</t>
  </si>
  <si>
    <t xml:space="preserve">Jennifer Driscoll Analyzes FTC Suit over Amazon’s Advertising Pricing Practices</t>
  </si>
  <si>
    <r>
      <rPr>
        <sz val="10"/>
        <rFont val="Noto Sans CJK SC"/>
        <family val="2"/>
      </rPr>
      <t xml:space="preserve">詹妮弗</t>
    </r>
    <r>
      <rPr>
        <sz val="10"/>
        <rFont val="Arial"/>
        <family val="0"/>
        <charset val="1"/>
      </rPr>
      <t xml:space="preserve">·</t>
    </r>
    <r>
      <rPr>
        <sz val="10"/>
        <rFont val="Noto Sans CJK SC"/>
        <family val="2"/>
      </rPr>
      <t xml:space="preserve">德里斯科爾 </t>
    </r>
    <r>
      <rPr>
        <sz val="10"/>
        <rFont val="Arial"/>
        <family val="0"/>
        <charset val="1"/>
      </rPr>
      <t xml:space="preserve">(Jennifer Driscoll) </t>
    </r>
    <r>
      <rPr>
        <sz val="10"/>
        <rFont val="Noto Sans CJK SC"/>
        <family val="2"/>
      </rPr>
      <t xml:space="preserve">分析聯邦貿易委員會 </t>
    </r>
    <r>
      <rPr>
        <sz val="10"/>
        <rFont val="Arial"/>
        <family val="0"/>
        <charset val="1"/>
      </rPr>
      <t xml:space="preserve">(FTC) </t>
    </r>
    <r>
      <rPr>
        <sz val="10"/>
        <rFont val="Noto Sans CJK SC"/>
        <family val="2"/>
      </rPr>
      <t xml:space="preserve">針對亞馬遜廣告定價做法的訴訟</t>
    </r>
  </si>
  <si>
    <t xml:space="preserve">Hinshaw &amp; Culbertson LLP</t>
  </si>
  <si>
    <t xml:space="preserve">43cd0a0bf0112a190d5a095a</t>
  </si>
  <si>
    <t xml:space="preserve">Legal Experts Back the CFTC’s Perps-as-Futures Call as It Moves to Dismiss CME’s Suit</t>
  </si>
  <si>
    <r>
      <rPr>
        <sz val="10"/>
        <rFont val="Noto Sans CJK SC"/>
        <family val="2"/>
      </rPr>
      <t xml:space="preserve">法律專家支持 </t>
    </r>
    <r>
      <rPr>
        <sz val="10"/>
        <rFont val="Arial"/>
        <family val="0"/>
        <charset val="1"/>
      </rPr>
      <t xml:space="preserve">CFTC </t>
    </r>
    <r>
      <rPr>
        <sz val="10"/>
        <rFont val="Noto Sans CJK SC"/>
        <family val="2"/>
      </rPr>
      <t xml:space="preserve">的永續債期貨呼籲，並駁回 </t>
    </r>
    <r>
      <rPr>
        <sz val="10"/>
        <rFont val="Arial"/>
        <family val="0"/>
        <charset val="1"/>
      </rPr>
      <t xml:space="preserve">CME </t>
    </r>
    <r>
      <rPr>
        <sz val="10"/>
        <rFont val="Noto Sans CJK SC"/>
        <family val="2"/>
      </rPr>
      <t xml:space="preserve">的訴訟</t>
    </r>
  </si>
  <si>
    <t xml:space="preserve">758f7a3c71ac948898cc14f5</t>
  </si>
  <si>
    <t xml:space="preserve">FTC Says Amazon Promised Advertisers an Auction, Then Set Its Own Price</t>
  </si>
  <si>
    <t xml:space="preserve">聯邦貿易委員會稱亞馬遜向廣告商承諾拍賣，然後自行定價</t>
  </si>
  <si>
    <t xml:space="preserve">JD Supra</t>
  </si>
  <si>
    <t xml:space="preserve">7c8be19e4b8b88fef473815d</t>
  </si>
  <si>
    <t xml:space="preserve">CFTC Says CME Lacks Standing in Suit Over Crypto Perpetual Futures Approval</t>
  </si>
  <si>
    <r>
      <rPr>
        <sz val="10"/>
        <rFont val="Arial"/>
        <family val="0"/>
        <charset val="1"/>
      </rPr>
      <t xml:space="preserve">CFTC </t>
    </r>
    <r>
      <rPr>
        <sz val="10"/>
        <rFont val="Noto Sans CJK SC"/>
        <family val="2"/>
      </rPr>
      <t xml:space="preserve">稱 </t>
    </r>
    <r>
      <rPr>
        <sz val="10"/>
        <rFont val="Arial"/>
        <family val="0"/>
        <charset val="1"/>
      </rPr>
      <t xml:space="preserve">CME </t>
    </r>
    <r>
      <rPr>
        <sz val="10"/>
        <rFont val="Noto Sans CJK SC"/>
        <family val="2"/>
      </rPr>
      <t xml:space="preserve">缺乏對加密貨幣永續期貨批准的訴訟</t>
    </r>
  </si>
  <si>
    <t xml:space="preserve">66311ed7ffb0869b9e6d0777</t>
  </si>
  <si>
    <t xml:space="preserve">CFTC Says CME Perps Fight Is 'Much Ado About Nothing'</t>
  </si>
  <si>
    <r>
      <rPr>
        <sz val="10"/>
        <rFont val="Arial"/>
        <family val="0"/>
        <charset val="1"/>
      </rPr>
      <t xml:space="preserve">CFTC </t>
    </r>
    <r>
      <rPr>
        <sz val="10"/>
        <rFont val="Noto Sans CJK SC"/>
        <family val="2"/>
      </rPr>
      <t xml:space="preserve">稱 </t>
    </r>
    <r>
      <rPr>
        <sz val="10"/>
        <rFont val="Arial"/>
        <family val="0"/>
        <charset val="1"/>
      </rPr>
      <t xml:space="preserve">CME </t>
    </r>
    <r>
      <rPr>
        <sz val="10"/>
        <rFont val="Noto Sans CJK SC"/>
        <family val="2"/>
      </rPr>
      <t xml:space="preserve">罪犯之爭“無事生非”</t>
    </r>
  </si>
  <si>
    <t xml:space="preserve">5bf559204a4a16fb35ade199</t>
  </si>
  <si>
    <t xml:space="preserve">CFTC files to dismiss CME lawsuit over crypto perpetual futures</t>
  </si>
  <si>
    <r>
      <rPr>
        <sz val="10"/>
        <rFont val="Noto Sans CJK SC"/>
        <family val="2"/>
      </rPr>
      <t xml:space="preserve">美國商品期貨交易委員會 </t>
    </r>
    <r>
      <rPr>
        <sz val="10"/>
        <rFont val="Arial"/>
        <family val="0"/>
        <charset val="1"/>
      </rPr>
      <t xml:space="preserve">(CFTC) </t>
    </r>
    <r>
      <rPr>
        <sz val="10"/>
        <rFont val="Noto Sans CJK SC"/>
        <family val="2"/>
      </rPr>
      <t xml:space="preserve">提交申請駁回芝加哥商品交易所 </t>
    </r>
    <r>
      <rPr>
        <sz val="10"/>
        <rFont val="Arial"/>
        <family val="0"/>
        <charset val="1"/>
      </rPr>
      <t xml:space="preserve">(CME) </t>
    </r>
    <r>
      <rPr>
        <sz val="10"/>
        <rFont val="Noto Sans CJK SC"/>
        <family val="2"/>
      </rPr>
      <t xml:space="preserve">關於加密貨幣永續期貨的訴訟</t>
    </r>
  </si>
  <si>
    <t xml:space="preserve">128a99056718a2adfd7dbc5a</t>
  </si>
  <si>
    <t xml:space="preserve">CFTC Files to Dismiss CME's Crypto Perpetual Futures Lawsuit</t>
  </si>
  <si>
    <r>
      <rPr>
        <sz val="10"/>
        <rFont val="Arial"/>
        <family val="0"/>
        <charset val="1"/>
      </rPr>
      <t xml:space="preserve">CFTC </t>
    </r>
    <r>
      <rPr>
        <sz val="10"/>
        <rFont val="Noto Sans CJK SC"/>
        <family val="2"/>
      </rPr>
      <t xml:space="preserve">申請駁回 </t>
    </r>
    <r>
      <rPr>
        <sz val="10"/>
        <rFont val="Arial"/>
        <family val="0"/>
        <charset val="1"/>
      </rPr>
      <t xml:space="preserve">CME </t>
    </r>
    <r>
      <rPr>
        <sz val="10"/>
        <rFont val="Noto Sans CJK SC"/>
        <family val="2"/>
      </rPr>
      <t xml:space="preserve">的加密貨幣永續期貨訴訟</t>
    </r>
  </si>
  <si>
    <t xml:space="preserve">CoinMarketCap</t>
  </si>
  <si>
    <t xml:space="preserve">f1c535eaebdc7c37bd4d48f5</t>
  </si>
  <si>
    <t xml:space="preserve">‘CME lacks standing’: CFTC moves to dismiss lawsuit over Kalshi crypto perps</t>
  </si>
  <si>
    <r>
      <rPr>
        <sz val="10"/>
        <rFont val="Noto Sans CJK SC"/>
        <family val="2"/>
      </rPr>
      <t xml:space="preserve">「</t>
    </r>
    <r>
      <rPr>
        <sz val="10"/>
        <rFont val="Arial"/>
        <family val="0"/>
        <charset val="1"/>
      </rPr>
      <t xml:space="preserve">CME </t>
    </r>
    <r>
      <rPr>
        <sz val="10"/>
        <rFont val="Noto Sans CJK SC"/>
        <family val="2"/>
      </rPr>
      <t xml:space="preserve">缺乏地位」：</t>
    </r>
    <r>
      <rPr>
        <sz val="10"/>
        <rFont val="Arial"/>
        <family val="0"/>
        <charset val="1"/>
      </rPr>
      <t xml:space="preserve">CFTC </t>
    </r>
    <r>
      <rPr>
        <sz val="10"/>
        <rFont val="Noto Sans CJK SC"/>
        <family val="2"/>
      </rPr>
      <t xml:space="preserve">駁回針對 </t>
    </r>
    <r>
      <rPr>
        <sz val="10"/>
        <rFont val="Arial"/>
        <family val="0"/>
        <charset val="1"/>
      </rPr>
      <t xml:space="preserve">Kalshi </t>
    </r>
    <r>
      <rPr>
        <sz val="10"/>
        <rFont val="Noto Sans CJK SC"/>
        <family val="2"/>
      </rPr>
      <t xml:space="preserve">加密貨幣犯罪者的訴訟</t>
    </r>
  </si>
  <si>
    <t xml:space="preserve">AMBCrypto</t>
  </si>
  <si>
    <t xml:space="preserve">5fd6106f3deba98f36ff8fc9</t>
  </si>
  <si>
    <t xml:space="preserve">The FTC’s Amazon Lawsuit Is Ad Tech’s History Of Opacity Repeating Itself</t>
  </si>
  <si>
    <t xml:space="preserve">聯邦貿易委員會對亞馬遜的訴訟是廣告科技不透明的歷史重演</t>
  </si>
  <si>
    <t xml:space="preserve">AdExchanger</t>
  </si>
  <si>
    <r>
      <rPr>
        <sz val="10"/>
        <rFont val="Arial"/>
        <family val="0"/>
        <charset val="1"/>
      </rPr>
      <t xml:space="preserve">FTC </t>
    </r>
    <r>
      <rPr>
        <sz val="10"/>
        <rFont val="Noto Sans CJK SC"/>
        <family val="2"/>
      </rPr>
      <t xml:space="preserve">起訴 </t>
    </r>
    <r>
      <rPr>
        <sz val="10"/>
        <rFont val="Arial"/>
        <family val="0"/>
        <charset val="1"/>
      </rPr>
      <t xml:space="preserve">Amazon </t>
    </r>
    <r>
      <rPr>
        <sz val="10"/>
        <rFont val="Noto Sans CJK SC"/>
        <family val="2"/>
      </rPr>
      <t xml:space="preserve">廣告定價的產業評論。</t>
    </r>
  </si>
  <si>
    <t xml:space="preserve">14acfaccf29d145b81fd1796</t>
  </si>
  <si>
    <t xml:space="preserve">CFTC Asks Judge to Dismiss CME Lawsuit Over Crypto Perpetual Futures</t>
  </si>
  <si>
    <r>
      <rPr>
        <sz val="10"/>
        <rFont val="Arial"/>
        <family val="0"/>
        <charset val="1"/>
      </rPr>
      <t xml:space="preserve">CFTC </t>
    </r>
    <r>
      <rPr>
        <sz val="10"/>
        <rFont val="Noto Sans CJK SC"/>
        <family val="2"/>
      </rPr>
      <t xml:space="preserve">要求法官駁回 </t>
    </r>
    <r>
      <rPr>
        <sz val="10"/>
        <rFont val="Arial"/>
        <family val="0"/>
        <charset val="1"/>
      </rPr>
      <t xml:space="preserve">CME </t>
    </r>
    <r>
      <rPr>
        <sz val="10"/>
        <rFont val="Noto Sans CJK SC"/>
        <family val="2"/>
      </rPr>
      <t xml:space="preserve">關於加密永續期貨的訴訟</t>
    </r>
  </si>
  <si>
    <t xml:space="preserve">Decrypt</t>
  </si>
  <si>
    <t xml:space="preserve">97a22b34f0e3f98ea20e1127</t>
  </si>
  <si>
    <t xml:space="preserve">CFTC asks judge to toss CME challenge to Kalshi perps</t>
  </si>
  <si>
    <r>
      <rPr>
        <sz val="10"/>
        <rFont val="Arial"/>
        <family val="0"/>
        <charset val="1"/>
      </rPr>
      <t xml:space="preserve">CFTC </t>
    </r>
    <r>
      <rPr>
        <sz val="10"/>
        <rFont val="Noto Sans CJK SC"/>
        <family val="2"/>
      </rPr>
      <t xml:space="preserve">要求法官將 </t>
    </r>
    <r>
      <rPr>
        <sz val="10"/>
        <rFont val="Arial"/>
        <family val="0"/>
        <charset val="1"/>
      </rPr>
      <t xml:space="preserve">CME </t>
    </r>
    <r>
      <rPr>
        <sz val="10"/>
        <rFont val="Noto Sans CJK SC"/>
        <family val="2"/>
      </rPr>
      <t xml:space="preserve">挑戰駁回 </t>
    </r>
    <r>
      <rPr>
        <sz val="10"/>
        <rFont val="Arial"/>
        <family val="0"/>
        <charset val="1"/>
      </rPr>
      <t xml:space="preserve">Kalshi </t>
    </r>
    <r>
      <rPr>
        <sz val="10"/>
        <rFont val="Noto Sans CJK SC"/>
        <family val="2"/>
      </rPr>
      <t xml:space="preserve">罪犯</t>
    </r>
  </si>
  <si>
    <t xml:space="preserve">American Banker</t>
  </si>
  <si>
    <t xml:space="preserve">8dbbd9ac7adb25e796953e93</t>
  </si>
  <si>
    <t xml:space="preserve">Cencora's MWI Animal Health Merger With Covetrus Sees 'Intensified' FTC Scrutiny, RBC Says</t>
  </si>
  <si>
    <r>
      <rPr>
        <sz val="10"/>
        <rFont val="Arial"/>
        <family val="0"/>
        <charset val="1"/>
      </rPr>
      <t xml:space="preserve">Cencora </t>
    </r>
    <r>
      <rPr>
        <sz val="10"/>
        <rFont val="Noto Sans CJK SC"/>
        <family val="2"/>
      </rPr>
      <t xml:space="preserve">的 </t>
    </r>
    <r>
      <rPr>
        <sz val="10"/>
        <rFont val="Arial"/>
        <family val="0"/>
        <charset val="1"/>
      </rPr>
      <t xml:space="preserve">MWI</t>
    </r>
    <r>
      <rPr>
        <sz val="10"/>
        <rFont val="Noto Sans CJK SC"/>
        <family val="2"/>
      </rPr>
      <t xml:space="preserve">／</t>
    </r>
    <r>
      <rPr>
        <sz val="10"/>
        <rFont val="Arial"/>
        <family val="0"/>
        <charset val="1"/>
      </rPr>
      <t xml:space="preserve">Covetrus </t>
    </r>
    <r>
      <rPr>
        <sz val="10"/>
        <rFont val="Noto Sans CJK SC"/>
        <family val="2"/>
      </rPr>
      <t xml:space="preserve">合併面臨 </t>
    </r>
    <r>
      <rPr>
        <sz val="10"/>
        <rFont val="Arial"/>
        <family val="0"/>
        <charset val="1"/>
      </rPr>
      <t xml:space="preserve">FTC </t>
    </r>
    <r>
      <rPr>
        <sz val="10"/>
        <rFont val="Noto Sans CJK SC"/>
        <family val="2"/>
      </rPr>
      <t xml:space="preserve">加強審查。</t>
    </r>
  </si>
  <si>
    <t xml:space="preserve">5f519eb5972478e4621689ff</t>
  </si>
  <si>
    <t xml:space="preserve">NVDA</t>
  </si>
  <si>
    <t xml:space="preserve">NVIDIA Corporation</t>
  </si>
  <si>
    <t xml:space="preserve">DOJ probes Nvidia's licensing deal with AI startup Groq, NYT reports</t>
  </si>
  <si>
    <r>
      <rPr>
        <sz val="10"/>
        <rFont val="Noto Sans CJK SC"/>
        <family val="2"/>
      </rPr>
      <t xml:space="preserve">司法部調查 </t>
    </r>
    <r>
      <rPr>
        <sz val="10"/>
        <rFont val="Arial"/>
        <family val="0"/>
        <charset val="1"/>
      </rPr>
      <t xml:space="preserve">Nvidia </t>
    </r>
    <r>
      <rPr>
        <sz val="10"/>
        <rFont val="Noto Sans CJK SC"/>
        <family val="2"/>
      </rPr>
      <t xml:space="preserve">與 </t>
    </r>
    <r>
      <rPr>
        <sz val="10"/>
        <rFont val="Arial"/>
        <family val="0"/>
        <charset val="1"/>
      </rPr>
      <t xml:space="preserve">AI </t>
    </r>
    <r>
      <rPr>
        <sz val="10"/>
        <rFont val="Noto Sans CJK SC"/>
        <family val="2"/>
      </rPr>
      <t xml:space="preserve">新創 </t>
    </r>
    <r>
      <rPr>
        <sz val="10"/>
        <rFont val="Arial"/>
        <family val="0"/>
        <charset val="1"/>
      </rPr>
      <t xml:space="preserve">Groq </t>
    </r>
    <r>
      <rPr>
        <sz val="10"/>
        <rFont val="Noto Sans CJK SC"/>
        <family val="2"/>
      </rPr>
      <t xml:space="preserve">的授權交易。</t>
    </r>
  </si>
  <si>
    <t xml:space="preserve">334fcf2472f752482c91be25</t>
  </si>
  <si>
    <t xml:space="preserve">CTAS</t>
  </si>
  <si>
    <t xml:space="preserve">Cintas Corporation</t>
  </si>
  <si>
    <t xml:space="preserve">Cintas-UniFirst deal spread widens on FTC scrutiny: Bernstein</t>
  </si>
  <si>
    <r>
      <rPr>
        <sz val="10"/>
        <rFont val="Arial"/>
        <family val="0"/>
        <charset val="1"/>
      </rPr>
      <t xml:space="preserve">Cintas </t>
    </r>
    <r>
      <rPr>
        <sz val="10"/>
        <rFont val="Noto Sans CJK SC"/>
        <family val="2"/>
      </rPr>
      <t xml:space="preserve">收購 </t>
    </r>
    <r>
      <rPr>
        <sz val="10"/>
        <rFont val="Arial"/>
        <family val="0"/>
        <charset val="1"/>
      </rPr>
      <t xml:space="preserve">UniFirst </t>
    </r>
    <r>
      <rPr>
        <sz val="10"/>
        <rFont val="Noto Sans CJK SC"/>
        <family val="2"/>
      </rPr>
      <t xml:space="preserve">案因 </t>
    </r>
    <r>
      <rPr>
        <sz val="10"/>
        <rFont val="Arial"/>
        <family val="0"/>
        <charset val="1"/>
      </rPr>
      <t xml:space="preserve">FTC </t>
    </r>
    <r>
      <rPr>
        <sz val="10"/>
        <rFont val="Noto Sans CJK SC"/>
        <family val="2"/>
      </rPr>
      <t xml:space="preserve">審查，價差擴大。</t>
    </r>
  </si>
  <si>
    <t xml:space="preserve">9f5ec405fcd4176d62c2d489</t>
  </si>
  <si>
    <t xml:space="preserve">Exclusive | Senators Ask FTC to Probe Walmart and Amazon Over Bots’ ‘Made in America’ Data</t>
  </si>
  <si>
    <r>
      <rPr>
        <sz val="10"/>
        <rFont val="Noto Sans CJK SC"/>
        <family val="2"/>
      </rPr>
      <t xml:space="preserve">參議員要求 </t>
    </r>
    <r>
      <rPr>
        <sz val="10"/>
        <rFont val="Arial"/>
        <family val="0"/>
        <charset val="1"/>
      </rPr>
      <t xml:space="preserve">FTC </t>
    </r>
    <r>
      <rPr>
        <sz val="10"/>
        <rFont val="Noto Sans CJK SC"/>
        <family val="2"/>
      </rPr>
      <t xml:space="preserve">調查，主管機關尚未立案。</t>
    </r>
  </si>
  <si>
    <t xml:space="preserve">4c8ce532ed3f44986c6d250e</t>
  </si>
  <si>
    <t xml:space="preserve">CPAY</t>
  </si>
  <si>
    <t xml:space="preserve">Corpay, Inc. Common Stock</t>
  </si>
  <si>
    <t xml:space="preserve">Corpay, CEO to pay $100M to settle FTC action over unauthorized fees (CPAY:NYSE)</t>
  </si>
  <si>
    <t xml:space="preserve">Seeking Alpha</t>
  </si>
  <si>
    <r>
      <rPr>
        <sz val="10"/>
        <rFont val="Arial"/>
        <family val="0"/>
        <charset val="1"/>
      </rPr>
      <t xml:space="preserve">Corpay </t>
    </r>
    <r>
      <rPr>
        <sz val="10"/>
        <rFont val="Noto Sans CJK SC"/>
        <family val="2"/>
      </rPr>
      <t xml:space="preserve">與其 </t>
    </r>
    <r>
      <rPr>
        <sz val="10"/>
        <rFont val="Arial"/>
        <family val="0"/>
        <charset val="1"/>
      </rPr>
      <t xml:space="preserve">CEO </t>
    </r>
    <r>
      <rPr>
        <sz val="10"/>
        <rFont val="Noto Sans CJK SC"/>
        <family val="2"/>
      </rPr>
      <t xml:space="preserve">支付 </t>
    </r>
    <r>
      <rPr>
        <sz val="10"/>
        <rFont val="Arial"/>
        <family val="0"/>
        <charset val="1"/>
      </rPr>
      <t xml:space="preserve">1 </t>
    </r>
    <r>
      <rPr>
        <sz val="10"/>
        <rFont val="Noto Sans CJK SC"/>
        <family val="2"/>
      </rPr>
      <t xml:space="preserve">億美元和解 </t>
    </r>
    <r>
      <rPr>
        <sz val="10"/>
        <rFont val="Arial"/>
        <family val="0"/>
        <charset val="1"/>
      </rPr>
      <t xml:space="preserve">FTC </t>
    </r>
    <r>
      <rPr>
        <sz val="10"/>
        <rFont val="Noto Sans CJK SC"/>
        <family val="2"/>
      </rPr>
      <t xml:space="preserve">未經授權收費案，屬主管機關裁罰結果。</t>
    </r>
  </si>
  <si>
    <t xml:space="preserve">ae301af573023d5f4e1ae54c</t>
  </si>
  <si>
    <t xml:space="preserve">b7c0cc49b0cac84af44c300b</t>
  </si>
  <si>
    <t xml:space="preserve">The Morning Risk Report: Senators Ask FTC to Probe Walmart and Amazon Over Bots’ ‘Made in America’ Data</t>
  </si>
  <si>
    <t xml:space="preserve">4d32c640b9c8873434fc9a9d</t>
  </si>
  <si>
    <t xml:space="preserve">Corpay</t>
  </si>
  <si>
    <t xml:space="preserve">Corpay Agrees to Settle FTC Matter</t>
  </si>
  <si>
    <t xml:space="preserve">7264deeee7c659f317b1d52b</t>
  </si>
  <si>
    <t xml:space="preserve">Coinbase Files With CFTC To List US Single-Stock Perpetual Futures, Including AAPL And TSLA Contracts</t>
  </si>
  <si>
    <r>
      <rPr>
        <sz val="10"/>
        <rFont val="Arial"/>
        <family val="0"/>
        <charset val="1"/>
      </rPr>
      <t xml:space="preserve">Coinbase </t>
    </r>
    <r>
      <rPr>
        <sz val="10"/>
        <rFont val="Noto Sans CJK SC"/>
        <family val="2"/>
      </rPr>
      <t xml:space="preserve">向 </t>
    </r>
    <r>
      <rPr>
        <sz val="10"/>
        <rFont val="Arial"/>
        <family val="0"/>
        <charset val="1"/>
      </rPr>
      <t xml:space="preserve">CFTC </t>
    </r>
    <r>
      <rPr>
        <sz val="10"/>
        <rFont val="Noto Sans CJK SC"/>
        <family val="2"/>
      </rPr>
      <t xml:space="preserve">申請上市或獲 </t>
    </r>
    <r>
      <rPr>
        <sz val="10"/>
        <rFont val="Arial"/>
        <family val="0"/>
        <charset val="1"/>
      </rPr>
      <t xml:space="preserve">CFTC </t>
    </r>
    <r>
      <rPr>
        <sz val="10"/>
        <rFont val="Noto Sans CJK SC"/>
        <family val="2"/>
      </rPr>
      <t xml:space="preserve">核准，屬業務許可，不是調查。</t>
    </r>
  </si>
  <si>
    <t xml:space="preserve">83aef3fa88f62dc450eaa09f</t>
  </si>
  <si>
    <t xml:space="preserve">CFTC Approves Coinbase Clearing as First USDC-Native Clearinghouse</t>
  </si>
  <si>
    <t xml:space="preserve">2e351af99116e7943321cb38</t>
  </si>
  <si>
    <t xml:space="preserve">Coinbase Receives CFTC Approval for Coinbase Clearing LLC</t>
  </si>
  <si>
    <t xml:space="preserve">7e19b35937027c989c531e77</t>
  </si>
  <si>
    <t xml:space="preserve">Coinbase Brings Derivatives Clearing In-House After CFTC Registration</t>
  </si>
  <si>
    <t xml:space="preserve">8ef66e4facf6b2e8d09fa3b9</t>
  </si>
  <si>
    <t xml:space="preserve">2026-09-30</t>
  </si>
  <si>
    <t xml:space="preserve">Coinbase receives CFTC greenlight to launch USDC-native clearing house</t>
  </si>
  <si>
    <t xml:space="preserve">The TRADE</t>
  </si>
  <si>
    <t xml:space="preserve">a6eae97cee3c40ac00d3bf7f</t>
  </si>
  <si>
    <t xml:space="preserve">Update: ExxonMobil Director Vote Prompts US SEC Investigation Into Climate Action 100+; Regulator Pursues No Action Against Group</t>
  </si>
  <si>
    <r>
      <rPr>
        <sz val="10"/>
        <rFont val="Arial"/>
        <family val="0"/>
        <charset val="1"/>
      </rPr>
      <t xml:space="preserve">SEC </t>
    </r>
    <r>
      <rPr>
        <sz val="10"/>
        <rFont val="Noto Sans CJK SC"/>
        <family val="2"/>
      </rPr>
      <t xml:space="preserve">調查對象是 </t>
    </r>
    <r>
      <rPr>
        <sz val="10"/>
        <rFont val="Arial"/>
        <family val="0"/>
        <charset val="1"/>
      </rPr>
      <t xml:space="preserve">Climate Action 100+</t>
    </r>
    <r>
      <rPr>
        <sz val="10"/>
        <rFont val="Noto Sans CJK SC"/>
        <family val="2"/>
      </rPr>
      <t xml:space="preserve">，對 </t>
    </r>
    <r>
      <rPr>
        <sz val="10"/>
        <rFont val="Arial"/>
        <family val="0"/>
        <charset val="1"/>
      </rPr>
      <t xml:space="preserve">Exxon </t>
    </r>
    <r>
      <rPr>
        <sz val="10"/>
        <rFont val="Noto Sans CJK SC"/>
        <family val="2"/>
      </rPr>
      <t xml:space="preserve">不採取行動。</t>
    </r>
  </si>
  <si>
    <t xml:space="preserve">b18ab0e7b0df2c6140112fef</t>
  </si>
  <si>
    <t xml:space="preserve">ExxonMobil Director Vote Prompts US SEC Investigation Into Climate Action 100+; Regulator Pursues No Action Against Group</t>
  </si>
  <si>
    <t xml:space="preserve">a853d138cb477793c8bdce64</t>
  </si>
  <si>
    <t xml:space="preserve">Marriott International</t>
  </si>
  <si>
    <t xml:space="preserve">消息人士稱，Priceline因發布誤導性酒店廣告將面臨美國聯邦貿易委員會（FTC）的處罰</t>
  </si>
  <si>
    <r>
      <rPr>
        <sz val="10"/>
        <rFont val="Arial"/>
        <family val="0"/>
        <charset val="1"/>
      </rPr>
      <t xml:space="preserve">Priceline </t>
    </r>
    <r>
      <rPr>
        <sz val="10"/>
        <rFont val="Noto Sans CJK SC"/>
        <family val="2"/>
      </rPr>
      <t xml:space="preserve">屬 </t>
    </r>
    <r>
      <rPr>
        <sz val="10"/>
        <rFont val="Arial"/>
        <family val="0"/>
        <charset val="1"/>
      </rPr>
      <t xml:space="preserve">Booking Holdings</t>
    </r>
    <r>
      <rPr>
        <sz val="10"/>
        <rFont val="Noto Sans CJK SC"/>
        <family val="2"/>
      </rPr>
      <t xml:space="preserve">，與 </t>
    </r>
    <r>
      <rPr>
        <sz val="10"/>
        <rFont val="Arial"/>
        <family val="0"/>
        <charset val="1"/>
      </rPr>
      <t xml:space="preserve">Marriott </t>
    </r>
    <r>
      <rPr>
        <sz val="10"/>
        <rFont val="Noto Sans CJK SC"/>
        <family val="2"/>
      </rPr>
      <t xml:space="preserve">無關（公司誤配）。</t>
    </r>
  </si>
  <si>
    <t xml:space="preserve">06a16fc3d0d85d6619b772bf</t>
  </si>
  <si>
    <t xml:space="preserve">Booking Holdings</t>
  </si>
  <si>
    <r>
      <rPr>
        <sz val="10"/>
        <rFont val="Noto Sans CJK SC"/>
        <family val="2"/>
      </rPr>
      <t xml:space="preserve">消息人士稱 </t>
    </r>
    <r>
      <rPr>
        <sz val="10"/>
        <rFont val="Arial"/>
        <family val="0"/>
        <charset val="1"/>
      </rPr>
      <t xml:space="preserve">Priceline</t>
    </r>
    <r>
      <rPr>
        <sz val="10"/>
        <rFont val="Noto Sans CJK SC"/>
        <family val="2"/>
      </rPr>
      <t xml:space="preserve">（</t>
    </r>
    <r>
      <rPr>
        <sz val="10"/>
        <rFont val="Arial"/>
        <family val="0"/>
        <charset val="1"/>
      </rPr>
      <t xml:space="preserve">Booking </t>
    </r>
    <r>
      <rPr>
        <sz val="10"/>
        <rFont val="Noto Sans CJK SC"/>
        <family val="2"/>
      </rPr>
      <t xml:space="preserve">旗下）因誤導性酒店廣告將受 </t>
    </r>
    <r>
      <rPr>
        <sz val="10"/>
        <rFont val="Arial"/>
        <family val="0"/>
        <charset val="1"/>
      </rPr>
      <t xml:space="preserve">FTC </t>
    </r>
    <r>
      <rPr>
        <sz val="10"/>
        <rFont val="Noto Sans CJK SC"/>
        <family val="2"/>
      </rPr>
      <t xml:space="preserve">處罰；消息尚未證實。</t>
    </r>
  </si>
  <si>
    <t xml:space="preserve">BKNG</t>
  </si>
  <si>
    <t xml:space="preserve">26926663a032f19c53fb3dcc</t>
  </si>
  <si>
    <t xml:space="preserve">Expedia Group</t>
  </si>
  <si>
    <r>
      <rPr>
        <sz val="10"/>
        <rFont val="Arial"/>
        <family val="0"/>
        <charset val="1"/>
      </rPr>
      <t xml:space="preserve">Priceline </t>
    </r>
    <r>
      <rPr>
        <sz val="10"/>
        <rFont val="Noto Sans CJK SC"/>
        <family val="2"/>
      </rPr>
      <t xml:space="preserve">屬 </t>
    </r>
    <r>
      <rPr>
        <sz val="10"/>
        <rFont val="Arial"/>
        <family val="0"/>
        <charset val="1"/>
      </rPr>
      <t xml:space="preserve">Booking Holdings</t>
    </r>
    <r>
      <rPr>
        <sz val="10"/>
        <rFont val="Noto Sans CJK SC"/>
        <family val="2"/>
      </rPr>
      <t xml:space="preserve">，與 </t>
    </r>
    <r>
      <rPr>
        <sz val="10"/>
        <rFont val="Arial"/>
        <family val="0"/>
        <charset val="1"/>
      </rPr>
      <t xml:space="preserve">Expedia </t>
    </r>
    <r>
      <rPr>
        <sz val="10"/>
        <rFont val="Noto Sans CJK SC"/>
        <family val="2"/>
      </rPr>
      <t xml:space="preserve">無關（公司誤配）。</t>
    </r>
  </si>
  <si>
    <t xml:space="preserve">e8fa0af2431213fe919a445f</t>
  </si>
  <si>
    <t xml:space="preserve">Sysco-Restaurant Depot Deal Still Awaits FTC Review Six Months After Announcement</t>
  </si>
  <si>
    <t xml:space="preserve">Distribution Strategy Group</t>
  </si>
  <si>
    <r>
      <rPr>
        <sz val="10"/>
        <rFont val="Arial"/>
        <family val="0"/>
        <charset val="1"/>
      </rPr>
      <t xml:space="preserve">Sysco </t>
    </r>
    <r>
      <rPr>
        <sz val="10"/>
        <rFont val="Noto Sans CJK SC"/>
        <family val="2"/>
      </rPr>
      <t xml:space="preserve">收購 </t>
    </r>
    <r>
      <rPr>
        <sz val="10"/>
        <rFont val="Arial"/>
        <family val="0"/>
        <charset val="1"/>
      </rPr>
      <t xml:space="preserve">Restaurant Depot </t>
    </r>
    <r>
      <rPr>
        <sz val="10"/>
        <rFont val="Noto Sans CJK SC"/>
        <family val="2"/>
      </rPr>
      <t xml:space="preserve">案公布六個月仍待 </t>
    </r>
    <r>
      <rPr>
        <sz val="10"/>
        <rFont val="Arial"/>
        <family val="0"/>
        <charset val="1"/>
      </rPr>
      <t xml:space="preserve">FTC </t>
    </r>
    <r>
      <rPr>
        <sz val="10"/>
        <rFont val="Noto Sans CJK SC"/>
        <family val="2"/>
      </rPr>
      <t xml:space="preserve">審查。</t>
    </r>
  </si>
  <si>
    <t xml:space="preserve">08f126b0d1618ed5c5092d09</t>
  </si>
  <si>
    <t xml:space="preserve">Is Coinbase Global (COIN) Cheap As CFTC Approval Reshapes Its Valuation?</t>
  </si>
  <si>
    <t xml:space="preserve">1dcf8943046a379290ed336b</t>
  </si>
  <si>
    <t xml:space="preserve">FTC Sends More than $9.8 Million to Consumers Harmed by Walmart’s Failure to Stop Scammers that Used its Wire Transfer Services to Take Millions from Customers</t>
  </si>
  <si>
    <r>
      <rPr>
        <sz val="10"/>
        <rFont val="Arial"/>
        <family val="0"/>
        <charset val="1"/>
      </rPr>
      <t xml:space="preserve">FTC </t>
    </r>
    <r>
      <rPr>
        <sz val="10"/>
        <rFont val="Noto Sans CJK SC"/>
        <family val="2"/>
      </rPr>
      <t xml:space="preserve">向因沃爾瑪未能阻止利用其電匯服務從顧客手中騙取數百萬美元的詐騙者而受到傷害的消費者發放了超過 </t>
    </r>
    <r>
      <rPr>
        <sz val="10"/>
        <rFont val="Arial"/>
        <family val="0"/>
        <charset val="1"/>
      </rPr>
      <t xml:space="preserve">980 </t>
    </r>
    <r>
      <rPr>
        <sz val="10"/>
        <rFont val="Noto Sans CJK SC"/>
        <family val="2"/>
      </rPr>
      <t xml:space="preserve">萬美元的賠償</t>
    </r>
  </si>
  <si>
    <t xml:space="preserve">Federal Trade Commission (.gov)</t>
  </si>
  <si>
    <r>
      <rPr>
        <sz val="10"/>
        <rFont val="Arial"/>
        <family val="0"/>
        <charset val="1"/>
      </rPr>
      <t xml:space="preserve">FTC </t>
    </r>
    <r>
      <rPr>
        <sz val="10"/>
        <rFont val="Noto Sans CJK SC"/>
        <family val="2"/>
      </rPr>
      <t xml:space="preserve">將舊案和解金退還消費者，屬事後退款。</t>
    </r>
  </si>
  <si>
    <t xml:space="preserve">515d3e1993cf6e957a74e532</t>
  </si>
  <si>
    <t xml:space="preserve">CMS</t>
  </si>
  <si>
    <t xml:space="preserve">CMS Energy Corporation Common Stock</t>
  </si>
  <si>
    <t xml:space="preserve">FTC to Healthcare Providers: CMS Price Transparency Compliance Is Not Safe Harbor</t>
  </si>
  <si>
    <r>
      <rPr>
        <sz val="10"/>
        <rFont val="Arial"/>
        <family val="0"/>
        <charset val="1"/>
      </rPr>
      <t xml:space="preserve">FTC </t>
    </r>
    <r>
      <rPr>
        <sz val="10"/>
        <rFont val="Noto Sans CJK SC"/>
        <family val="2"/>
      </rPr>
      <t xml:space="preserve">致醫療保健提供者：</t>
    </r>
    <r>
      <rPr>
        <sz val="10"/>
        <rFont val="Arial"/>
        <family val="0"/>
        <charset val="1"/>
      </rPr>
      <t xml:space="preserve">CMS </t>
    </r>
    <r>
      <rPr>
        <sz val="10"/>
        <rFont val="Noto Sans CJK SC"/>
        <family val="2"/>
      </rPr>
      <t xml:space="preserve">價格透明度合規並非安全港</t>
    </r>
  </si>
  <si>
    <t xml:space="preserve">McGuireWoods</t>
  </si>
  <si>
    <r>
      <rPr>
        <sz val="10"/>
        <rFont val="Arial"/>
        <family val="0"/>
        <charset val="1"/>
      </rPr>
      <t xml:space="preserve">CMS </t>
    </r>
    <r>
      <rPr>
        <sz val="10"/>
        <rFont val="Noto Sans CJK SC"/>
        <family val="2"/>
      </rPr>
      <t xml:space="preserve">指聯邦醫療保險署，與 </t>
    </r>
    <r>
      <rPr>
        <sz val="10"/>
        <rFont val="Arial"/>
        <family val="0"/>
        <charset val="1"/>
      </rPr>
      <t xml:space="preserve">CMS Energy </t>
    </r>
    <r>
      <rPr>
        <sz val="10"/>
        <rFont val="Noto Sans CJK SC"/>
        <family val="2"/>
      </rPr>
      <t xml:space="preserve">無關（公司誤配）。</t>
    </r>
  </si>
  <si>
    <t xml:space="preserve">bacf34c1ecdf56c4b714001b</t>
  </si>
  <si>
    <t xml:space="preserve">Equifax Customers Could Claim Up To $600 In $2.2M Settlement -</t>
  </si>
  <si>
    <r>
      <rPr>
        <sz val="10"/>
        <rFont val="Arial"/>
        <family val="0"/>
        <charset val="1"/>
      </rPr>
      <t xml:space="preserve">Equifax </t>
    </r>
    <r>
      <rPr>
        <sz val="10"/>
        <rFont val="Noto Sans CJK SC"/>
        <family val="2"/>
      </rPr>
      <t xml:space="preserve">客戶可索賠高達 </t>
    </r>
    <r>
      <rPr>
        <sz val="10"/>
        <rFont val="Arial"/>
        <family val="0"/>
        <charset val="1"/>
      </rPr>
      <t xml:space="preserve">600 </t>
    </r>
    <r>
      <rPr>
        <sz val="10"/>
        <rFont val="Noto Sans CJK SC"/>
        <family val="2"/>
      </rPr>
      <t xml:space="preserve">美元的 </t>
    </r>
    <r>
      <rPr>
        <sz val="10"/>
        <rFont val="Arial"/>
        <family val="0"/>
        <charset val="1"/>
      </rPr>
      <t xml:space="preserve">220 </t>
    </r>
    <r>
      <rPr>
        <sz val="10"/>
        <rFont val="Noto Sans CJK SC"/>
        <family val="2"/>
      </rPr>
      <t xml:space="preserve">萬美元和解金 </t>
    </r>
    <r>
      <rPr>
        <sz val="10"/>
        <rFont val="Arial"/>
        <family val="0"/>
        <charset val="1"/>
      </rPr>
      <t xml:space="preserve">-</t>
    </r>
  </si>
  <si>
    <t xml:space="preserve">Black Enterprise</t>
  </si>
  <si>
    <t xml:space="preserve">監管裁罰</t>
  </si>
  <si>
    <r>
      <rPr>
        <sz val="10"/>
        <rFont val="Arial"/>
        <family val="0"/>
        <charset val="1"/>
      </rPr>
      <t xml:space="preserve">Equifax 220 </t>
    </r>
    <r>
      <rPr>
        <sz val="10"/>
        <rFont val="Noto Sans CJK SC"/>
        <family val="2"/>
      </rPr>
      <t xml:space="preserve">萬美元和解的領取說明，金額小且為消費者領款通知。</t>
    </r>
  </si>
  <si>
    <t xml:space="preserve">90f300e07da0e3deb21d0826</t>
  </si>
  <si>
    <t xml:space="preserve">TSCO</t>
  </si>
  <si>
    <t xml:space="preserve">Tractor Supply</t>
  </si>
  <si>
    <t xml:space="preserve">Regional: Tractor Supply Company Subsidiary Agrees To $5.1 Million Consumer Protection Settlement</t>
  </si>
  <si>
    <r>
      <rPr>
        <sz val="10"/>
        <rFont val="Noto Sans CJK SC"/>
        <family val="2"/>
      </rPr>
      <t xml:space="preserve">地區：拖拉機供應公司子公司同意 </t>
    </r>
    <r>
      <rPr>
        <sz val="10"/>
        <rFont val="Arial"/>
        <family val="0"/>
        <charset val="1"/>
      </rPr>
      <t xml:space="preserve">510 </t>
    </r>
    <r>
      <rPr>
        <sz val="10"/>
        <rFont val="Noto Sans CJK SC"/>
        <family val="2"/>
      </rPr>
      <t xml:space="preserve">萬美元消費者保護和解</t>
    </r>
  </si>
  <si>
    <t xml:space="preserve">SFGATE</t>
  </si>
  <si>
    <r>
      <rPr>
        <sz val="10"/>
        <rFont val="Arial"/>
        <family val="0"/>
        <charset val="1"/>
      </rPr>
      <t xml:space="preserve">Tractor Supply </t>
    </r>
    <r>
      <rPr>
        <sz val="10"/>
        <rFont val="Noto Sans CJK SC"/>
        <family val="2"/>
      </rPr>
      <t xml:space="preserve">子公司就消費者保護與定價、農藥標示問題與加州達成 </t>
    </r>
    <r>
      <rPr>
        <sz val="10"/>
        <rFont val="Arial"/>
        <family val="0"/>
        <charset val="1"/>
      </rPr>
      <t xml:space="preserve">510 </t>
    </r>
    <r>
      <rPr>
        <sz val="10"/>
        <rFont val="Noto Sans CJK SC"/>
        <family val="2"/>
      </rPr>
      <t xml:space="preserve">萬美元和解。</t>
    </r>
  </si>
  <si>
    <t xml:space="preserve">95e074d78dd7e4a6b1c56e9c</t>
  </si>
  <si>
    <t xml:space="preserve">How to claim your part of the $2.2 million Equifax class action settlement</t>
  </si>
  <si>
    <r>
      <rPr>
        <sz val="10"/>
        <rFont val="Noto Sans CJK SC"/>
        <family val="2"/>
      </rPr>
      <t xml:space="preserve">如何索取 </t>
    </r>
    <r>
      <rPr>
        <sz val="10"/>
        <rFont val="Arial"/>
        <family val="0"/>
        <charset val="1"/>
      </rPr>
      <t xml:space="preserve">Equifax 220 </t>
    </r>
    <r>
      <rPr>
        <sz val="10"/>
        <rFont val="Noto Sans CJK SC"/>
        <family val="2"/>
      </rPr>
      <t xml:space="preserve">萬美元集體訴訟和解金中您應得的部分</t>
    </r>
  </si>
  <si>
    <t xml:space="preserve">AOL.com</t>
  </si>
  <si>
    <t xml:space="preserve">c5ced50e7cc3decf08280627</t>
  </si>
  <si>
    <t xml:space="preserve">MRNA</t>
  </si>
  <si>
    <t xml:space="preserve">Moderna, Inc.</t>
  </si>
  <si>
    <t xml:space="preserve">Could Arbutus Biopharma Corporation (ABUS) Turn its Moderna, Inc. (MRNA) Settlement Into a Lasting Biotech Advantage?</t>
  </si>
  <si>
    <r>
      <rPr>
        <sz val="10"/>
        <rFont val="Arial"/>
        <family val="0"/>
        <charset val="1"/>
      </rPr>
      <t xml:space="preserve">Arbutus Biopharma Corporation (ABUS) </t>
    </r>
    <r>
      <rPr>
        <sz val="10"/>
        <rFont val="Noto Sans CJK SC"/>
        <family val="2"/>
      </rPr>
      <t xml:space="preserve">能否將其與 </t>
    </r>
    <r>
      <rPr>
        <sz val="10"/>
        <rFont val="Arial"/>
        <family val="0"/>
        <charset val="1"/>
      </rPr>
      <t xml:space="preserve">Moderna, Inc. (MRNA) </t>
    </r>
    <r>
      <rPr>
        <sz val="10"/>
        <rFont val="Noto Sans CJK SC"/>
        <family val="2"/>
      </rPr>
      <t xml:space="preserve">的和解轉化為持久的生物技術優勢？</t>
    </r>
  </si>
  <si>
    <t xml:space="preserve">PATENT_LITIGATION</t>
  </si>
  <si>
    <r>
      <rPr>
        <sz val="10"/>
        <rFont val="Noto Sans CJK SC"/>
        <family val="2"/>
      </rPr>
      <t xml:space="preserve">文章為 </t>
    </r>
    <r>
      <rPr>
        <sz val="10"/>
        <rFont val="Arial"/>
        <family val="0"/>
        <charset val="1"/>
      </rPr>
      <t xml:space="preserve">Arbutus </t>
    </r>
    <r>
      <rPr>
        <sz val="10"/>
        <rFont val="Noto Sans CJK SC"/>
        <family val="2"/>
      </rPr>
      <t xml:space="preserve">的投資分析，內容是與 </t>
    </r>
    <r>
      <rPr>
        <sz val="10"/>
        <rFont val="Arial"/>
        <family val="0"/>
        <charset val="1"/>
      </rPr>
      <t xml:space="preserve">Moderna </t>
    </r>
    <r>
      <rPr>
        <sz val="10"/>
        <rFont val="Noto Sans CJK SC"/>
        <family val="2"/>
      </rPr>
      <t xml:space="preserve">的專利和解；</t>
    </r>
    <r>
      <rPr>
        <sz val="10"/>
        <rFont val="Arial"/>
        <family val="0"/>
        <charset val="1"/>
      </rPr>
      <t xml:space="preserve">Moderna </t>
    </r>
    <r>
      <rPr>
        <sz val="10"/>
        <rFont val="Noto Sans CJK SC"/>
        <family val="2"/>
      </rPr>
      <t xml:space="preserve">是否為付款方請看原文。</t>
    </r>
  </si>
  <si>
    <t xml:space="preserve">ca8a167fa8a5ec1fbf43b718</t>
  </si>
  <si>
    <t xml:space="preserve">SHW</t>
  </si>
  <si>
    <t xml:space="preserve">Sherwin-Williams</t>
  </si>
  <si>
    <t xml:space="preserve">Sherwin-Williams to pay $124,700 penalty after Beaver County residents say air smells of "pure chemicals"</t>
  </si>
  <si>
    <r>
      <rPr>
        <sz val="10"/>
        <rFont val="Noto Sans CJK SC"/>
        <family val="2"/>
      </rPr>
      <t xml:space="preserve">海狸縣居民稱空氣中有「純化學品」氣味，宣偉公司將支付 </t>
    </r>
    <r>
      <rPr>
        <sz val="10"/>
        <rFont val="Arial"/>
        <family val="0"/>
        <charset val="1"/>
      </rPr>
      <t xml:space="preserve">124,700 </t>
    </r>
    <r>
      <rPr>
        <sz val="10"/>
        <rFont val="Noto Sans CJK SC"/>
        <family val="2"/>
      </rPr>
      <t xml:space="preserve">美元的罰款</t>
    </r>
  </si>
  <si>
    <t xml:space="preserve">CBS News</t>
  </si>
  <si>
    <r>
      <rPr>
        <sz val="10"/>
        <rFont val="Arial"/>
        <family val="0"/>
        <charset val="1"/>
      </rPr>
      <t xml:space="preserve">Sherwin-Williams </t>
    </r>
    <r>
      <rPr>
        <sz val="10"/>
        <rFont val="Noto Sans CJK SC"/>
        <family val="2"/>
      </rPr>
      <t xml:space="preserve">因空氣異味被罰約 </t>
    </r>
    <r>
      <rPr>
        <sz val="10"/>
        <rFont val="Arial"/>
        <family val="0"/>
        <charset val="1"/>
      </rPr>
      <t xml:space="preserve">12.5 </t>
    </r>
    <r>
      <rPr>
        <sz val="10"/>
        <rFont val="Noto Sans CJK SC"/>
        <family val="2"/>
      </rPr>
      <t xml:space="preserve">萬美元，金額很小。</t>
    </r>
  </si>
  <si>
    <t xml:space="preserve">3ff5510a2f00906d34418b7d</t>
  </si>
  <si>
    <t xml:space="preserve">Sherwin-Williams to pay $124,000 penalty after residents complain about smell at Pennsylvania plant</t>
  </si>
  <si>
    <r>
      <rPr>
        <sz val="10"/>
        <rFont val="Noto Sans CJK SC"/>
        <family val="2"/>
      </rPr>
      <t xml:space="preserve">居民投訴賓州工廠異味後宣偉公司將支付 </t>
    </r>
    <r>
      <rPr>
        <sz val="10"/>
        <rFont val="Arial"/>
        <family val="0"/>
        <charset val="1"/>
      </rPr>
      <t xml:space="preserve">124,000 </t>
    </r>
    <r>
      <rPr>
        <sz val="10"/>
        <rFont val="Noto Sans CJK SC"/>
        <family val="2"/>
      </rPr>
      <t xml:space="preserve">美元罰款</t>
    </r>
  </si>
  <si>
    <t xml:space="preserve">e8dce6e06e3e68c89caf243c</t>
  </si>
  <si>
    <t xml:space="preserve">NEM</t>
  </si>
  <si>
    <t xml:space="preserve">Newmont Corporation</t>
  </si>
  <si>
    <t xml:space="preserve">Newmont Snags Bargain in $1.95B Nevada Settlement -- Market Talk</t>
  </si>
  <si>
    <r>
      <rPr>
        <sz val="10"/>
        <rFont val="Noto Sans CJK SC"/>
        <family val="2"/>
      </rPr>
      <t xml:space="preserve">紐蒙特公司在 </t>
    </r>
    <r>
      <rPr>
        <sz val="10"/>
        <rFont val="Arial"/>
        <family val="0"/>
        <charset val="1"/>
      </rPr>
      <t xml:space="preserve">$1.95B </t>
    </r>
    <r>
      <rPr>
        <sz val="10"/>
        <rFont val="Noto Sans CJK SC"/>
        <family val="2"/>
      </rPr>
      <t xml:space="preserve">內華達州和解協議中討價還價——市場討論</t>
    </r>
  </si>
  <si>
    <t xml:space="preserve">Moomoo</t>
  </si>
  <si>
    <r>
      <rPr>
        <sz val="10"/>
        <rFont val="Noto Sans CJK SC"/>
        <family val="2"/>
      </rPr>
      <t xml:space="preserve">「</t>
    </r>
    <r>
      <rPr>
        <sz val="10"/>
        <rFont val="Arial"/>
        <family val="0"/>
        <charset val="1"/>
      </rPr>
      <t xml:space="preserve">Newmont </t>
    </r>
    <r>
      <rPr>
        <sz val="10"/>
        <rFont val="Noto Sans CJK SC"/>
        <family val="2"/>
      </rPr>
      <t xml:space="preserve">取得 </t>
    </r>
    <r>
      <rPr>
        <sz val="10"/>
        <rFont val="Arial"/>
        <family val="0"/>
        <charset val="1"/>
      </rPr>
      <t xml:space="preserve">19.5 </t>
    </r>
    <r>
      <rPr>
        <sz val="10"/>
        <rFont val="Noto Sans CJK SC"/>
        <family val="2"/>
      </rPr>
      <t xml:space="preserve">億美元內華達和解」，不確定 </t>
    </r>
    <r>
      <rPr>
        <sz val="10"/>
        <rFont val="Arial"/>
        <family val="0"/>
        <charset val="1"/>
      </rPr>
      <t xml:space="preserve">Newmont </t>
    </r>
    <r>
      <rPr>
        <sz val="10"/>
        <rFont val="Noto Sans CJK SC"/>
        <family val="2"/>
      </rPr>
      <t xml:space="preserve">是付款方還是受款方。</t>
    </r>
  </si>
  <si>
    <t xml:space="preserve">98918d0f7fb8862e4b33ac5b</t>
  </si>
  <si>
    <t xml:space="preserve">DD</t>
  </si>
  <si>
    <t xml:space="preserve">DuPont</t>
  </si>
  <si>
    <t xml:space="preserve">NJ secures court approval for $2.5B DuPont, 3M PFAS settlements</t>
  </si>
  <si>
    <r>
      <rPr>
        <sz val="10"/>
        <rFont val="Noto Sans CJK SC"/>
        <family val="2"/>
      </rPr>
      <t xml:space="preserve">新澤西州獲得法院批准杜邦公司與 </t>
    </r>
    <r>
      <rPr>
        <sz val="10"/>
        <rFont val="Arial"/>
        <family val="0"/>
        <charset val="1"/>
      </rPr>
      <t xml:space="preserve">3M PFAS </t>
    </r>
    <r>
      <rPr>
        <sz val="10"/>
        <rFont val="Noto Sans CJK SC"/>
        <family val="2"/>
      </rPr>
      <t xml:space="preserve">的 </t>
    </r>
    <r>
      <rPr>
        <sz val="10"/>
        <rFont val="Arial"/>
        <family val="0"/>
        <charset val="1"/>
      </rPr>
      <t xml:space="preserve">2.5B </t>
    </r>
    <r>
      <rPr>
        <sz val="10"/>
        <rFont val="Noto Sans CJK SC"/>
        <family val="2"/>
      </rPr>
      <t xml:space="preserve">美元和解協議</t>
    </r>
  </si>
  <si>
    <t xml:space="preserve">NJBIZ</t>
  </si>
  <si>
    <r>
      <rPr>
        <sz val="10"/>
        <rFont val="Noto Sans CJK SC"/>
        <family val="2"/>
      </rPr>
      <t xml:space="preserve">新澤西州與杜邦、</t>
    </r>
    <r>
      <rPr>
        <sz val="10"/>
        <rFont val="Arial"/>
        <family val="0"/>
        <charset val="1"/>
      </rPr>
      <t xml:space="preserve">3M </t>
    </r>
    <r>
      <rPr>
        <sz val="10"/>
        <rFont val="Noto Sans CJK SC"/>
        <family val="2"/>
      </rPr>
      <t xml:space="preserve">的 </t>
    </r>
    <r>
      <rPr>
        <sz val="10"/>
        <rFont val="Arial"/>
        <family val="0"/>
        <charset val="1"/>
      </rPr>
      <t xml:space="preserve">25 </t>
    </r>
    <r>
      <rPr>
        <sz val="10"/>
        <rFont val="Noto Sans CJK SC"/>
        <family val="2"/>
      </rPr>
      <t xml:space="preserve">億美元 </t>
    </r>
    <r>
      <rPr>
        <sz val="10"/>
        <rFont val="Arial"/>
        <family val="0"/>
        <charset val="1"/>
      </rPr>
      <t xml:space="preserve">PFAS </t>
    </r>
    <r>
      <rPr>
        <sz val="10"/>
        <rFont val="Noto Sans CJK SC"/>
        <family val="2"/>
      </rPr>
      <t xml:space="preserve">和解獲法院核准。</t>
    </r>
  </si>
  <si>
    <t xml:space="preserve">c829d89028f387814276c4ef</t>
  </si>
  <si>
    <t xml:space="preserve">Equifax Customers Can Claim Part of a $2.2M Class Action Settlement This Month</t>
  </si>
  <si>
    <r>
      <rPr>
        <sz val="10"/>
        <rFont val="Arial"/>
        <family val="0"/>
        <charset val="1"/>
      </rPr>
      <t xml:space="preserve">Equifax </t>
    </r>
    <r>
      <rPr>
        <sz val="10"/>
        <rFont val="Noto Sans CJK SC"/>
        <family val="2"/>
      </rPr>
      <t xml:space="preserve">客戶本月可索取 </t>
    </r>
    <r>
      <rPr>
        <sz val="10"/>
        <rFont val="Arial"/>
        <family val="0"/>
        <charset val="1"/>
      </rPr>
      <t xml:space="preserve">220 </t>
    </r>
    <r>
      <rPr>
        <sz val="10"/>
        <rFont val="Noto Sans CJK SC"/>
        <family val="2"/>
      </rPr>
      <t xml:space="preserve">萬美元集體訴訟和解金的一部分</t>
    </r>
  </si>
  <si>
    <t xml:space="preserve">CNET</t>
  </si>
  <si>
    <t xml:space="preserve">87cb286aeeacf57a15383d01</t>
  </si>
  <si>
    <t xml:space="preserve">9AM: NC Attorney General rejects Duke Energy settlement</t>
  </si>
  <si>
    <r>
      <rPr>
        <sz val="10"/>
        <rFont val="Noto Sans CJK SC"/>
        <family val="2"/>
      </rPr>
      <t xml:space="preserve">上午 </t>
    </r>
    <r>
      <rPr>
        <sz val="10"/>
        <rFont val="Arial"/>
        <family val="0"/>
        <charset val="1"/>
      </rPr>
      <t xml:space="preserve">9 </t>
    </r>
    <r>
      <rPr>
        <sz val="10"/>
        <rFont val="Noto Sans CJK SC"/>
        <family val="2"/>
      </rPr>
      <t xml:space="preserve">點：北卡羅來納州總檢察長拒絕杜克能源公司和解協議</t>
    </r>
  </si>
  <si>
    <r>
      <rPr>
        <sz val="10"/>
        <rFont val="Noto Sans CJK SC"/>
        <family val="2"/>
      </rPr>
      <t xml:space="preserve">州檢察長拒絕 </t>
    </r>
    <r>
      <rPr>
        <sz val="10"/>
        <rFont val="Arial"/>
        <family val="0"/>
        <charset val="1"/>
      </rPr>
      <t xml:space="preserve">Duke Energy </t>
    </r>
    <r>
      <rPr>
        <sz val="10"/>
        <rFont val="Noto Sans CJK SC"/>
        <family val="2"/>
      </rPr>
      <t xml:space="preserve">電價和解案，屬費率審議，不是裁罰。</t>
    </r>
  </si>
  <si>
    <t xml:space="preserve">70a628b504b31dbc534ceeb8</t>
  </si>
  <si>
    <t xml:space="preserve">AIG</t>
  </si>
  <si>
    <t xml:space="preserve">American International Group</t>
  </si>
  <si>
    <t xml:space="preserve">AIG Loss in Delaware Deepens Split on Recouping Settlement Funds</t>
  </si>
  <si>
    <r>
      <rPr>
        <sz val="10"/>
        <rFont val="Arial"/>
        <family val="0"/>
        <charset val="1"/>
      </rPr>
      <t xml:space="preserve">AIG </t>
    </r>
    <r>
      <rPr>
        <sz val="10"/>
        <rFont val="Noto Sans CJK SC"/>
        <family val="2"/>
      </rPr>
      <t xml:space="preserve">在特拉華州的損失加深了在收回和解資金方面的分歧</t>
    </r>
  </si>
  <si>
    <r>
      <rPr>
        <sz val="10"/>
        <rFont val="Arial"/>
        <family val="0"/>
        <charset val="1"/>
      </rPr>
      <t xml:space="preserve">AIG </t>
    </r>
    <r>
      <rPr>
        <sz val="10"/>
        <rFont val="Noto Sans CJK SC"/>
        <family val="2"/>
      </rPr>
      <t xml:space="preserve">在德拉瓦州的保險賠付追償糾紛，屬保險理賠訴訟。</t>
    </r>
  </si>
  <si>
    <t xml:space="preserve">44a0e0e8b7e748989ab46bde</t>
  </si>
  <si>
    <t xml:space="preserve">Attorney general rejects Duke Energy Progress settlement over 6.8% rate hike</t>
  </si>
  <si>
    <r>
      <rPr>
        <sz val="10"/>
        <rFont val="Noto Sans CJK SC"/>
        <family val="2"/>
      </rPr>
      <t xml:space="preserve">總檢察長拒絕杜克能源進步公司升息 </t>
    </r>
    <r>
      <rPr>
        <sz val="10"/>
        <rFont val="Arial"/>
        <family val="0"/>
        <charset val="1"/>
      </rPr>
      <t xml:space="preserve">6.8% </t>
    </r>
    <r>
      <rPr>
        <sz val="10"/>
        <rFont val="Noto Sans CJK SC"/>
        <family val="2"/>
      </rPr>
      <t xml:space="preserve">的和解協議</t>
    </r>
  </si>
  <si>
    <t xml:space="preserve">3d7f9ebe9475217fc56a7e47</t>
  </si>
  <si>
    <t xml:space="preserve">Clark Howard shares advice after $100M Equifax credit score settlement</t>
  </si>
  <si>
    <r>
      <rPr>
        <sz val="10"/>
        <rFont val="Noto Sans CJK SC"/>
        <family val="2"/>
      </rPr>
      <t xml:space="preserve">克拉克霍華德 </t>
    </r>
    <r>
      <rPr>
        <sz val="10"/>
        <rFont val="Arial"/>
        <family val="0"/>
        <charset val="1"/>
      </rPr>
      <t xml:space="preserve">(Clark Howard) </t>
    </r>
    <r>
      <rPr>
        <sz val="10"/>
        <rFont val="Noto Sans CJK SC"/>
        <family val="2"/>
      </rPr>
      <t xml:space="preserve">在 </t>
    </r>
    <r>
      <rPr>
        <sz val="10"/>
        <rFont val="Arial"/>
        <family val="0"/>
        <charset val="1"/>
      </rPr>
      <t xml:space="preserve">Equifax </t>
    </r>
    <r>
      <rPr>
        <sz val="10"/>
        <rFont val="Noto Sans CJK SC"/>
        <family val="2"/>
      </rPr>
      <t xml:space="preserve">信用評分和解 </t>
    </r>
    <r>
      <rPr>
        <sz val="10"/>
        <rFont val="Arial"/>
        <family val="0"/>
        <charset val="1"/>
      </rPr>
      <t xml:space="preserve">1 </t>
    </r>
    <r>
      <rPr>
        <sz val="10"/>
        <rFont val="Noto Sans CJK SC"/>
        <family val="2"/>
      </rPr>
      <t xml:space="preserve">億美元後分享建議</t>
    </r>
  </si>
  <si>
    <t xml:space="preserve">95.5 WSB</t>
  </si>
  <si>
    <r>
      <rPr>
        <sz val="10"/>
        <rFont val="Arial"/>
        <family val="0"/>
        <charset val="1"/>
      </rPr>
      <t xml:space="preserve">Equifax </t>
    </r>
    <r>
      <rPr>
        <sz val="10"/>
        <rFont val="Noto Sans CJK SC"/>
        <family val="2"/>
      </rPr>
      <t xml:space="preserve">同意以 </t>
    </r>
    <r>
      <rPr>
        <sz val="10"/>
        <rFont val="Arial"/>
        <family val="0"/>
        <charset val="1"/>
      </rPr>
      <t xml:space="preserve">1 </t>
    </r>
    <r>
      <rPr>
        <sz val="10"/>
        <rFont val="Noto Sans CJK SC"/>
        <family val="2"/>
      </rPr>
      <t xml:space="preserve">億美元和解 </t>
    </r>
    <r>
      <rPr>
        <sz val="10"/>
        <rFont val="Arial"/>
        <family val="0"/>
        <charset val="1"/>
      </rPr>
      <t xml:space="preserve">2022 </t>
    </r>
    <r>
      <rPr>
        <sz val="10"/>
        <rFont val="Noto Sans CJK SC"/>
        <family val="2"/>
      </rPr>
      <t xml:space="preserve">年信用分數編碼錯誤的集體訴訟，屬私人訴訟和解，不是監管裁罰。</t>
    </r>
  </si>
  <si>
    <t xml:space="preserve">d22052bdbaea7f01489256a4</t>
  </si>
  <si>
    <t xml:space="preserve">CMCSA</t>
  </si>
  <si>
    <t xml:space="preserve">Comcast Corporation</t>
  </si>
  <si>
    <t xml:space="preserve">Comcast offering payouts in $117.5M settlement. Are you eligible?</t>
  </si>
  <si>
    <r>
      <rPr>
        <sz val="10"/>
        <rFont val="Noto Sans CJK SC"/>
        <family val="2"/>
      </rPr>
      <t xml:space="preserve">康卡斯特提供 </t>
    </r>
    <r>
      <rPr>
        <sz val="10"/>
        <rFont val="Arial"/>
        <family val="0"/>
        <charset val="1"/>
      </rPr>
      <t xml:space="preserve">1.175 </t>
    </r>
    <r>
      <rPr>
        <sz val="10"/>
        <rFont val="Noto Sans CJK SC"/>
        <family val="2"/>
      </rPr>
      <t xml:space="preserve">億美元的賠償。你有資格嗎？</t>
    </r>
  </si>
  <si>
    <t xml:space="preserve">usatoday.com</t>
  </si>
  <si>
    <r>
      <rPr>
        <sz val="10"/>
        <rFont val="Arial"/>
        <family val="0"/>
        <charset val="1"/>
      </rPr>
      <t xml:space="preserve">Comcast 1.175 </t>
    </r>
    <r>
      <rPr>
        <sz val="10"/>
        <rFont val="Noto Sans CJK SC"/>
        <family val="2"/>
      </rPr>
      <t xml:space="preserve">億美元集體訴訟和解的賠付說明。</t>
    </r>
  </si>
  <si>
    <t xml:space="preserve">4b83b68db5c81b2563e808ea</t>
  </si>
  <si>
    <t xml:space="preserve">Court gives final approval to New Jersey’s $2.5 billion PFAS settlements with DuPont and 3M</t>
  </si>
  <si>
    <r>
      <rPr>
        <sz val="10"/>
        <rFont val="Noto Sans CJK SC"/>
        <family val="2"/>
      </rPr>
      <t xml:space="preserve">法院最終批准新澤西州與杜邦和 </t>
    </r>
    <r>
      <rPr>
        <sz val="10"/>
        <rFont val="Arial"/>
        <family val="0"/>
        <charset val="1"/>
      </rPr>
      <t xml:space="preserve">3M </t>
    </r>
    <r>
      <rPr>
        <sz val="10"/>
        <rFont val="Noto Sans CJK SC"/>
        <family val="2"/>
      </rPr>
      <t xml:space="preserve">達成的 </t>
    </r>
    <r>
      <rPr>
        <sz val="10"/>
        <rFont val="Arial"/>
        <family val="0"/>
        <charset val="1"/>
      </rPr>
      <t xml:space="preserve">25 </t>
    </r>
    <r>
      <rPr>
        <sz val="10"/>
        <rFont val="Noto Sans CJK SC"/>
        <family val="2"/>
      </rPr>
      <t xml:space="preserve">億美元 </t>
    </r>
    <r>
      <rPr>
        <sz val="10"/>
        <rFont val="Arial"/>
        <family val="0"/>
        <charset val="1"/>
      </rPr>
      <t xml:space="preserve">PFAS </t>
    </r>
    <r>
      <rPr>
        <sz val="10"/>
        <rFont val="Noto Sans CJK SC"/>
        <family val="2"/>
      </rPr>
      <t xml:space="preserve">和解協議</t>
    </r>
  </si>
  <si>
    <t xml:space="preserve">Smart Water Magazine</t>
  </si>
  <si>
    <t xml:space="preserve">1fd04e8d08d991f290ee3f32</t>
  </si>
  <si>
    <t xml:space="preserve">HPE</t>
  </si>
  <si>
    <t xml:space="preserve">Hewlett Packard Enterprise</t>
  </si>
  <si>
    <t xml:space="preserve">HPE Wins Approval for DOJ Settlement on Juniper WiFi Deal</t>
  </si>
  <si>
    <r>
      <rPr>
        <sz val="10"/>
        <rFont val="Arial"/>
        <family val="0"/>
        <charset val="1"/>
      </rPr>
      <t xml:space="preserve">HPE </t>
    </r>
    <r>
      <rPr>
        <sz val="10"/>
        <rFont val="Noto Sans CJK SC"/>
        <family val="2"/>
      </rPr>
      <t xml:space="preserve">獲得 </t>
    </r>
    <r>
      <rPr>
        <sz val="10"/>
        <rFont val="Arial"/>
        <family val="0"/>
        <charset val="1"/>
      </rPr>
      <t xml:space="preserve">DOJ </t>
    </r>
    <r>
      <rPr>
        <sz val="10"/>
        <rFont val="Noto Sans CJK SC"/>
        <family val="2"/>
      </rPr>
      <t xml:space="preserve">就瞻博網路 </t>
    </r>
    <r>
      <rPr>
        <sz val="10"/>
        <rFont val="Arial"/>
        <family val="0"/>
        <charset val="1"/>
      </rPr>
      <t xml:space="preserve">WiFi </t>
    </r>
    <r>
      <rPr>
        <sz val="10"/>
        <rFont val="Noto Sans CJK SC"/>
        <family val="2"/>
      </rPr>
      <t xml:space="preserve">交易達成和解的批准</t>
    </r>
  </si>
  <si>
    <r>
      <rPr>
        <sz val="10"/>
        <rFont val="Arial"/>
        <family val="0"/>
        <charset val="1"/>
      </rPr>
      <t xml:space="preserve">HPE </t>
    </r>
    <r>
      <rPr>
        <sz val="10"/>
        <rFont val="Noto Sans CJK SC"/>
        <family val="2"/>
      </rPr>
      <t xml:space="preserve">併購 </t>
    </r>
    <r>
      <rPr>
        <sz val="10"/>
        <rFont val="Arial"/>
        <family val="0"/>
        <charset val="1"/>
      </rPr>
      <t xml:space="preserve">Juniper </t>
    </r>
    <r>
      <rPr>
        <sz val="10"/>
        <rFont val="Noto Sans CJK SC"/>
        <family val="2"/>
      </rPr>
      <t xml:space="preserve">與司法部達成和解（附條件），屬反壟斷審查結果，不是裁罰。</t>
    </r>
  </si>
  <si>
    <t xml:space="preserve">557b755ad7ae6f5f66b8ef9d</t>
  </si>
  <si>
    <t xml:space="preserve">HPE/Juniper Settlement Tests Limits of Tunney Act Oversight</t>
  </si>
  <si>
    <r>
      <rPr>
        <sz val="10"/>
        <rFont val="Arial"/>
        <family val="0"/>
        <charset val="1"/>
      </rPr>
      <t xml:space="preserve">HPE/Juniper </t>
    </r>
    <r>
      <rPr>
        <sz val="10"/>
        <rFont val="Noto Sans CJK SC"/>
        <family val="2"/>
      </rPr>
      <t xml:space="preserve">和解測試 </t>
    </r>
    <r>
      <rPr>
        <sz val="10"/>
        <rFont val="Arial"/>
        <family val="0"/>
        <charset val="1"/>
      </rPr>
      <t xml:space="preserve">Tunney </t>
    </r>
    <r>
      <rPr>
        <sz val="10"/>
        <rFont val="Noto Sans CJK SC"/>
        <family val="2"/>
      </rPr>
      <t xml:space="preserve">法案監督的局限性</t>
    </r>
  </si>
  <si>
    <t xml:space="preserve">Law.com</t>
  </si>
  <si>
    <t xml:space="preserve">1716debf560bc91c81c19242</t>
  </si>
  <si>
    <t xml:space="preserve">Attorney General Jackson declines Duke Energy Progress rate settlement</t>
  </si>
  <si>
    <t xml:space="preserve">司法部長傑克森拒絕杜克能源進步費率和解</t>
  </si>
  <si>
    <t xml:space="preserve">springhopeenterprise.com</t>
  </si>
  <si>
    <t xml:space="preserve">2d36fe21d56c382ad4288660</t>
  </si>
  <si>
    <t xml:space="preserve">DOJ's HPE Merger Settlement Approved Over State Objections</t>
  </si>
  <si>
    <r>
      <rPr>
        <sz val="10"/>
        <rFont val="Noto Sans CJK SC"/>
        <family val="2"/>
      </rPr>
      <t xml:space="preserve">美國司法部的 </t>
    </r>
    <r>
      <rPr>
        <sz val="10"/>
        <rFont val="Arial"/>
        <family val="0"/>
        <charset val="1"/>
      </rPr>
      <t xml:space="preserve">HPE </t>
    </r>
    <r>
      <rPr>
        <sz val="10"/>
        <rFont val="Noto Sans CJK SC"/>
        <family val="2"/>
      </rPr>
      <t xml:space="preserve">合併和解協議因各州反對而獲得批准</t>
    </r>
  </si>
  <si>
    <t xml:space="preserve">a332cd8fb2e6b82d560fe92f</t>
  </si>
  <si>
    <t xml:space="preserve">Calif. AG: HPE-Juniper judge says settlement not reached through ‘routine process’</t>
  </si>
  <si>
    <r>
      <rPr>
        <sz val="10"/>
        <rFont val="Noto Sans CJK SC"/>
        <family val="2"/>
      </rPr>
      <t xml:space="preserve">加州 </t>
    </r>
    <r>
      <rPr>
        <sz val="10"/>
        <rFont val="Arial"/>
        <family val="0"/>
        <charset val="1"/>
      </rPr>
      <t xml:space="preserve">AG</t>
    </r>
    <r>
      <rPr>
        <sz val="10"/>
        <rFont val="Noto Sans CJK SC"/>
        <family val="2"/>
      </rPr>
      <t xml:space="preserve">：</t>
    </r>
    <r>
      <rPr>
        <sz val="10"/>
        <rFont val="Arial"/>
        <family val="0"/>
        <charset val="1"/>
      </rPr>
      <t xml:space="preserve">HPE-Juniper </t>
    </r>
    <r>
      <rPr>
        <sz val="10"/>
        <rFont val="Noto Sans CJK SC"/>
        <family val="2"/>
      </rPr>
      <t xml:space="preserve">法官稱未通過“常規程序”達成和解</t>
    </r>
  </si>
  <si>
    <t xml:space="preserve">MLex</t>
  </si>
  <si>
    <t xml:space="preserve">f3ad723d7b848621dc3ba69e</t>
  </si>
  <si>
    <t xml:space="preserve">Equifax settlement could pay $100 million to up to 4 million consumers</t>
  </si>
  <si>
    <r>
      <rPr>
        <sz val="10"/>
        <rFont val="Arial"/>
        <family val="0"/>
        <charset val="1"/>
      </rPr>
      <t xml:space="preserve">Equifax </t>
    </r>
    <r>
      <rPr>
        <sz val="10"/>
        <rFont val="Noto Sans CJK SC"/>
        <family val="2"/>
      </rPr>
      <t xml:space="preserve">和解協議可向多達 </t>
    </r>
    <r>
      <rPr>
        <sz val="10"/>
        <rFont val="Arial"/>
        <family val="0"/>
        <charset val="1"/>
      </rPr>
      <t xml:space="preserve">400 </t>
    </r>
    <r>
      <rPr>
        <sz val="10"/>
        <rFont val="Noto Sans CJK SC"/>
        <family val="2"/>
      </rPr>
      <t xml:space="preserve">萬消費者支付 </t>
    </r>
    <r>
      <rPr>
        <sz val="10"/>
        <rFont val="Arial"/>
        <family val="0"/>
        <charset val="1"/>
      </rPr>
      <t xml:space="preserve">1 </t>
    </r>
    <r>
      <rPr>
        <sz val="10"/>
        <rFont val="Noto Sans CJK SC"/>
        <family val="2"/>
      </rPr>
      <t xml:space="preserve">億美元</t>
    </r>
  </si>
  <si>
    <t xml:space="preserve">11alive.com</t>
  </si>
  <si>
    <t xml:space="preserve">212b6fc6646c7d52a7c36f92</t>
  </si>
  <si>
    <t xml:space="preserve">Equifax agrees to $100 million settlement over 2022 coding issue that impacted credit scores</t>
  </si>
  <si>
    <r>
      <rPr>
        <sz val="10"/>
        <rFont val="Arial"/>
        <family val="0"/>
        <charset val="1"/>
      </rPr>
      <t xml:space="preserve">Equifax </t>
    </r>
    <r>
      <rPr>
        <sz val="10"/>
        <rFont val="Noto Sans CJK SC"/>
        <family val="2"/>
      </rPr>
      <t xml:space="preserve">同意就影響信用評分的 </t>
    </r>
    <r>
      <rPr>
        <sz val="10"/>
        <rFont val="Arial"/>
        <family val="0"/>
        <charset val="1"/>
      </rPr>
      <t xml:space="preserve">2022 </t>
    </r>
    <r>
      <rPr>
        <sz val="10"/>
        <rFont val="Noto Sans CJK SC"/>
        <family val="2"/>
      </rPr>
      <t xml:space="preserve">年編碼問題達成 </t>
    </r>
    <r>
      <rPr>
        <sz val="10"/>
        <rFont val="Arial"/>
        <family val="0"/>
        <charset val="1"/>
      </rPr>
      <t xml:space="preserve">1 </t>
    </r>
    <r>
      <rPr>
        <sz val="10"/>
        <rFont val="Noto Sans CJK SC"/>
        <family val="2"/>
      </rPr>
      <t xml:space="preserve">億美元和解</t>
    </r>
  </si>
  <si>
    <t xml:space="preserve">9f690f78f96afb87f9b71c4d</t>
  </si>
  <si>
    <t xml:space="preserve">Equifax agrees to $100 million settlement over credit score error in 2022</t>
  </si>
  <si>
    <r>
      <rPr>
        <sz val="10"/>
        <rFont val="Arial"/>
        <family val="0"/>
        <charset val="1"/>
      </rPr>
      <t xml:space="preserve">Equifax </t>
    </r>
    <r>
      <rPr>
        <sz val="10"/>
        <rFont val="Noto Sans CJK SC"/>
        <family val="2"/>
      </rPr>
      <t xml:space="preserve">同意 </t>
    </r>
    <r>
      <rPr>
        <sz val="10"/>
        <rFont val="Arial"/>
        <family val="0"/>
        <charset val="1"/>
      </rPr>
      <t xml:space="preserve">2022 </t>
    </r>
    <r>
      <rPr>
        <sz val="10"/>
        <rFont val="Noto Sans CJK SC"/>
        <family val="2"/>
      </rPr>
      <t xml:space="preserve">年因信用評分錯誤獲得 </t>
    </r>
    <r>
      <rPr>
        <sz val="10"/>
        <rFont val="Arial"/>
        <family val="0"/>
        <charset val="1"/>
      </rPr>
      <t xml:space="preserve">1 </t>
    </r>
    <r>
      <rPr>
        <sz val="10"/>
        <rFont val="Noto Sans CJK SC"/>
        <family val="2"/>
      </rPr>
      <t xml:space="preserve">億美元和解</t>
    </r>
  </si>
  <si>
    <t xml:space="preserve">3987682b115a27f87e800e89</t>
  </si>
  <si>
    <t xml:space="preserve">Hewlett Packard Enterprise wins approval for DOJ settlement in Juniper deal (HPE:NYSE)</t>
  </si>
  <si>
    <r>
      <rPr>
        <sz val="10"/>
        <rFont val="Noto Sans CJK SC"/>
        <family val="2"/>
      </rPr>
      <t xml:space="preserve">惠普企業 </t>
    </r>
    <r>
      <rPr>
        <sz val="10"/>
        <rFont val="Arial"/>
        <family val="0"/>
        <charset val="1"/>
      </rPr>
      <t xml:space="preserve">(Hewlett Packard Enterprise) </t>
    </r>
    <r>
      <rPr>
        <sz val="10"/>
        <rFont val="Noto Sans CJK SC"/>
        <family val="2"/>
      </rPr>
      <t xml:space="preserve">獲得司法部批准瞻博網路交易和解 </t>
    </r>
    <r>
      <rPr>
        <sz val="10"/>
        <rFont val="Arial"/>
        <family val="0"/>
        <charset val="1"/>
      </rPr>
      <t xml:space="preserve">(HPE:NYSE)</t>
    </r>
  </si>
  <si>
    <t xml:space="preserve">740f406d9742c62d2156186c</t>
  </si>
  <si>
    <t xml:space="preserve">Equifax settlement: Consumers impacted by 2022 credit score error could receive payments</t>
  </si>
  <si>
    <r>
      <rPr>
        <sz val="10"/>
        <rFont val="Arial"/>
        <family val="0"/>
        <charset val="1"/>
      </rPr>
      <t xml:space="preserve">Equifax </t>
    </r>
    <r>
      <rPr>
        <sz val="10"/>
        <rFont val="Noto Sans CJK SC"/>
        <family val="2"/>
      </rPr>
      <t xml:space="preserve">結算：受 </t>
    </r>
    <r>
      <rPr>
        <sz val="10"/>
        <rFont val="Arial"/>
        <family val="0"/>
        <charset val="1"/>
      </rPr>
      <t xml:space="preserve">2022 </t>
    </r>
    <r>
      <rPr>
        <sz val="10"/>
        <rFont val="Noto Sans CJK SC"/>
        <family val="2"/>
      </rPr>
      <t xml:space="preserve">年信用評分錯誤影響的消費者可以獲得付款</t>
    </r>
  </si>
  <si>
    <t xml:space="preserve">WSB-TV</t>
  </si>
  <si>
    <t xml:space="preserve">abdb79d99c6e782f83836c5e</t>
  </si>
  <si>
    <t xml:space="preserve">CSX</t>
  </si>
  <si>
    <t xml:space="preserve">CSX Corporation</t>
  </si>
  <si>
    <t xml:space="preserve">CSX Transportation $1.5M Livingston Derailment Settlement</t>
  </si>
  <si>
    <r>
      <rPr>
        <sz val="10"/>
        <rFont val="Arial"/>
        <family val="0"/>
        <charset val="1"/>
      </rPr>
      <t xml:space="preserve">CSX </t>
    </r>
    <r>
      <rPr>
        <sz val="10"/>
        <rFont val="Noto Sans CJK SC"/>
        <family val="2"/>
      </rPr>
      <t xml:space="preserve">運輸 </t>
    </r>
    <r>
      <rPr>
        <sz val="10"/>
        <rFont val="Arial"/>
        <family val="0"/>
        <charset val="1"/>
      </rPr>
      <t xml:space="preserve">150 </t>
    </r>
    <r>
      <rPr>
        <sz val="10"/>
        <rFont val="Noto Sans CJK SC"/>
        <family val="2"/>
      </rPr>
      <t xml:space="preserve">萬美元利文斯頓脫軌和解</t>
    </r>
  </si>
  <si>
    <r>
      <rPr>
        <sz val="10"/>
        <rFont val="Arial"/>
        <family val="0"/>
        <charset val="1"/>
      </rPr>
      <t xml:space="preserve">CSX </t>
    </r>
    <r>
      <rPr>
        <sz val="10"/>
        <rFont val="Noto Sans CJK SC"/>
        <family val="2"/>
      </rPr>
      <t xml:space="preserve">以 </t>
    </r>
    <r>
      <rPr>
        <sz val="10"/>
        <rFont val="Arial"/>
        <family val="0"/>
        <charset val="1"/>
      </rPr>
      <t xml:space="preserve">150 </t>
    </r>
    <r>
      <rPr>
        <sz val="10"/>
        <rFont val="Noto Sans CJK SC"/>
        <family val="2"/>
      </rPr>
      <t xml:space="preserve">萬美元和解脫軌事故，金額小。</t>
    </r>
  </si>
  <si>
    <t xml:space="preserve">6164c77c2f7ea18d2b113685</t>
  </si>
  <si>
    <t xml:space="preserve">Equifax $100M Settlement Marks Record Payout Over Credit Score Coding Glitch</t>
  </si>
  <si>
    <r>
      <rPr>
        <sz val="10"/>
        <rFont val="Arial"/>
        <family val="0"/>
        <charset val="1"/>
      </rPr>
      <t xml:space="preserve">Equifax </t>
    </r>
    <r>
      <rPr>
        <sz val="10"/>
        <rFont val="Noto Sans CJK SC"/>
        <family val="2"/>
      </rPr>
      <t xml:space="preserve">因信用評分編碼故障達成 </t>
    </r>
    <r>
      <rPr>
        <sz val="10"/>
        <rFont val="Arial"/>
        <family val="0"/>
        <charset val="1"/>
      </rPr>
      <t xml:space="preserve">1 </t>
    </r>
    <r>
      <rPr>
        <sz val="10"/>
        <rFont val="Noto Sans CJK SC"/>
        <family val="2"/>
      </rPr>
      <t xml:space="preserve">億美元和解協議，創歷史新高</t>
    </r>
  </si>
  <si>
    <t xml:space="preserve">USA Herald</t>
  </si>
  <si>
    <t xml:space="preserve">abca17dacc6a80807e93ef80</t>
  </si>
  <si>
    <t xml:space="preserve">TFC</t>
  </si>
  <si>
    <t xml:space="preserve">Truist Financial Corporation Common Stoc</t>
  </si>
  <si>
    <t xml:space="preserve">TFC 2 report: Young Reds earn penalty shootout win at home</t>
  </si>
  <si>
    <r>
      <rPr>
        <sz val="10"/>
        <rFont val="Arial"/>
        <family val="0"/>
        <charset val="1"/>
      </rPr>
      <t xml:space="preserve">TFC 2 </t>
    </r>
    <r>
      <rPr>
        <sz val="10"/>
        <rFont val="Noto Sans CJK SC"/>
        <family val="2"/>
      </rPr>
      <t xml:space="preserve">報導：年輕紅軍在主場贏得點球大戰</t>
    </r>
  </si>
  <si>
    <t xml:space="preserve">TFC Republic</t>
  </si>
  <si>
    <r>
      <rPr>
        <sz val="10"/>
        <rFont val="Noto Sans CJK SC"/>
        <family val="2"/>
      </rPr>
      <t xml:space="preserve">足球／橄欖球比賽新聞（</t>
    </r>
    <r>
      <rPr>
        <sz val="10"/>
        <rFont val="Arial"/>
        <family val="0"/>
        <charset val="1"/>
      </rPr>
      <t xml:space="preserve">penalty</t>
    </r>
    <r>
      <rPr>
        <sz val="10"/>
        <rFont val="Noto Sans CJK SC"/>
        <family val="2"/>
      </rPr>
      <t xml:space="preserve">），與公司無關。</t>
    </r>
  </si>
  <si>
    <t xml:space="preserve">4835a51281f83136291dbb80</t>
  </si>
  <si>
    <t xml:space="preserve">Week in Review: MARTA's new big boss, Equifax's big settlement and US solar's potential big boost</t>
  </si>
  <si>
    <r>
      <rPr>
        <sz val="10"/>
        <rFont val="Noto Sans CJK SC"/>
        <family val="2"/>
      </rPr>
      <t xml:space="preserve">一週回顧：</t>
    </r>
    <r>
      <rPr>
        <sz val="10"/>
        <rFont val="Arial"/>
        <family val="0"/>
        <charset val="1"/>
      </rPr>
      <t xml:space="preserve">MARTA</t>
    </r>
    <r>
      <rPr>
        <sz val="10"/>
        <rFont val="Noto Sans CJK SC"/>
        <family val="2"/>
      </rPr>
      <t xml:space="preserve">的新老闆、</t>
    </r>
    <r>
      <rPr>
        <sz val="10"/>
        <rFont val="Arial"/>
        <family val="0"/>
        <charset val="1"/>
      </rPr>
      <t xml:space="preserve">Equifax</t>
    </r>
    <r>
      <rPr>
        <sz val="10"/>
        <rFont val="Noto Sans CJK SC"/>
        <family val="2"/>
      </rPr>
      <t xml:space="preserve">的大和解以及美國太陽能潛在的巨大推動</t>
    </r>
  </si>
  <si>
    <t xml:space="preserve">WABE</t>
  </si>
  <si>
    <r>
      <rPr>
        <sz val="10"/>
        <rFont val="Noto Sans CJK SC"/>
        <family val="2"/>
      </rPr>
      <t xml:space="preserve">週報或投資分析文章，只順帶提到 </t>
    </r>
    <r>
      <rPr>
        <sz val="10"/>
        <rFont val="Arial"/>
        <family val="0"/>
        <charset val="1"/>
      </rPr>
      <t xml:space="preserve">Equifax </t>
    </r>
    <r>
      <rPr>
        <sz val="10"/>
        <rFont val="Noto Sans CJK SC"/>
        <family val="2"/>
      </rPr>
      <t xml:space="preserve">和解，不是事件本身。</t>
    </r>
  </si>
  <si>
    <t xml:space="preserve">9492f81f661e2810da7aa729</t>
  </si>
  <si>
    <t xml:space="preserve">Equifax Agrees to $100M Settlement over Error That Changed Millions of Credit Scores</t>
  </si>
  <si>
    <r>
      <rPr>
        <sz val="10"/>
        <rFont val="Arial"/>
        <family val="0"/>
        <charset val="1"/>
      </rPr>
      <t xml:space="preserve">Equifax </t>
    </r>
    <r>
      <rPr>
        <sz val="10"/>
        <rFont val="Noto Sans CJK SC"/>
        <family val="2"/>
      </rPr>
      <t xml:space="preserve">同意就改變數百萬信用評分的錯誤支付 </t>
    </r>
    <r>
      <rPr>
        <sz val="10"/>
        <rFont val="Arial"/>
        <family val="0"/>
        <charset val="1"/>
      </rPr>
      <t xml:space="preserve">1 </t>
    </r>
    <r>
      <rPr>
        <sz val="10"/>
        <rFont val="Noto Sans CJK SC"/>
        <family val="2"/>
      </rPr>
      <t xml:space="preserve">億美元和解</t>
    </r>
  </si>
  <si>
    <t xml:space="preserve">en.econostrum.info</t>
  </si>
  <si>
    <t xml:space="preserve">ae062e0ae775d59af71e95dc</t>
  </si>
  <si>
    <t xml:space="preserve">GM</t>
  </si>
  <si>
    <t xml:space="preserve">General Motors</t>
  </si>
  <si>
    <t xml:space="preserve">MBTA worker whose hair GM Eng pulled gets $495,000 in settlement</t>
  </si>
  <si>
    <r>
      <rPr>
        <sz val="10"/>
        <rFont val="Noto Sans CJK SC"/>
        <family val="2"/>
      </rPr>
      <t xml:space="preserve">被總經理拉扯頭髮的 </t>
    </r>
    <r>
      <rPr>
        <sz val="10"/>
        <rFont val="Arial"/>
        <family val="0"/>
        <charset val="1"/>
      </rPr>
      <t xml:space="preserve">MBTA </t>
    </r>
    <r>
      <rPr>
        <sz val="10"/>
        <rFont val="Noto Sans CJK SC"/>
        <family val="2"/>
      </rPr>
      <t xml:space="preserve">工人獲得 </t>
    </r>
    <r>
      <rPr>
        <sz val="10"/>
        <rFont val="Arial"/>
        <family val="0"/>
        <charset val="1"/>
      </rPr>
      <t xml:space="preserve">495,000 </t>
    </r>
    <r>
      <rPr>
        <sz val="10"/>
        <rFont val="Noto Sans CJK SC"/>
        <family val="2"/>
      </rPr>
      <t xml:space="preserve">美元和解</t>
    </r>
  </si>
  <si>
    <t xml:space="preserve">WBUR</t>
  </si>
  <si>
    <r>
      <rPr>
        <sz val="10"/>
        <rFont val="Arial"/>
        <family val="0"/>
        <charset val="1"/>
      </rPr>
      <t xml:space="preserve">GM </t>
    </r>
    <r>
      <rPr>
        <sz val="10"/>
        <rFont val="Noto Sans CJK SC"/>
        <family val="2"/>
      </rPr>
      <t xml:space="preserve">指的是 </t>
    </r>
    <r>
      <rPr>
        <sz val="10"/>
        <rFont val="Arial"/>
        <family val="0"/>
        <charset val="1"/>
      </rPr>
      <t xml:space="preserve">MBTA </t>
    </r>
    <r>
      <rPr>
        <sz val="10"/>
        <rFont val="Noto Sans CJK SC"/>
        <family val="2"/>
      </rPr>
      <t xml:space="preserve">的 </t>
    </r>
    <r>
      <rPr>
        <sz val="10"/>
        <rFont val="Arial"/>
        <family val="0"/>
        <charset val="1"/>
      </rPr>
      <t xml:space="preserve">General Manager</t>
    </r>
    <r>
      <rPr>
        <sz val="10"/>
        <rFont val="Noto Sans CJK SC"/>
        <family val="2"/>
      </rPr>
      <t xml:space="preserve">（總經理），與通用汽車無關。</t>
    </r>
  </si>
  <si>
    <t xml:space="preserve">bfbd6bc0d34d3f7eb6b032ea</t>
  </si>
  <si>
    <t xml:space="preserve">MBTA reaches $500K settlement with employee who says GM pulled her hair</t>
  </si>
  <si>
    <r>
      <rPr>
        <sz val="10"/>
        <rFont val="Arial"/>
        <family val="0"/>
        <charset val="1"/>
      </rPr>
      <t xml:space="preserve">MBTA </t>
    </r>
    <r>
      <rPr>
        <sz val="10"/>
        <rFont val="Noto Sans CJK SC"/>
        <family val="2"/>
      </rPr>
      <t xml:space="preserve">與稱通用汽車拉扯她頭髮的員工達成 </t>
    </r>
    <r>
      <rPr>
        <sz val="10"/>
        <rFont val="Arial"/>
        <family val="0"/>
        <charset val="1"/>
      </rPr>
      <t xml:space="preserve">50 </t>
    </r>
    <r>
      <rPr>
        <sz val="10"/>
        <rFont val="Noto Sans CJK SC"/>
        <family val="2"/>
      </rPr>
      <t xml:space="preserve">萬美元和解</t>
    </r>
  </si>
  <si>
    <t xml:space="preserve">NBC Boston</t>
  </si>
  <si>
    <t xml:space="preserve">f3db737d3568cde382c3b3f5</t>
  </si>
  <si>
    <t xml:space="preserve">ORLY</t>
  </si>
  <si>
    <t xml:space="preserve">O'Reilly Automotive, Inc.</t>
  </si>
  <si>
    <t xml:space="preserve">$18.8M O’Reilly Automotive spam text messages class action settlement</t>
  </si>
  <si>
    <r>
      <rPr>
        <sz val="10"/>
        <rFont val="Arial"/>
        <family val="0"/>
        <charset val="1"/>
      </rPr>
      <t xml:space="preserve">1,880 </t>
    </r>
    <r>
      <rPr>
        <sz val="10"/>
        <rFont val="Noto Sans CJK SC"/>
        <family val="2"/>
      </rPr>
      <t xml:space="preserve">萬美元 </t>
    </r>
    <r>
      <rPr>
        <sz val="10"/>
        <rFont val="Arial"/>
        <family val="0"/>
        <charset val="1"/>
      </rPr>
      <t xml:space="preserve">O’Reilly Automotive </t>
    </r>
    <r>
      <rPr>
        <sz val="10"/>
        <rFont val="Noto Sans CJK SC"/>
        <family val="2"/>
      </rPr>
      <t xml:space="preserve">垃圾簡訊集體訴訟和解</t>
    </r>
  </si>
  <si>
    <r>
      <rPr>
        <sz val="10"/>
        <rFont val="Arial"/>
        <family val="0"/>
        <charset val="1"/>
      </rPr>
      <t xml:space="preserve">O’Reilly </t>
    </r>
    <r>
      <rPr>
        <sz val="10"/>
        <rFont val="Noto Sans CJK SC"/>
        <family val="2"/>
      </rPr>
      <t xml:space="preserve">垃圾簡訊集體訴訟和解（</t>
    </r>
    <r>
      <rPr>
        <sz val="10"/>
        <rFont val="Arial"/>
        <family val="0"/>
        <charset val="1"/>
      </rPr>
      <t xml:space="preserve">1,880 </t>
    </r>
    <r>
      <rPr>
        <sz val="10"/>
        <rFont val="Noto Sans CJK SC"/>
        <family val="2"/>
      </rPr>
      <t xml:space="preserve">萬美元），屬消費者訴訟。</t>
    </r>
  </si>
  <si>
    <t xml:space="preserve">02b4a57a839e7cbfe6d4f5ae</t>
  </si>
  <si>
    <t xml:space="preserve">Hewlett Packard Enterprise's settlement regarding $14B Juniper acquisition approved</t>
  </si>
  <si>
    <r>
      <rPr>
        <sz val="10"/>
        <rFont val="Noto Sans CJK SC"/>
        <family val="2"/>
      </rPr>
      <t xml:space="preserve">惠普企業 </t>
    </r>
    <r>
      <rPr>
        <sz val="10"/>
        <rFont val="Arial"/>
        <family val="0"/>
        <charset val="1"/>
      </rPr>
      <t xml:space="preserve">(Hewlett Packard Enterprise) </t>
    </r>
    <r>
      <rPr>
        <sz val="10"/>
        <rFont val="Noto Sans CJK SC"/>
        <family val="2"/>
      </rPr>
      <t xml:space="preserve">關於 </t>
    </r>
    <r>
      <rPr>
        <sz val="10"/>
        <rFont val="Arial"/>
        <family val="0"/>
        <charset val="1"/>
      </rPr>
      <t xml:space="preserve">$14B </t>
    </r>
    <r>
      <rPr>
        <sz val="10"/>
        <rFont val="Noto Sans CJK SC"/>
        <family val="2"/>
      </rPr>
      <t xml:space="preserve">收購瞻博網路 </t>
    </r>
    <r>
      <rPr>
        <sz val="10"/>
        <rFont val="Arial"/>
        <family val="0"/>
        <charset val="1"/>
      </rPr>
      <t xml:space="preserve">(Juniper) </t>
    </r>
    <r>
      <rPr>
        <sz val="10"/>
        <rFont val="Noto Sans CJK SC"/>
        <family val="2"/>
      </rPr>
      <t xml:space="preserve">的和解協議已獲批准</t>
    </r>
  </si>
  <si>
    <t xml:space="preserve">The Business Journals</t>
  </si>
  <si>
    <t xml:space="preserve">dfee0c4216d9819c52d22141</t>
  </si>
  <si>
    <t xml:space="preserve">Every Super League club’s penalty points with Hull KR most ill-disciplined</t>
  </si>
  <si>
    <r>
      <rPr>
        <sz val="10"/>
        <rFont val="Noto Sans CJK SC"/>
        <family val="2"/>
      </rPr>
      <t xml:space="preserve">各中超俱樂部罰分最多，赫爾</t>
    </r>
    <r>
      <rPr>
        <sz val="10"/>
        <rFont val="Arial"/>
        <family val="0"/>
        <charset val="1"/>
      </rPr>
      <t xml:space="preserve">KR</t>
    </r>
    <r>
      <rPr>
        <sz val="10"/>
        <rFont val="Noto Sans CJK SC"/>
        <family val="2"/>
      </rPr>
      <t xml:space="preserve">紀律最差</t>
    </r>
  </si>
  <si>
    <t xml:space="preserve">Serious About Rugby League</t>
  </si>
  <si>
    <t xml:space="preserve">7c722f5460f145a26ac2289a</t>
  </si>
  <si>
    <t xml:space="preserve">Federal Judge Approves $3 Million Settlement In Willows Apartments Class-action Lawsuit Humana (LBYlYVW19j)</t>
  </si>
  <si>
    <r>
      <rPr>
        <sz val="10"/>
        <rFont val="Noto Sans CJK SC"/>
        <family val="2"/>
      </rPr>
      <t xml:space="preserve">聯邦法官批准 </t>
    </r>
    <r>
      <rPr>
        <sz val="10"/>
        <rFont val="Arial"/>
        <family val="0"/>
        <charset val="1"/>
      </rPr>
      <t xml:space="preserve">Willows Apartments </t>
    </r>
    <r>
      <rPr>
        <sz val="10"/>
        <rFont val="Noto Sans CJK SC"/>
        <family val="2"/>
      </rPr>
      <t xml:space="preserve">集體訴訟 </t>
    </r>
    <r>
      <rPr>
        <sz val="10"/>
        <rFont val="Arial"/>
        <family val="0"/>
        <charset val="1"/>
      </rPr>
      <t xml:space="preserve">Humana </t>
    </r>
    <r>
      <rPr>
        <sz val="10"/>
        <rFont val="Noto Sans CJK SC"/>
        <family val="2"/>
      </rPr>
      <t xml:space="preserve">獲得 </t>
    </r>
    <r>
      <rPr>
        <sz val="10"/>
        <rFont val="Arial"/>
        <family val="0"/>
        <charset val="1"/>
      </rPr>
      <t xml:space="preserve">300 </t>
    </r>
    <r>
      <rPr>
        <sz val="10"/>
        <rFont val="Noto Sans CJK SC"/>
        <family val="2"/>
      </rPr>
      <t xml:space="preserve">萬美元和解 </t>
    </r>
    <r>
      <rPr>
        <sz val="10"/>
        <rFont val="Arial"/>
        <family val="0"/>
        <charset val="1"/>
      </rPr>
      <t xml:space="preserve">(LBYlYVW19j)</t>
    </r>
  </si>
  <si>
    <t xml:space="preserve">亂碼垃圾標題。</t>
  </si>
  <si>
    <t xml:space="preserve">d1e4cdbbad11541759261404</t>
  </si>
  <si>
    <t xml:space="preserve">Glenmark USA Agrees to USD 15.28 Mn Settlement With Humana Over Generic Drug Antitrust Claims</t>
  </si>
  <si>
    <r>
      <rPr>
        <sz val="10"/>
        <rFont val="Arial"/>
        <family val="0"/>
        <charset val="1"/>
      </rPr>
      <t xml:space="preserve">Glenmark USA </t>
    </r>
    <r>
      <rPr>
        <sz val="10"/>
        <rFont val="Noto Sans CJK SC"/>
        <family val="2"/>
      </rPr>
      <t xml:space="preserve">同意就彷製藥反壟斷索賠與 </t>
    </r>
    <r>
      <rPr>
        <sz val="10"/>
        <rFont val="Arial"/>
        <family val="0"/>
        <charset val="1"/>
      </rPr>
      <t xml:space="preserve">Humana </t>
    </r>
    <r>
      <rPr>
        <sz val="10"/>
        <rFont val="Noto Sans CJK SC"/>
        <family val="2"/>
      </rPr>
      <t xml:space="preserve">達成 </t>
    </r>
    <r>
      <rPr>
        <sz val="10"/>
        <rFont val="Arial"/>
        <family val="0"/>
        <charset val="1"/>
      </rPr>
      <t xml:space="preserve">1528 </t>
    </r>
    <r>
      <rPr>
        <sz val="10"/>
        <rFont val="Noto Sans CJK SC"/>
        <family val="2"/>
      </rPr>
      <t xml:space="preserve">萬美元和解</t>
    </r>
  </si>
  <si>
    <t xml:space="preserve">Medical Dialogues</t>
  </si>
  <si>
    <r>
      <rPr>
        <sz val="10"/>
        <rFont val="Arial"/>
        <family val="0"/>
        <charset val="1"/>
      </rPr>
      <t xml:space="preserve">Glenmark </t>
    </r>
    <r>
      <rPr>
        <sz val="10"/>
        <rFont val="Noto Sans CJK SC"/>
        <family val="2"/>
      </rPr>
      <t xml:space="preserve">付款給 </t>
    </r>
    <r>
      <rPr>
        <sz val="10"/>
        <rFont val="Arial"/>
        <family val="0"/>
        <charset val="1"/>
      </rPr>
      <t xml:space="preserve">Humana</t>
    </r>
    <r>
      <rPr>
        <sz val="10"/>
        <rFont val="Noto Sans CJK SC"/>
        <family val="2"/>
      </rPr>
      <t xml:space="preserve">，</t>
    </r>
    <r>
      <rPr>
        <sz val="10"/>
        <rFont val="Arial"/>
        <family val="0"/>
        <charset val="1"/>
      </rPr>
      <t xml:space="preserve">Humana </t>
    </r>
    <r>
      <rPr>
        <sz val="10"/>
        <rFont val="Noto Sans CJK SC"/>
        <family val="2"/>
      </rPr>
      <t xml:space="preserve">是原告方。</t>
    </r>
  </si>
  <si>
    <t xml:space="preserve">ce76b03dba4c44628396b1a3</t>
  </si>
  <si>
    <t xml:space="preserve">IP</t>
  </si>
  <si>
    <t xml:space="preserve">International Paper</t>
  </si>
  <si>
    <t xml:space="preserve">Phinge &amp; CEO Robert DeMaio Publicly Declare Cash Settlements or Judgments Alone Cannot &amp; Will Not Remedy the Deep Public Harm of Infringing Its IP</t>
  </si>
  <si>
    <r>
      <rPr>
        <sz val="10"/>
        <rFont val="Arial"/>
        <family val="0"/>
        <charset val="1"/>
      </rPr>
      <t xml:space="preserve">Phinge </t>
    </r>
    <r>
      <rPr>
        <sz val="10"/>
        <rFont val="Noto Sans CJK SC"/>
        <family val="2"/>
      </rPr>
      <t xml:space="preserve">及其執行長 </t>
    </r>
    <r>
      <rPr>
        <sz val="10"/>
        <rFont val="Arial"/>
        <family val="0"/>
        <charset val="1"/>
      </rPr>
      <t xml:space="preserve">Robert DeMaio </t>
    </r>
    <r>
      <rPr>
        <sz val="10"/>
        <rFont val="Noto Sans CJK SC"/>
        <family val="2"/>
      </rPr>
      <t xml:space="preserve">公開宣布僅靠現金和解或判決不能也不會彌補侵犯其智慧財產權所造成的深刻公共傷害</t>
    </r>
  </si>
  <si>
    <r>
      <rPr>
        <sz val="10"/>
        <rFont val="Noto Sans CJK SC"/>
        <family val="2"/>
      </rPr>
      <t xml:space="preserve">與 </t>
    </r>
    <r>
      <rPr>
        <sz val="10"/>
        <rFont val="Arial"/>
        <family val="0"/>
        <charset val="1"/>
      </rPr>
      <t xml:space="preserve">International Paper </t>
    </r>
    <r>
      <rPr>
        <sz val="10"/>
        <rFont val="Noto Sans CJK SC"/>
        <family val="2"/>
      </rPr>
      <t xml:space="preserve">無關的公司聲明。</t>
    </r>
  </si>
  <si>
    <t xml:space="preserve">9cd30071d483561c873e69b9</t>
  </si>
  <si>
    <t xml:space="preserve">CF</t>
  </si>
  <si>
    <t xml:space="preserve">CF Industries</t>
  </si>
  <si>
    <t xml:space="preserve">Nashville SC - Inter Miami CF 1 - 0 | MISSED PENALTY - Leo Messi</t>
  </si>
  <si>
    <r>
      <rPr>
        <sz val="10"/>
        <rFont val="Noto Sans CJK SC"/>
        <family val="2"/>
      </rPr>
      <t xml:space="preserve">納許維爾 </t>
    </r>
    <r>
      <rPr>
        <sz val="10"/>
        <rFont val="Arial"/>
        <family val="0"/>
        <charset val="1"/>
      </rPr>
      <t xml:space="preserve">SC - </t>
    </r>
    <r>
      <rPr>
        <sz val="10"/>
        <rFont val="Noto Sans CJK SC"/>
        <family val="2"/>
      </rPr>
      <t xml:space="preserve">國際邁阿密 </t>
    </r>
    <r>
      <rPr>
        <sz val="10"/>
        <rFont val="Arial"/>
        <family val="0"/>
        <charset val="1"/>
      </rPr>
      <t xml:space="preserve">CF 1 - 0 |</t>
    </r>
    <r>
      <rPr>
        <sz val="10"/>
        <rFont val="Noto Sans CJK SC"/>
        <family val="2"/>
      </rPr>
      <t xml:space="preserve">射失點球——裡奧梅西</t>
    </r>
  </si>
  <si>
    <t xml:space="preserve">Yahoo Sports</t>
  </si>
  <si>
    <t xml:space="preserve">819e6599b3c21e163671f62d</t>
  </si>
  <si>
    <t xml:space="preserve">Meta ordered to pay enormous penalty after losing New Mexico case</t>
  </si>
  <si>
    <t xml:space="preserve">梅塔在新墨西哥州敗訴後被判支付巨額罰款</t>
  </si>
  <si>
    <t xml:space="preserve">Mashable</t>
  </si>
  <si>
    <r>
      <rPr>
        <sz val="10"/>
        <rFont val="Arial"/>
        <family val="0"/>
        <charset val="1"/>
      </rPr>
      <t xml:space="preserve">Meta </t>
    </r>
    <r>
      <rPr>
        <sz val="10"/>
        <rFont val="Noto Sans CJK SC"/>
        <family val="2"/>
      </rPr>
      <t xml:space="preserve">在新墨西哥州敗訴，遭判巨額賠償。</t>
    </r>
  </si>
  <si>
    <t xml:space="preserve">7e40ce55b4d98c4451ee7805</t>
  </si>
  <si>
    <t xml:space="preserve">California settlement hits Tractor Supply over pricing, pesticides, and 'biodegradable' claims</t>
  </si>
  <si>
    <t xml:space="preserve">加州和解協議對拖拉機供應公司的定價、殺蟲劑和「可生物降解」索賠造成打擊</t>
  </si>
  <si>
    <t xml:space="preserve">The Cool Down</t>
  </si>
  <si>
    <t xml:space="preserve">9029019bf59ab4bfbb292581</t>
  </si>
  <si>
    <t xml:space="preserve">Uber Eats to pay $4.4 million in settlement with Seattle</t>
  </si>
  <si>
    <t xml:space="preserve">KING5.com</t>
  </si>
  <si>
    <r>
      <rPr>
        <sz val="10"/>
        <rFont val="Arial"/>
        <family val="0"/>
        <charset val="1"/>
      </rPr>
      <t xml:space="preserve">Uber Eats</t>
    </r>
    <r>
      <rPr>
        <sz val="10"/>
        <rFont val="Noto Sans CJK SC"/>
        <family val="2"/>
      </rPr>
      <t xml:space="preserve">／</t>
    </r>
    <r>
      <rPr>
        <sz val="10"/>
        <rFont val="Arial"/>
        <family val="0"/>
        <charset val="1"/>
      </rPr>
      <t xml:space="preserve">Walmart </t>
    </r>
    <r>
      <rPr>
        <sz val="10"/>
        <rFont val="Noto Sans CJK SC"/>
        <family val="2"/>
      </rPr>
      <t xml:space="preserve">與 </t>
    </r>
    <r>
      <rPr>
        <sz val="10"/>
        <rFont val="Arial"/>
        <family val="0"/>
        <charset val="1"/>
      </rPr>
      <t xml:space="preserve">Seattle </t>
    </r>
    <r>
      <rPr>
        <sz val="10"/>
        <rFont val="Noto Sans CJK SC"/>
        <family val="2"/>
      </rPr>
      <t xml:space="preserve">市政府的小額勞動和解（約 </t>
    </r>
    <r>
      <rPr>
        <sz val="10"/>
        <rFont val="Arial"/>
        <family val="0"/>
        <charset val="1"/>
      </rPr>
      <t xml:space="preserve">12 </t>
    </r>
    <r>
      <rPr>
        <sz val="10"/>
        <rFont val="Noto Sans CJK SC"/>
        <family val="2"/>
      </rPr>
      <t xml:space="preserve">萬至 </t>
    </r>
    <r>
      <rPr>
        <sz val="10"/>
        <rFont val="Arial"/>
        <family val="0"/>
        <charset val="1"/>
      </rPr>
      <t xml:space="preserve">440 </t>
    </r>
    <r>
      <rPr>
        <sz val="10"/>
        <rFont val="Noto Sans CJK SC"/>
        <family val="2"/>
      </rPr>
      <t xml:space="preserve">萬美元）。</t>
    </r>
  </si>
  <si>
    <t xml:space="preserve">c2138061cc9061a94eceeb80</t>
  </si>
  <si>
    <t xml:space="preserve">Uber Eats to pay $4.4M settlement to Seattle delivery workers</t>
  </si>
  <si>
    <t xml:space="preserve">The Seattle Times</t>
  </si>
  <si>
    <t xml:space="preserve">c2aed1e8bbb3ec85393b7f6b</t>
  </si>
  <si>
    <t xml:space="preserve">Equifax Settlement Could Pay 4 Million Consumers Up to $280</t>
  </si>
  <si>
    <t xml:space="preserve">BadCredit.org</t>
  </si>
  <si>
    <t xml:space="preserve">fb248b9530e660b4d5037ed8</t>
  </si>
  <si>
    <t xml:space="preserve">L.A. Mayor Karen Bass Throws Her Support Behind Paramount-Warner Bros. Discovery Settlement</t>
  </si>
  <si>
    <t xml:space="preserve">The Hollywood Reporter</t>
  </si>
  <si>
    <r>
      <rPr>
        <sz val="10"/>
        <rFont val="Noto Sans CJK SC"/>
        <family val="2"/>
      </rPr>
      <t xml:space="preserve">洛杉磯市長支持派拉蒙與 </t>
    </r>
    <r>
      <rPr>
        <sz val="10"/>
        <rFont val="Arial"/>
        <family val="0"/>
        <charset val="1"/>
      </rPr>
      <t xml:space="preserve">WBD </t>
    </r>
    <r>
      <rPr>
        <sz val="10"/>
        <rFont val="Noto Sans CJK SC"/>
        <family val="2"/>
      </rPr>
      <t xml:space="preserve">的和解，屬政治表態。</t>
    </r>
  </si>
  <si>
    <t xml:space="preserve">b9e809a50f9d5ef5364a980d</t>
  </si>
  <si>
    <t xml:space="preserve">MPC</t>
  </si>
  <si>
    <t xml:space="preserve">Marathon Petroleum Corporation Common St</t>
  </si>
  <si>
    <t xml:space="preserve">Carson reaches $370-million settlement with Marathon Petroleum, resolving tax dispute</t>
  </si>
  <si>
    <t xml:space="preserve">finance.yahoo.com</t>
  </si>
  <si>
    <r>
      <rPr>
        <sz val="10"/>
        <rFont val="Arial"/>
        <family val="0"/>
        <charset val="1"/>
      </rPr>
      <t xml:space="preserve">Marathon Petroleum </t>
    </r>
    <r>
      <rPr>
        <sz val="10"/>
        <rFont val="Noto Sans CJK SC"/>
        <family val="2"/>
      </rPr>
      <t xml:space="preserve">與 </t>
    </r>
    <r>
      <rPr>
        <sz val="10"/>
        <rFont val="Arial"/>
        <family val="0"/>
        <charset val="1"/>
      </rPr>
      <t xml:space="preserve">Carson </t>
    </r>
    <r>
      <rPr>
        <sz val="10"/>
        <rFont val="Noto Sans CJK SC"/>
        <family val="2"/>
      </rPr>
      <t xml:space="preserve">市以 </t>
    </r>
    <r>
      <rPr>
        <sz val="10"/>
        <rFont val="Arial"/>
        <family val="0"/>
        <charset val="1"/>
      </rPr>
      <t xml:space="preserve">3.7 </t>
    </r>
    <r>
      <rPr>
        <sz val="10"/>
        <rFont val="Noto Sans CJK SC"/>
        <family val="2"/>
      </rPr>
      <t xml:space="preserve">億美元和解稅務爭議；付款方向看標題不明確。</t>
    </r>
  </si>
  <si>
    <t xml:space="preserve">261167cb765c78558992776c</t>
  </si>
  <si>
    <t xml:space="preserve">Got prescriptions at Kroger? You may qualify for payment in $17 million proposed settlement</t>
  </si>
  <si>
    <t xml:space="preserve">fox59.com</t>
  </si>
  <si>
    <r>
      <rPr>
        <sz val="10"/>
        <rFont val="Arial"/>
        <family val="0"/>
        <charset val="1"/>
      </rPr>
      <t xml:space="preserve">Kroger 1,700 </t>
    </r>
    <r>
      <rPr>
        <sz val="10"/>
        <rFont val="Noto Sans CJK SC"/>
        <family val="2"/>
      </rPr>
      <t xml:space="preserve">萬美元藥價消費者和解的領款說明，金額小。</t>
    </r>
  </si>
  <si>
    <t xml:space="preserve">5a39baed1e5af1babd36a364</t>
  </si>
  <si>
    <t xml:space="preserve">Abbott in $670M settlement for some NEC infant formula claims (ABT:NYSE)</t>
  </si>
  <si>
    <r>
      <rPr>
        <sz val="10"/>
        <rFont val="Noto Sans CJK SC"/>
        <family val="2"/>
      </rPr>
      <t xml:space="preserve">雅培以 </t>
    </r>
    <r>
      <rPr>
        <sz val="10"/>
        <rFont val="Arial"/>
        <family val="0"/>
        <charset val="1"/>
      </rPr>
      <t xml:space="preserve">6.7 </t>
    </r>
    <r>
      <rPr>
        <sz val="10"/>
        <rFont val="Noto Sans CJK SC"/>
        <family val="2"/>
      </rPr>
      <t xml:space="preserve">億美元和解部分早產兒配方奶粉（</t>
    </r>
    <r>
      <rPr>
        <sz val="10"/>
        <rFont val="Arial"/>
        <family val="0"/>
        <charset val="1"/>
      </rPr>
      <t xml:space="preserve">NEC</t>
    </r>
    <r>
      <rPr>
        <sz val="10"/>
        <rFont val="Noto Sans CJK SC"/>
        <family val="2"/>
      </rPr>
      <t xml:space="preserve">）索賠，屬私人訴訟和解。</t>
    </r>
  </si>
  <si>
    <t xml:space="preserve">202eba2fa538a72147f07e7f</t>
  </si>
  <si>
    <t xml:space="preserve">Dominion Energy</t>
  </si>
  <si>
    <t xml:space="preserve">Declaring ‘economic D-Day,’ Trump says any country trading with Iran will be sanctioned</t>
  </si>
  <si>
    <r>
      <rPr>
        <sz val="10"/>
        <rFont val="Arial"/>
        <family val="0"/>
        <charset val="1"/>
      </rPr>
      <t xml:space="preserve">Trump </t>
    </r>
    <r>
      <rPr>
        <sz val="10"/>
        <rFont val="Noto Sans CJK SC"/>
        <family val="2"/>
      </rPr>
      <t xml:space="preserve">對伊朗制裁／佛蒙特州謀殺案新聞，與公司無關。</t>
    </r>
  </si>
  <si>
    <t xml:space="preserve">65dd2640523a4c6c2f9ce79a</t>
  </si>
  <si>
    <t xml:space="preserve">Federal prosecutors take over charges in Rutland murder case, won’t seek death penalty</t>
  </si>
  <si>
    <t xml:space="preserve">vtdigger.org</t>
  </si>
  <si>
    <t xml:space="preserve">d73878c04251aaaf0ee40892</t>
  </si>
  <si>
    <t xml:space="preserve">How to apply for Kroger's $17M pharmacy settlement</t>
  </si>
  <si>
    <t xml:space="preserve">WKRC</t>
  </si>
  <si>
    <t xml:space="preserve">046feeb7e7c1f7e6e793d16d</t>
  </si>
  <si>
    <t xml:space="preserve">Equifax agrees to $100 million settlement over alleged misreported credit scores</t>
  </si>
  <si>
    <t xml:space="preserve">New Haven Register</t>
  </si>
  <si>
    <t xml:space="preserve">d205153132b47e56aecb8dca</t>
  </si>
  <si>
    <t xml:space="preserve">Meta, states agree to $17 billion settlement in child safety trial</t>
  </si>
  <si>
    <t xml:space="preserve">mtpr.org</t>
  </si>
  <si>
    <r>
      <rPr>
        <sz val="10"/>
        <rFont val="Arial"/>
        <family val="0"/>
        <charset val="1"/>
      </rPr>
      <t xml:space="preserve">Meta </t>
    </r>
    <r>
      <rPr>
        <sz val="10"/>
        <rFont val="Noto Sans CJK SC"/>
        <family val="2"/>
      </rPr>
      <t xml:space="preserve">與多州就兒童社群媒體成癮案達成約 </t>
    </r>
    <r>
      <rPr>
        <sz val="10"/>
        <rFont val="Arial"/>
        <family val="0"/>
        <charset val="1"/>
      </rPr>
      <t xml:space="preserve">170</t>
    </r>
    <r>
      <rPr>
        <sz val="10"/>
        <rFont val="Noto Sans CJK SC"/>
        <family val="2"/>
      </rPr>
      <t xml:space="preserve">～</t>
    </r>
    <r>
      <rPr>
        <sz val="10"/>
        <rFont val="Arial"/>
        <family val="0"/>
        <charset val="1"/>
      </rPr>
      <t xml:space="preserve">180 </t>
    </r>
    <r>
      <rPr>
        <sz val="10"/>
        <rFont val="Noto Sans CJK SC"/>
        <family val="2"/>
      </rPr>
      <t xml:space="preserve">億美元和解。</t>
    </r>
  </si>
  <si>
    <t xml:space="preserve">eb192c797da689acfff6cf64</t>
  </si>
  <si>
    <t xml:space="preserve">APO</t>
  </si>
  <si>
    <t xml:space="preserve">Apollo Global Management</t>
  </si>
  <si>
    <t xml:space="preserve">The Bull Case For Apollo Global Management (APO) Could Change Following Cybersecurity Breach And Legal Settlement News - Learn Why</t>
  </si>
  <si>
    <t xml:space="preserve">simplywall.st</t>
  </si>
  <si>
    <r>
      <rPr>
        <sz val="10"/>
        <rFont val="Noto Sans CJK SC"/>
        <family val="2"/>
      </rPr>
      <t xml:space="preserve">文章提到 </t>
    </r>
    <r>
      <rPr>
        <sz val="10"/>
        <rFont val="Arial"/>
        <family val="0"/>
        <charset val="1"/>
      </rPr>
      <t xml:space="preserve">Apollo </t>
    </r>
    <r>
      <rPr>
        <sz val="10"/>
        <rFont val="Noto Sans CJK SC"/>
        <family val="2"/>
      </rPr>
      <t xml:space="preserve">的資安事件與法律和解，內容以投資分析為主，請看原文。</t>
    </r>
  </si>
  <si>
    <t xml:space="preserve">be86cfe130733a2e1daf4532</t>
  </si>
  <si>
    <t xml:space="preserve">Humana-owned Villages Health agrees to $542M settlement for overbilling Medicare</t>
  </si>
  <si>
    <t xml:space="preserve">Healthcare Dive</t>
  </si>
  <si>
    <r>
      <rPr>
        <sz val="10"/>
        <rFont val="Arial"/>
        <family val="0"/>
        <charset val="1"/>
      </rPr>
      <t xml:space="preserve">Humana </t>
    </r>
    <r>
      <rPr>
        <sz val="10"/>
        <rFont val="Noto Sans CJK SC"/>
        <family val="2"/>
      </rPr>
      <t xml:space="preserve">旗下 </t>
    </r>
    <r>
      <rPr>
        <sz val="10"/>
        <rFont val="Arial"/>
        <family val="0"/>
        <charset val="1"/>
      </rPr>
      <t xml:space="preserve">Villages Health </t>
    </r>
    <r>
      <rPr>
        <sz val="10"/>
        <rFont val="Noto Sans CJK SC"/>
        <family val="2"/>
      </rPr>
      <t xml:space="preserve">同意以 </t>
    </r>
    <r>
      <rPr>
        <sz val="10"/>
        <rFont val="Arial"/>
        <family val="0"/>
        <charset val="1"/>
      </rPr>
      <t xml:space="preserve">5.42 </t>
    </r>
    <r>
      <rPr>
        <sz val="10"/>
        <rFont val="Noto Sans CJK SC"/>
        <family val="2"/>
      </rPr>
      <t xml:space="preserve">億美元和解 </t>
    </r>
    <r>
      <rPr>
        <sz val="10"/>
        <rFont val="Arial"/>
        <family val="0"/>
        <charset val="1"/>
      </rPr>
      <t xml:space="preserve">Medicare </t>
    </r>
    <r>
      <rPr>
        <sz val="10"/>
        <rFont val="Noto Sans CJK SC"/>
        <family val="2"/>
      </rPr>
      <t xml:space="preserve">超額請款。</t>
    </r>
  </si>
  <si>
    <t xml:space="preserve">3eccdedff5b423dd25d11b0b</t>
  </si>
  <si>
    <t xml:space="preserve">Here’s what Meta’s $18 billion multistate settlement could mean for kids — and for its bottom line</t>
  </si>
  <si>
    <r>
      <rPr>
        <sz val="10"/>
        <rFont val="Arial"/>
        <family val="0"/>
        <charset val="1"/>
      </rPr>
      <t xml:space="preserve">Meta </t>
    </r>
    <r>
      <rPr>
        <sz val="10"/>
        <rFont val="Noto Sans CJK SC"/>
        <family val="2"/>
      </rPr>
      <t xml:space="preserve">多州和解案的後續評論或影響分析。</t>
    </r>
  </si>
  <si>
    <t xml:space="preserve">835c529353eebc961229ccdb</t>
  </si>
  <si>
    <t xml:space="preserve">Meta reaches $17B settlement. And, nuclear regulator to abandon radiation safety rule</t>
  </si>
  <si>
    <t xml:space="preserve">Iowa Public Radio</t>
  </si>
  <si>
    <t xml:space="preserve">29fd57e2ecbfab934da3d346</t>
  </si>
  <si>
    <t xml:space="preserve">Fortune Tech: Meta’s record settlement, Nvidia Q2 earnings, DraftKings’ co-founder contract</t>
  </si>
  <si>
    <t xml:space="preserve">Fortune</t>
  </si>
  <si>
    <r>
      <rPr>
        <sz val="10"/>
        <rFont val="Arial"/>
        <family val="0"/>
        <charset val="1"/>
      </rPr>
      <t xml:space="preserve">Fortune </t>
    </r>
    <r>
      <rPr>
        <sz val="10"/>
        <rFont val="Noto Sans CJK SC"/>
        <family val="2"/>
      </rPr>
      <t xml:space="preserve">科技週報，</t>
    </r>
    <r>
      <rPr>
        <sz val="10"/>
        <rFont val="Arial"/>
        <family val="0"/>
        <charset val="1"/>
      </rPr>
      <t xml:space="preserve">Meta </t>
    </r>
    <r>
      <rPr>
        <sz val="10"/>
        <rFont val="Noto Sans CJK SC"/>
        <family val="2"/>
      </rPr>
      <t xml:space="preserve">和解與 </t>
    </r>
    <r>
      <rPr>
        <sz val="10"/>
        <rFont val="Arial"/>
        <family val="0"/>
        <charset val="1"/>
      </rPr>
      <t xml:space="preserve">Nvidia </t>
    </r>
    <r>
      <rPr>
        <sz val="10"/>
        <rFont val="Noto Sans CJK SC"/>
        <family val="2"/>
      </rPr>
      <t xml:space="preserve">財報並列，公司誤配 </t>
    </r>
    <r>
      <rPr>
        <sz val="10"/>
        <rFont val="Arial"/>
        <family val="0"/>
        <charset val="1"/>
      </rPr>
      <t xml:space="preserve">Nvidia</t>
    </r>
    <r>
      <rPr>
        <sz val="10"/>
        <rFont val="Noto Sans CJK SC"/>
        <family val="2"/>
      </rPr>
      <t xml:space="preserve">。</t>
    </r>
  </si>
  <si>
    <t xml:space="preserve">34b25b146fddf80abb566360</t>
  </si>
  <si>
    <t xml:space="preserve">1a44deb64fa0fabf7d78b62b</t>
  </si>
  <si>
    <t xml:space="preserve">Why Meta's settlement could be an 'inflection point' for reining in Big Tech</t>
  </si>
  <si>
    <t xml:space="preserve">KOSU</t>
  </si>
  <si>
    <t xml:space="preserve">4671cc3f133d696f839a80fe</t>
  </si>
  <si>
    <t xml:space="preserve">Illinois officials, experts react to Meta's social media addiction trial settlement of up to $18B, promised child safety reforms</t>
  </si>
  <si>
    <t xml:space="preserve">ABC7 Chicago</t>
  </si>
  <si>
    <t xml:space="preserve">380f7859ee84a5bc2092c129</t>
  </si>
  <si>
    <t xml:space="preserve">Father speaks out on Meta’s $18B child safety settlement</t>
  </si>
  <si>
    <t xml:space="preserve">137eb3e610b2f8439aff8007</t>
  </si>
  <si>
    <t xml:space="preserve">Landmark settlement agreement with META</t>
  </si>
  <si>
    <t xml:space="preserve">KXLY.com</t>
  </si>
  <si>
    <t xml:space="preserve">60fc635434635081cf5136dd</t>
  </si>
  <si>
    <t xml:space="preserve">Meta reaches landmark $18 billion settlement with states in trial over teen social media addiction</t>
  </si>
  <si>
    <t xml:space="preserve">AP News</t>
  </si>
  <si>
    <t xml:space="preserve">2b0eb5bbbe871ecbf264a7df</t>
  </si>
  <si>
    <t xml:space="preserve">Here’s how to qualify for the new Kroger $17M settlement over prescription drug pricing</t>
  </si>
  <si>
    <t xml:space="preserve">21ffcb676aeadfb494b962a3</t>
  </si>
  <si>
    <t xml:space="preserve">Here’s how to find out if you qualify for part of Kroger’s $17 million settlement</t>
  </si>
  <si>
    <t xml:space="preserve">Action News 5</t>
  </si>
  <si>
    <t xml:space="preserve">eadf751f796e32d981e1a538</t>
  </si>
  <si>
    <t xml:space="preserve">City of Carson reaches $370M settlement with Marathon Petroleum</t>
  </si>
  <si>
    <t xml:space="preserve">Spectrum News</t>
  </si>
  <si>
    <t xml:space="preserve">33d08b065a42e209c66e2bae</t>
  </si>
  <si>
    <t xml:space="preserve">Tractor Supply Can’t Escape Employee Tobacco Penalty Lawsuit</t>
  </si>
  <si>
    <t xml:space="preserve">員工菸草附加費訴訟，屬一般勞資訴訟。</t>
  </si>
  <si>
    <t xml:space="preserve">5d6f5e5e5ad9f3412d980c87</t>
  </si>
  <si>
    <t xml:space="preserve">Humana (HUM) Faces A 27% Fair Value Gap On $541.5 Million Overbilling Settlement</t>
  </si>
  <si>
    <r>
      <rPr>
        <sz val="10"/>
        <rFont val="Arial"/>
        <family val="0"/>
        <charset val="1"/>
      </rPr>
      <t xml:space="preserve">Humana 5.415 </t>
    </r>
    <r>
      <rPr>
        <sz val="10"/>
        <rFont val="Noto Sans CJK SC"/>
        <family val="2"/>
      </rPr>
      <t xml:space="preserve">億美元超額請款和解的投資分析。</t>
    </r>
  </si>
  <si>
    <t xml:space="preserve">4c7314caf830d06a2d6db808</t>
  </si>
  <si>
    <t xml:space="preserve">Judge to consider final approval of Bank of America's $72 million settlement with Epstein accusers</t>
  </si>
  <si>
    <t xml:space="preserve">ABC7 Bay Area</t>
  </si>
  <si>
    <r>
      <rPr>
        <sz val="10"/>
        <rFont val="Noto Sans CJK SC"/>
        <family val="2"/>
      </rPr>
      <t xml:space="preserve">美國銀行以 </t>
    </r>
    <r>
      <rPr>
        <sz val="10"/>
        <rFont val="Arial"/>
        <family val="0"/>
        <charset val="1"/>
      </rPr>
      <t xml:space="preserve">7,250 </t>
    </r>
    <r>
      <rPr>
        <sz val="10"/>
        <rFont val="Noto Sans CJK SC"/>
        <family val="2"/>
      </rPr>
      <t xml:space="preserve">萬美元和解 </t>
    </r>
    <r>
      <rPr>
        <sz val="10"/>
        <rFont val="Arial"/>
        <family val="0"/>
        <charset val="1"/>
      </rPr>
      <t xml:space="preserve">Epstein </t>
    </r>
    <r>
      <rPr>
        <sz val="10"/>
        <rFont val="Noto Sans CJK SC"/>
        <family val="2"/>
      </rPr>
      <t xml:space="preserve">受害者索賠，屬私人訴訟和解。</t>
    </r>
  </si>
  <si>
    <t xml:space="preserve">5d79e7490b12c1e27e991a8e</t>
  </si>
  <si>
    <t xml:space="preserve">Court approves Bank of America’s $72.5M settlement with Epstein accusers</t>
  </si>
  <si>
    <t xml:space="preserve">Maryland Daily Record</t>
  </si>
  <si>
    <t xml:space="preserve">bab403c9efc026019d7c4cb0</t>
  </si>
  <si>
    <t xml:space="preserve">CA AG Rob Bonta talks Meta landmark $18 billion settlement &amp; platform changes</t>
  </si>
  <si>
    <t xml:space="preserve">KEYE</t>
  </si>
  <si>
    <t xml:space="preserve">a9326aedeb567cdd688c9789</t>
  </si>
  <si>
    <t xml:space="preserve">2026-08-30</t>
  </si>
  <si>
    <t xml:space="preserve">Did Equifax's (EFX) Dividend Steadiness and Legal Settlement Proposal Just Reframe Its Risk‑Reward Profile?</t>
  </si>
  <si>
    <t xml:space="preserve">9171d3d5d6a05bdc43f8277c</t>
  </si>
  <si>
    <t xml:space="preserve">This week's Meta settlement will reverberate across the world for years</t>
  </si>
  <si>
    <t xml:space="preserve">Tech Policy Press</t>
  </si>
  <si>
    <t xml:space="preserve">edbb4144ee531b884bbb6c3d</t>
  </si>
  <si>
    <t xml:space="preserve">Walmart agrees to pay $50M settlement over allegations its pharmacies filled illegal opioid prescriptions</t>
  </si>
  <si>
    <t xml:space="preserve">FOX 7 Austin</t>
  </si>
  <si>
    <r>
      <rPr>
        <sz val="10"/>
        <rFont val="Arial"/>
        <family val="0"/>
        <charset val="1"/>
      </rPr>
      <t xml:space="preserve">Walmart </t>
    </r>
    <r>
      <rPr>
        <sz val="10"/>
        <rFont val="Noto Sans CJK SC"/>
        <family val="2"/>
      </rPr>
      <t xml:space="preserve">與司法部、</t>
    </r>
    <r>
      <rPr>
        <sz val="10"/>
        <rFont val="Arial"/>
        <family val="0"/>
        <charset val="1"/>
      </rPr>
      <t xml:space="preserve">DEA </t>
    </r>
    <r>
      <rPr>
        <sz val="10"/>
        <rFont val="Noto Sans CJK SC"/>
        <family val="2"/>
      </rPr>
      <t xml:space="preserve">達成 </t>
    </r>
    <r>
      <rPr>
        <sz val="10"/>
        <rFont val="Arial"/>
        <family val="0"/>
        <charset val="1"/>
      </rPr>
      <t xml:space="preserve">5,000 </t>
    </r>
    <r>
      <rPr>
        <sz val="10"/>
        <rFont val="Noto Sans CJK SC"/>
        <family val="2"/>
      </rPr>
      <t xml:space="preserve">萬美元鴉片類藥物和解。</t>
    </r>
  </si>
  <si>
    <t xml:space="preserve">66ab313c9e99b9661237f750</t>
  </si>
  <si>
    <t xml:space="preserve">Meta settlement reached: Ohio to receive over $300 million</t>
  </si>
  <si>
    <t xml:space="preserve">wowktv.com</t>
  </si>
  <si>
    <t xml:space="preserve">209a279dda6945a064db3e7e</t>
  </si>
  <si>
    <t xml:space="preserve">New Settlement: Uber Eats Agrees to Pay Nearly $4.4M to Resolve Wage Violations</t>
  </si>
  <si>
    <t xml:space="preserve">HRMorning</t>
  </si>
  <si>
    <t xml:space="preserve">33dd0cec444250a9f350ff12</t>
  </si>
  <si>
    <t xml:space="preserve">FTC settlement with CVS Caremark: What PBMs Need to Know</t>
  </si>
  <si>
    <t xml:space="preserve">Lockton</t>
  </si>
  <si>
    <r>
      <rPr>
        <sz val="10"/>
        <rFont val="Arial"/>
        <family val="0"/>
        <charset val="1"/>
      </rPr>
      <t xml:space="preserve">CVS Caremark </t>
    </r>
    <r>
      <rPr>
        <sz val="10"/>
        <rFont val="Noto Sans CJK SC"/>
        <family val="2"/>
      </rPr>
      <t xml:space="preserve">與 </t>
    </r>
    <r>
      <rPr>
        <sz val="10"/>
        <rFont val="Arial"/>
        <family val="0"/>
        <charset val="1"/>
      </rPr>
      <t xml:space="preserve">FTC </t>
    </r>
    <r>
      <rPr>
        <sz val="10"/>
        <rFont val="Noto Sans CJK SC"/>
        <family val="2"/>
      </rPr>
      <t xml:space="preserve">達成和解。</t>
    </r>
  </si>
  <si>
    <t xml:space="preserve">8a79726503816209682d662d</t>
  </si>
  <si>
    <t xml:space="preserve">Meta's $18 billion settlement bets on AI to tell which users are kids</t>
  </si>
  <si>
    <t xml:space="preserve">d0936370d19c7c8174484ef8</t>
  </si>
  <si>
    <t xml:space="preserve">3 things districts need to know about the $17B Meta social media settlement</t>
  </si>
  <si>
    <t xml:space="preserve">K-12 Dive</t>
  </si>
  <si>
    <t xml:space="preserve">fbc24e54643115f5801e3fe8</t>
  </si>
  <si>
    <t xml:space="preserve">West Virginia AG JB McCuskey on $17B Meta settlement: They made a very smart business decision</t>
  </si>
  <si>
    <t xml:space="preserve">01cb186fdda1eb70848eda98</t>
  </si>
  <si>
    <t xml:space="preserve">The Meta settlement is regulation by enforcement</t>
  </si>
  <si>
    <t xml:space="preserve">dc6d870af289865718f6cd6f</t>
  </si>
  <si>
    <t xml:space="preserve">AWK</t>
  </si>
  <si>
    <t xml:space="preserve">American Water Works</t>
  </si>
  <si>
    <t xml:space="preserve">American Water (AWK) and Essential Utilities Reach Non-Unanimous Settlement in Pennsylvania Merger Proceeding</t>
  </si>
  <si>
    <t xml:space="preserve">GuruFocus</t>
  </si>
  <si>
    <r>
      <rPr>
        <sz val="10"/>
        <rFont val="Arial"/>
        <family val="0"/>
        <charset val="1"/>
      </rPr>
      <t xml:space="preserve">American Water </t>
    </r>
    <r>
      <rPr>
        <sz val="10"/>
        <rFont val="Noto Sans CJK SC"/>
        <family val="2"/>
      </rPr>
      <t xml:space="preserve">與 </t>
    </r>
    <r>
      <rPr>
        <sz val="10"/>
        <rFont val="Arial"/>
        <family val="0"/>
        <charset val="1"/>
      </rPr>
      <t xml:space="preserve">Essential Utilities </t>
    </r>
    <r>
      <rPr>
        <sz val="10"/>
        <rFont val="Noto Sans CJK SC"/>
        <family val="2"/>
      </rPr>
      <t xml:space="preserve">合併程序中的和解，屬併購審議。</t>
    </r>
  </si>
  <si>
    <t xml:space="preserve">ea439d5f249c09b4fc959e40</t>
  </si>
  <si>
    <t xml:space="preserve">Experts break down the meaning and consequences of the Meta settlement | Newswise</t>
  </si>
  <si>
    <t xml:space="preserve">Newswise</t>
  </si>
  <si>
    <t xml:space="preserve">23ccefa12a34aead79d7519f</t>
  </si>
  <si>
    <t xml:space="preserve">Meta settlement could clear the way for new AI product launches, Morgan Stanley says</t>
  </si>
  <si>
    <r>
      <rPr>
        <sz val="10"/>
        <rFont val="Noto Sans CJK SC"/>
        <family val="2"/>
      </rPr>
      <t xml:space="preserve">大摩評論 </t>
    </r>
    <r>
      <rPr>
        <sz val="10"/>
        <rFont val="Arial"/>
        <family val="0"/>
        <charset val="1"/>
      </rPr>
      <t xml:space="preserve">Meta </t>
    </r>
    <r>
      <rPr>
        <sz val="10"/>
        <rFont val="Noto Sans CJK SC"/>
        <family val="2"/>
      </rPr>
      <t xml:space="preserve">和解可能為 </t>
    </r>
    <r>
      <rPr>
        <sz val="10"/>
        <rFont val="Arial"/>
        <family val="0"/>
        <charset val="1"/>
      </rPr>
      <t xml:space="preserve">AI </t>
    </r>
    <r>
      <rPr>
        <sz val="10"/>
        <rFont val="Noto Sans CJK SC"/>
        <family val="2"/>
      </rPr>
      <t xml:space="preserve">產品上市掃除障礙。</t>
    </r>
  </si>
  <si>
    <t xml:space="preserve">153012810f8de58e4b943c29</t>
  </si>
  <si>
    <t xml:space="preserve">MS</t>
  </si>
  <si>
    <t xml:space="preserve">Morgan Stanley Common Stock</t>
  </si>
  <si>
    <r>
      <rPr>
        <sz val="10"/>
        <rFont val="Noto Sans CJK SC"/>
        <family val="2"/>
      </rPr>
      <t xml:space="preserve">同一則 </t>
    </r>
    <r>
      <rPr>
        <sz val="10"/>
        <rFont val="Arial"/>
        <family val="0"/>
        <charset val="1"/>
      </rPr>
      <t xml:space="preserve">Meta </t>
    </r>
    <r>
      <rPr>
        <sz val="10"/>
        <rFont val="Noto Sans CJK SC"/>
        <family val="2"/>
      </rPr>
      <t xml:space="preserve">評論，公司誤配為 </t>
    </r>
    <r>
      <rPr>
        <sz val="10"/>
        <rFont val="Arial"/>
        <family val="0"/>
        <charset val="1"/>
      </rPr>
      <t xml:space="preserve">Morgan Stanley</t>
    </r>
    <r>
      <rPr>
        <sz val="10"/>
        <rFont val="Noto Sans CJK SC"/>
        <family val="2"/>
      </rPr>
      <t xml:space="preserve">（只是評論者）。</t>
    </r>
  </si>
  <si>
    <t xml:space="preserve">314f382c2bb34e907ef264bc</t>
  </si>
  <si>
    <t xml:space="preserve">Meta's $17 Billion Settlement is a Bad Deal for Teens and All Social Media Users</t>
  </si>
  <si>
    <t xml:space="preserve">Electronic Frontier Foundation</t>
  </si>
  <si>
    <t xml:space="preserve">610b1de09f11259ce9b2a9f2</t>
  </si>
  <si>
    <t xml:space="preserve">Honeywell Aerospace to Pay Over $2 Million in US Defense Contract Settlement, Shares Fall</t>
  </si>
  <si>
    <t xml:space="preserve">moomoo.com</t>
  </si>
  <si>
    <r>
      <rPr>
        <sz val="10"/>
        <rFont val="Arial"/>
        <family val="0"/>
        <charset val="1"/>
      </rPr>
      <t xml:space="preserve">Honeywell Aerospace </t>
    </r>
    <r>
      <rPr>
        <sz val="10"/>
        <rFont val="Noto Sans CJK SC"/>
        <family val="2"/>
      </rPr>
      <t xml:space="preserve">支付逾 </t>
    </r>
    <r>
      <rPr>
        <sz val="10"/>
        <rFont val="Arial"/>
        <family val="0"/>
        <charset val="1"/>
      </rPr>
      <t xml:space="preserve">200 </t>
    </r>
    <r>
      <rPr>
        <sz val="10"/>
        <rFont val="Noto Sans CJK SC"/>
        <family val="2"/>
      </rPr>
      <t xml:space="preserve">萬美元和解國防合約案，股價下跌。</t>
    </r>
  </si>
  <si>
    <t xml:space="preserve">60a684447a93ef6b014d9601</t>
  </si>
  <si>
    <t xml:space="preserve">Attorneys General announce Meta settlement &amp; new child safety reforms for social media</t>
  </si>
  <si>
    <t xml:space="preserve">Morgan Messenger</t>
  </si>
  <si>
    <t xml:space="preserve">7cdcd0b0254232df49e1e08e</t>
  </si>
  <si>
    <t xml:space="preserve">Meta’s $18 Billion Settlement: Implications for Law, Technology, and the Future of Child Safety Online</t>
  </si>
  <si>
    <t xml:space="preserve">c561f99ac83fafb902c78ba3</t>
  </si>
  <si>
    <t xml:space="preserve">DOJ, DEA Reach $50 Million Opioid Settlement with Walmart</t>
  </si>
  <si>
    <r>
      <rPr>
        <sz val="10"/>
        <rFont val="Arial"/>
        <family val="0"/>
        <charset val="1"/>
      </rPr>
      <t xml:space="preserve">DOJ</t>
    </r>
    <r>
      <rPr>
        <sz val="10"/>
        <rFont val="Noto Sans CJK SC"/>
        <family val="2"/>
      </rPr>
      <t xml:space="preserve">、</t>
    </r>
    <r>
      <rPr>
        <sz val="10"/>
        <rFont val="Arial"/>
        <family val="0"/>
        <charset val="1"/>
      </rPr>
      <t xml:space="preserve">DEA </t>
    </r>
    <r>
      <rPr>
        <sz val="10"/>
        <rFont val="Noto Sans CJK SC"/>
        <family val="2"/>
      </rPr>
      <t xml:space="preserve">與沃爾瑪達成 </t>
    </r>
    <r>
      <rPr>
        <sz val="10"/>
        <rFont val="Arial"/>
        <family val="0"/>
        <charset val="1"/>
      </rPr>
      <t xml:space="preserve">5,000 </t>
    </r>
    <r>
      <rPr>
        <sz val="10"/>
        <rFont val="Noto Sans CJK SC"/>
        <family val="2"/>
      </rPr>
      <t xml:space="preserve">萬美元鴉片類藥物和解</t>
    </r>
  </si>
  <si>
    <t xml:space="preserve">FEDagent</t>
  </si>
  <si>
    <t xml:space="preserve">75a58fb2a1d2e7f121d1fb59</t>
  </si>
  <si>
    <t xml:space="preserve">September 2026 Class Action Settlements Involve Disney, Tesla and Equifax</t>
  </si>
  <si>
    <r>
      <rPr>
        <sz val="10"/>
        <rFont val="Noto Sans CJK SC"/>
        <family val="2"/>
      </rPr>
      <t xml:space="preserve">迪士尼、特斯拉和 </t>
    </r>
    <r>
      <rPr>
        <sz val="10"/>
        <rFont val="Arial"/>
        <family val="0"/>
        <charset val="1"/>
      </rPr>
      <t xml:space="preserve">Equifax </t>
    </r>
    <r>
      <rPr>
        <sz val="10"/>
        <rFont val="Noto Sans CJK SC"/>
        <family val="2"/>
      </rPr>
      <t xml:space="preserve">參與 </t>
    </r>
    <r>
      <rPr>
        <sz val="10"/>
        <rFont val="Arial"/>
        <family val="0"/>
        <charset val="1"/>
      </rPr>
      <t xml:space="preserve">2026 </t>
    </r>
    <r>
      <rPr>
        <sz val="10"/>
        <rFont val="Noto Sans CJK SC"/>
        <family val="2"/>
      </rPr>
      <t xml:space="preserve">年 </t>
    </r>
    <r>
      <rPr>
        <sz val="10"/>
        <rFont val="Arial"/>
        <family val="0"/>
        <charset val="1"/>
      </rPr>
      <t xml:space="preserve">9 </t>
    </r>
    <r>
      <rPr>
        <sz val="10"/>
        <rFont val="Noto Sans CJK SC"/>
        <family val="2"/>
      </rPr>
      <t xml:space="preserve">月集體訴訟和解</t>
    </r>
  </si>
  <si>
    <t xml:space="preserve">0576ae380c58ac92e5bd8cd8</t>
  </si>
  <si>
    <t xml:space="preserve">Boeing pays $3.1M FAA penalty for “hundreds” of safety violations</t>
  </si>
  <si>
    <r>
      <rPr>
        <sz val="10"/>
        <rFont val="Noto Sans CJK SC"/>
        <family val="2"/>
      </rPr>
      <t xml:space="preserve">波音因「數百起」安全違規行為向美國聯邦航空局支付 </t>
    </r>
    <r>
      <rPr>
        <sz val="10"/>
        <rFont val="Arial"/>
        <family val="0"/>
        <charset val="1"/>
      </rPr>
      <t xml:space="preserve">310 </t>
    </r>
    <r>
      <rPr>
        <sz val="10"/>
        <rFont val="Noto Sans CJK SC"/>
        <family val="2"/>
      </rPr>
      <t xml:space="preserve">萬美元罰款</t>
    </r>
  </si>
  <si>
    <t xml:space="preserve">Aerospace Global News</t>
  </si>
  <si>
    <r>
      <rPr>
        <sz val="10"/>
        <rFont val="Noto Sans CJK SC"/>
        <family val="2"/>
      </rPr>
      <t xml:space="preserve">波音因數百起安全違規向 </t>
    </r>
    <r>
      <rPr>
        <sz val="10"/>
        <rFont val="Arial"/>
        <family val="0"/>
        <charset val="1"/>
      </rPr>
      <t xml:space="preserve">FAA </t>
    </r>
    <r>
      <rPr>
        <sz val="10"/>
        <rFont val="Noto Sans CJK SC"/>
        <family val="2"/>
      </rPr>
      <t xml:space="preserve">支付 </t>
    </r>
    <r>
      <rPr>
        <sz val="10"/>
        <rFont val="Arial"/>
        <family val="0"/>
        <charset val="1"/>
      </rPr>
      <t xml:space="preserve">310 </t>
    </r>
    <r>
      <rPr>
        <sz val="10"/>
        <rFont val="Noto Sans CJK SC"/>
        <family val="2"/>
      </rPr>
      <t xml:space="preserve">萬美元罰款。</t>
    </r>
  </si>
  <si>
    <t xml:space="preserve">eb30f7c5e43a7d6d078746c0</t>
  </si>
  <si>
    <t xml:space="preserve">Were You Overcharged? How to Claim Your Share of the Kroger Pharmacy Settlement</t>
  </si>
  <si>
    <t xml:space="preserve">Health Usnews</t>
  </si>
  <si>
    <t xml:space="preserve">40c8b0edc7069f342ab8b5ec</t>
  </si>
  <si>
    <t xml:space="preserve">IVZ</t>
  </si>
  <si>
    <t xml:space="preserve">Invesco Ltd Common Stock</t>
  </si>
  <si>
    <t xml:space="preserve">Invesco Funds Reach Settlement in Serta Simmons Lender Appeal</t>
  </si>
  <si>
    <r>
      <rPr>
        <sz val="10"/>
        <rFont val="Arial"/>
        <family val="0"/>
        <charset val="1"/>
      </rPr>
      <t xml:space="preserve">Invesco </t>
    </r>
    <r>
      <rPr>
        <sz val="10"/>
        <rFont val="Noto Sans CJK SC"/>
        <family val="2"/>
      </rPr>
      <t xml:space="preserve">基金是 </t>
    </r>
    <r>
      <rPr>
        <sz val="10"/>
        <rFont val="Arial"/>
        <family val="0"/>
        <charset val="1"/>
      </rPr>
      <t xml:space="preserve">Serta </t>
    </r>
    <r>
      <rPr>
        <sz val="10"/>
        <rFont val="Noto Sans CJK SC"/>
        <family val="2"/>
      </rPr>
      <t xml:space="preserve">債務重整的貸款人，並非被罰款或被訴一方。</t>
    </r>
  </si>
  <si>
    <t xml:space="preserve">72bcae05f8133f931d18ecbb</t>
  </si>
  <si>
    <t xml:space="preserve">Here's why Jim Cramer is putting Costco stock in the penalty box</t>
  </si>
  <si>
    <r>
      <rPr>
        <sz val="10"/>
        <rFont val="Noto Sans CJK SC"/>
        <family val="2"/>
      </rPr>
      <t xml:space="preserve">這就是為什麼 </t>
    </r>
    <r>
      <rPr>
        <sz val="10"/>
        <rFont val="Arial"/>
        <family val="0"/>
        <charset val="1"/>
      </rPr>
      <t xml:space="preserve">Jim Cramer </t>
    </r>
    <r>
      <rPr>
        <sz val="10"/>
        <rFont val="Noto Sans CJK SC"/>
        <family val="2"/>
      </rPr>
      <t xml:space="preserve">將 </t>
    </r>
    <r>
      <rPr>
        <sz val="10"/>
        <rFont val="Arial"/>
        <family val="0"/>
        <charset val="1"/>
      </rPr>
      <t xml:space="preserve">Costco </t>
    </r>
    <r>
      <rPr>
        <sz val="10"/>
        <rFont val="Noto Sans CJK SC"/>
        <family val="2"/>
      </rPr>
      <t xml:space="preserve">股票列入處罰名單的原因</t>
    </r>
  </si>
  <si>
    <r>
      <rPr>
        <sz val="10"/>
        <rFont val="Arial"/>
        <family val="0"/>
        <charset val="1"/>
      </rPr>
      <t xml:space="preserve">Cramer </t>
    </r>
    <r>
      <rPr>
        <sz val="10"/>
        <rFont val="Noto Sans CJK SC"/>
        <family val="2"/>
      </rPr>
      <t xml:space="preserve">股市評論（</t>
    </r>
    <r>
      <rPr>
        <sz val="10"/>
        <rFont val="Arial"/>
        <family val="0"/>
        <charset val="1"/>
      </rPr>
      <t xml:space="preserve">penalty box</t>
    </r>
    <r>
      <rPr>
        <sz val="10"/>
        <rFont val="Noto Sans CJK SC"/>
        <family val="2"/>
      </rPr>
      <t xml:space="preserve">），與裁罰無關。</t>
    </r>
  </si>
  <si>
    <t xml:space="preserve">ee1586eba7265b0c64685c45</t>
  </si>
  <si>
    <t xml:space="preserve">AIG Succeeds in Appeal of Oil, Gas Well Fire Settlement Costs</t>
  </si>
  <si>
    <r>
      <rPr>
        <sz val="10"/>
        <rFont val="Arial"/>
        <family val="0"/>
        <charset val="1"/>
      </rPr>
      <t xml:space="preserve">AIG </t>
    </r>
    <r>
      <rPr>
        <sz val="10"/>
        <rFont val="Noto Sans CJK SC"/>
        <family val="2"/>
      </rPr>
      <t xml:space="preserve">成功上訴石油、天然氣井火災賠償費用</t>
    </r>
  </si>
  <si>
    <r>
      <rPr>
        <sz val="10"/>
        <rFont val="Arial"/>
        <family val="0"/>
        <charset val="1"/>
      </rPr>
      <t xml:space="preserve">AIG </t>
    </r>
    <r>
      <rPr>
        <sz val="10"/>
        <rFont val="Noto Sans CJK SC"/>
        <family val="2"/>
      </rPr>
      <t xml:space="preserve">對油氣井火災賠付成本的上訴，屬保險理賠案。</t>
    </r>
  </si>
  <si>
    <t xml:space="preserve">888a11af3619ca9e7e0eccdd</t>
  </si>
  <si>
    <t xml:space="preserve">ETR</t>
  </si>
  <si>
    <t xml:space="preserve">Entergy Corporation Common Stock</t>
  </si>
  <si>
    <t xml:space="preserve">Entergy Corp stock gains fresh capital as forward sale settlement completes</t>
  </si>
  <si>
    <r>
      <rPr>
        <sz val="10"/>
        <rFont val="Noto Sans CJK SC"/>
        <family val="2"/>
      </rPr>
      <t xml:space="preserve">隨著遠期銷售結算完成，</t>
    </r>
    <r>
      <rPr>
        <sz val="10"/>
        <rFont val="Arial"/>
        <family val="0"/>
        <charset val="1"/>
      </rPr>
      <t xml:space="preserve">Entergy Corp </t>
    </r>
    <r>
      <rPr>
        <sz val="10"/>
        <rFont val="Noto Sans CJK SC"/>
        <family val="2"/>
      </rPr>
      <t xml:space="preserve">股票獲得新資本</t>
    </r>
  </si>
  <si>
    <t xml:space="preserve">AD HOC NEWS</t>
  </si>
  <si>
    <r>
      <rPr>
        <sz val="10"/>
        <rFont val="Arial"/>
        <family val="0"/>
        <charset val="1"/>
      </rPr>
      <t xml:space="preserve">Entergy </t>
    </r>
    <r>
      <rPr>
        <sz val="10"/>
        <rFont val="Noto Sans CJK SC"/>
        <family val="2"/>
      </rPr>
      <t xml:space="preserve">遠期股權出售交割（</t>
    </r>
    <r>
      <rPr>
        <sz val="10"/>
        <rFont val="Arial"/>
        <family val="0"/>
        <charset val="1"/>
      </rPr>
      <t xml:space="preserve">settlement </t>
    </r>
    <r>
      <rPr>
        <sz val="10"/>
        <rFont val="Noto Sans CJK SC"/>
        <family val="2"/>
      </rPr>
      <t xml:space="preserve">指交割），不是和解。</t>
    </r>
  </si>
  <si>
    <t xml:space="preserve">50ac5102cc5df2feaff159b2</t>
  </si>
  <si>
    <t xml:space="preserve">Walmart settlement returns nearly $120,000 to app-based Seattle workers</t>
  </si>
  <si>
    <t xml:space="preserve">a3022a4206556729a2b4fed0</t>
  </si>
  <si>
    <t xml:space="preserve">GL</t>
  </si>
  <si>
    <t xml:space="preserve">Globe Life Inc. Common Stock</t>
  </si>
  <si>
    <t xml:space="preserve">$3.4M Globe Life data breach class action settlement</t>
  </si>
  <si>
    <r>
      <rPr>
        <sz val="10"/>
        <rFont val="Arial"/>
        <family val="0"/>
        <charset val="1"/>
      </rPr>
      <t xml:space="preserve">Globe Life </t>
    </r>
    <r>
      <rPr>
        <sz val="10"/>
        <rFont val="Noto Sans CJK SC"/>
        <family val="2"/>
      </rPr>
      <t xml:space="preserve">資料外洩集體訴訟和解（</t>
    </r>
    <r>
      <rPr>
        <sz val="10"/>
        <rFont val="Arial"/>
        <family val="0"/>
        <charset val="1"/>
      </rPr>
      <t xml:space="preserve">340 </t>
    </r>
    <r>
      <rPr>
        <sz val="10"/>
        <rFont val="Noto Sans CJK SC"/>
        <family val="2"/>
      </rPr>
      <t xml:space="preserve">萬美元）的領款通知，金額小。</t>
    </r>
  </si>
  <si>
    <t xml:space="preserve">87c020341101a6233c1772cb</t>
  </si>
  <si>
    <t xml:space="preserve">Chemours, DuPont and Corteva to Pay $455 Million in North Carolina PFAS Settlement</t>
  </si>
  <si>
    <r>
      <rPr>
        <sz val="10"/>
        <rFont val="Noto Sans CJK SC"/>
        <family val="2"/>
      </rPr>
      <t xml:space="preserve">北卡州與 </t>
    </r>
    <r>
      <rPr>
        <sz val="10"/>
        <rFont val="Arial"/>
        <family val="0"/>
        <charset val="1"/>
      </rPr>
      <t xml:space="preserve">Chemours</t>
    </r>
    <r>
      <rPr>
        <sz val="10"/>
        <rFont val="Noto Sans CJK SC"/>
        <family val="2"/>
      </rPr>
      <t xml:space="preserve">、杜邦、科迪華就 </t>
    </r>
    <r>
      <rPr>
        <sz val="10"/>
        <rFont val="Arial"/>
        <family val="0"/>
        <charset val="1"/>
      </rPr>
      <t xml:space="preserve">PFAS </t>
    </r>
    <r>
      <rPr>
        <sz val="10"/>
        <rFont val="Noto Sans CJK SC"/>
        <family val="2"/>
      </rPr>
      <t xml:space="preserve">訴訟達成約 </t>
    </r>
    <r>
      <rPr>
        <sz val="10"/>
        <rFont val="Arial"/>
        <family val="0"/>
        <charset val="1"/>
      </rPr>
      <t xml:space="preserve">4.55</t>
    </r>
    <r>
      <rPr>
        <sz val="10"/>
        <rFont val="Noto Sans CJK SC"/>
        <family val="2"/>
      </rPr>
      <t xml:space="preserve">～</t>
    </r>
    <r>
      <rPr>
        <sz val="10"/>
        <rFont val="Arial"/>
        <family val="0"/>
        <charset val="1"/>
      </rPr>
      <t xml:space="preserve">5.9 </t>
    </r>
    <r>
      <rPr>
        <sz val="10"/>
        <rFont val="Noto Sans CJK SC"/>
        <family val="2"/>
      </rPr>
      <t xml:space="preserve">億美元和解。</t>
    </r>
  </si>
  <si>
    <t xml:space="preserve">2c7599432e793ffe44e30700</t>
  </si>
  <si>
    <t xml:space="preserve">North Carolina reaches $590 million PFAS settlement with Chemours, DuPont</t>
  </si>
  <si>
    <t xml:space="preserve">WWAYTV3</t>
  </si>
  <si>
    <t xml:space="preserve">350699d0dfa24077af10aa82</t>
  </si>
  <si>
    <t xml:space="preserve">Verizon comes out on top in Chilmark settlement</t>
  </si>
  <si>
    <t xml:space="preserve">MV Times</t>
  </si>
  <si>
    <r>
      <rPr>
        <sz val="10"/>
        <rFont val="Arial"/>
        <family val="0"/>
        <charset val="1"/>
      </rPr>
      <t xml:space="preserve">Verizon </t>
    </r>
    <r>
      <rPr>
        <sz val="10"/>
        <rFont val="Noto Sans CJK SC"/>
        <family val="2"/>
      </rPr>
      <t xml:space="preserve">與 </t>
    </r>
    <r>
      <rPr>
        <sz val="10"/>
        <rFont val="Arial"/>
        <family val="0"/>
        <charset val="1"/>
      </rPr>
      <t xml:space="preserve">Chilmark </t>
    </r>
    <r>
      <rPr>
        <sz val="10"/>
        <rFont val="Noto Sans CJK SC"/>
        <family val="2"/>
      </rPr>
      <t xml:space="preserve">市的和解中取得有利結果，不是裁罰。</t>
    </r>
  </si>
  <si>
    <t xml:space="preserve">a731b999b1cf40c621fbc64e</t>
  </si>
  <si>
    <t xml:space="preserve">568d25858c05f4cef58727d6</t>
  </si>
  <si>
    <t xml:space="preserve">$600M state settlement won’t stop CFPUA lawsuit against Chemours, DuPont</t>
  </si>
  <si>
    <t xml:space="preserve">WECT | TV6</t>
  </si>
  <si>
    <r>
      <rPr>
        <sz val="10"/>
        <rFont val="Noto Sans CJK SC"/>
        <family val="2"/>
      </rPr>
      <t xml:space="preserve">州政府和解後，</t>
    </r>
    <r>
      <rPr>
        <sz val="10"/>
        <rFont val="Arial"/>
        <family val="0"/>
        <charset val="1"/>
      </rPr>
      <t xml:space="preserve">Cape Fear </t>
    </r>
    <r>
      <rPr>
        <sz val="10"/>
        <rFont val="Noto Sans CJK SC"/>
        <family val="2"/>
      </rPr>
      <t xml:space="preserve">水務局對 </t>
    </r>
    <r>
      <rPr>
        <sz val="10"/>
        <rFont val="Arial"/>
        <family val="0"/>
        <charset val="1"/>
      </rPr>
      <t xml:space="preserve">Chemours</t>
    </r>
    <r>
      <rPr>
        <sz val="10"/>
        <rFont val="Noto Sans CJK SC"/>
        <family val="2"/>
      </rPr>
      <t xml:space="preserve">、杜邦的訴訟仍繼續。</t>
    </r>
  </si>
  <si>
    <t xml:space="preserve">a99e6d15a9cf868557da5341</t>
  </si>
  <si>
    <t xml:space="preserve">Chemours, DuPont, Corteva reach $590M settlement with NC over PFAS lawsuits</t>
  </si>
  <si>
    <t xml:space="preserve">Raleigh News &amp; Observer</t>
  </si>
  <si>
    <t xml:space="preserve">51b0d27ee24a18270a183982</t>
  </si>
  <si>
    <t xml:space="preserve">NC Attorney General announces nearly $600-million settlement with DuPont and Chemours</t>
  </si>
  <si>
    <t xml:space="preserve">WHQR</t>
  </si>
  <si>
    <t xml:space="preserve">a80c46de2cda011d980ec379</t>
  </si>
  <si>
    <t xml:space="preserve">NC reaches $590M settlement with Chemours, DuPont, Corteva over PFAS lawsuits (Video)</t>
  </si>
  <si>
    <t xml:space="preserve">672d4fae90575df5d2bf229b</t>
  </si>
  <si>
    <t xml:space="preserve">2d2519e7e6008d1128315b46</t>
  </si>
  <si>
    <t xml:space="preserve">JPMorgan and Capital One Reject Settlements in Trump Debanking Lawsuits</t>
  </si>
  <si>
    <t xml:space="preserve">Межа. Новини України.</t>
  </si>
  <si>
    <r>
      <rPr>
        <sz val="10"/>
        <rFont val="Noto Sans CJK SC"/>
        <family val="2"/>
      </rPr>
      <t xml:space="preserve">摩根大通與 </t>
    </r>
    <r>
      <rPr>
        <sz val="10"/>
        <rFont val="Arial"/>
        <family val="0"/>
        <charset val="1"/>
      </rPr>
      <t xml:space="preserve">Capital One </t>
    </r>
    <r>
      <rPr>
        <sz val="10"/>
        <rFont val="Noto Sans CJK SC"/>
        <family val="2"/>
      </rPr>
      <t xml:space="preserve">拒絕和解川普 </t>
    </r>
    <r>
      <rPr>
        <sz val="10"/>
        <rFont val="Arial"/>
        <family val="0"/>
        <charset val="1"/>
      </rPr>
      <t xml:space="preserve">debanking </t>
    </r>
    <r>
      <rPr>
        <sz val="10"/>
        <rFont val="Noto Sans CJK SC"/>
        <family val="2"/>
      </rPr>
      <t xml:space="preserve">訴訟，屬訴訟事件，非裁罰。</t>
    </r>
  </si>
  <si>
    <t xml:space="preserve">9345a2c498d207ebebc2fefe</t>
  </si>
  <si>
    <t xml:space="preserve">Chemours, DuPont, Corteva reach $455 PFAS settlement with North Carolina</t>
  </si>
  <si>
    <t xml:space="preserve">Manufacturing Dive</t>
  </si>
  <si>
    <t xml:space="preserve">eb58dfa4e30fafe46d5cc35a</t>
  </si>
  <si>
    <t xml:space="preserve">b1a14b25a944463abcce82cf</t>
  </si>
  <si>
    <t xml:space="preserve">2026-09-12</t>
  </si>
  <si>
    <t xml:space="preserve">DP World Tour Pro Suffers Costly Penalty After Bizarre Ball-Movement at Irish Open</t>
  </si>
  <si>
    <r>
      <rPr>
        <sz val="10"/>
        <rFont val="Noto Sans CJK SC"/>
        <family val="2"/>
      </rPr>
      <t xml:space="preserve">與公司無關（高爾夫比賽罰桿／</t>
    </r>
    <r>
      <rPr>
        <sz val="10"/>
        <rFont val="Arial"/>
        <family val="0"/>
        <charset val="1"/>
      </rPr>
      <t xml:space="preserve">DGX </t>
    </r>
    <r>
      <rPr>
        <sz val="10"/>
        <rFont val="Noto Sans CJK SC"/>
        <family val="2"/>
      </rPr>
      <t xml:space="preserve">運算平台／支付網路制裁研究）。</t>
    </r>
  </si>
  <si>
    <t xml:space="preserve">8fefe520ce5db749bfe35b8e</t>
  </si>
  <si>
    <t xml:space="preserve">2026-09-15</t>
  </si>
  <si>
    <t xml:space="preserve">DuPont, Chemours, Corteva ink $590M PFAS settlement with North Carolina</t>
  </si>
  <si>
    <t xml:space="preserve">02394976fa990932ce936314</t>
  </si>
  <si>
    <t xml:space="preserve">Connecticut Medicaid program to receive $936K from Abbott Laboratories settlement</t>
  </si>
  <si>
    <t xml:space="preserve">fox61.com</t>
  </si>
  <si>
    <r>
      <rPr>
        <sz val="10"/>
        <rFont val="Noto Sans CJK SC"/>
        <family val="2"/>
      </rPr>
      <t xml:space="preserve">康乃狄克州 </t>
    </r>
    <r>
      <rPr>
        <sz val="10"/>
        <rFont val="Arial"/>
        <family val="0"/>
        <charset val="1"/>
      </rPr>
      <t xml:space="preserve">Medicaid </t>
    </r>
    <r>
      <rPr>
        <sz val="10"/>
        <rFont val="Noto Sans CJK SC"/>
        <family val="2"/>
      </rPr>
      <t xml:space="preserve">獲得雅培 </t>
    </r>
    <r>
      <rPr>
        <sz val="10"/>
        <rFont val="Arial"/>
        <family val="0"/>
        <charset val="1"/>
      </rPr>
      <t xml:space="preserve">93.6 </t>
    </r>
    <r>
      <rPr>
        <sz val="10"/>
        <rFont val="Noto Sans CJK SC"/>
        <family val="2"/>
      </rPr>
      <t xml:space="preserve">萬美元和解款，金額很小。</t>
    </r>
  </si>
  <si>
    <t xml:space="preserve">ec21bbb73be47802577ac901</t>
  </si>
  <si>
    <t xml:space="preserve">Abbott Laboratories (ABT) Agrees To $385 Million Infant Formula Recall Settlement</t>
  </si>
  <si>
    <r>
      <rPr>
        <sz val="10"/>
        <rFont val="Noto Sans CJK SC"/>
        <family val="2"/>
      </rPr>
      <t xml:space="preserve">雅培 </t>
    </r>
    <r>
      <rPr>
        <sz val="10"/>
        <rFont val="Arial"/>
        <family val="0"/>
        <charset val="1"/>
      </rPr>
      <t xml:space="preserve">3.85 </t>
    </r>
    <r>
      <rPr>
        <sz val="10"/>
        <rFont val="Noto Sans CJK SC"/>
        <family val="2"/>
      </rPr>
      <t xml:space="preserve">億美元嬰兒配方奶粉召回和解，屬私人訴訟和解。</t>
    </r>
  </si>
  <si>
    <t xml:space="preserve">fccbde31663f926dc0ddc4af</t>
  </si>
  <si>
    <t xml:space="preserve">ACN</t>
  </si>
  <si>
    <t xml:space="preserve">Accenture plc Class A Ordinary Shares (I</t>
  </si>
  <si>
    <t xml:space="preserve">Accenture (ACN) Agrees To $25 Million DOJ Discrimination Settlement</t>
  </si>
  <si>
    <r>
      <rPr>
        <sz val="10"/>
        <rFont val="Arial"/>
        <family val="0"/>
        <charset val="1"/>
      </rPr>
      <t xml:space="preserve">Accenture Federal </t>
    </r>
    <r>
      <rPr>
        <sz val="10"/>
        <rFont val="Noto Sans CJK SC"/>
        <family val="2"/>
      </rPr>
      <t xml:space="preserve">支付 </t>
    </r>
    <r>
      <rPr>
        <sz val="10"/>
        <rFont val="Arial"/>
        <family val="0"/>
        <charset val="1"/>
      </rPr>
      <t xml:space="preserve">2,500 </t>
    </r>
    <r>
      <rPr>
        <sz val="10"/>
        <rFont val="Noto Sans CJK SC"/>
        <family val="2"/>
      </rPr>
      <t xml:space="preserve">萬美元與司法部和解（多元化目標涉歧視）。</t>
    </r>
  </si>
  <si>
    <t xml:space="preserve">a190b9ecbdbb850881d2bb0a</t>
  </si>
  <si>
    <t xml:space="preserve">Justice extracts $25M settlement from Accenture Federal over diversity goals</t>
  </si>
  <si>
    <t xml:space="preserve">Washington Technology</t>
  </si>
  <si>
    <t xml:space="preserve">3f8e678737ec3625d5fea794</t>
  </si>
  <si>
    <t xml:space="preserve">Judge Sets Date For Settlement Talks In Paramount-WBD Antitrust Case</t>
  </si>
  <si>
    <r>
      <rPr>
        <sz val="10"/>
        <rFont val="Noto Sans CJK SC"/>
        <family val="2"/>
      </rPr>
      <t xml:space="preserve">派拉蒙與州檢察長就併購 </t>
    </r>
    <r>
      <rPr>
        <sz val="10"/>
        <rFont val="Arial"/>
        <family val="0"/>
        <charset val="1"/>
      </rPr>
      <t xml:space="preserve">WBD </t>
    </r>
    <r>
      <rPr>
        <sz val="10"/>
        <rFont val="Noto Sans CJK SC"/>
        <family val="2"/>
      </rPr>
      <t xml:space="preserve">的反壟斷訴訟達成和解（或相關後續進度），屬反壟斷審查結果。</t>
    </r>
  </si>
  <si>
    <t xml:space="preserve">a138928f5f0609c6962c6200</t>
  </si>
  <si>
    <t xml:space="preserve">MA</t>
  </si>
  <si>
    <t xml:space="preserve">Mastercard Incorporated Common Stock</t>
  </si>
  <si>
    <t xml:space="preserve">$167.5M Visa, Mastercard non-bank ATM class action settlement</t>
  </si>
  <si>
    <r>
      <rPr>
        <sz val="10"/>
        <rFont val="Arial"/>
        <family val="0"/>
        <charset val="1"/>
      </rPr>
      <t xml:space="preserve">Visa</t>
    </r>
    <r>
      <rPr>
        <sz val="10"/>
        <rFont val="Noto Sans CJK SC"/>
        <family val="2"/>
      </rPr>
      <t xml:space="preserve">、</t>
    </r>
    <r>
      <rPr>
        <sz val="10"/>
        <rFont val="Arial"/>
        <family val="0"/>
        <charset val="1"/>
      </rPr>
      <t xml:space="preserve">Mastercard </t>
    </r>
    <r>
      <rPr>
        <sz val="10"/>
        <rFont val="Noto Sans CJK SC"/>
        <family val="2"/>
      </rPr>
      <t xml:space="preserve">以 </t>
    </r>
    <r>
      <rPr>
        <sz val="10"/>
        <rFont val="Arial"/>
        <family val="0"/>
        <charset val="1"/>
      </rPr>
      <t xml:space="preserve">1.675 </t>
    </r>
    <r>
      <rPr>
        <sz val="10"/>
        <rFont val="Noto Sans CJK SC"/>
        <family val="2"/>
      </rPr>
      <t xml:space="preserve">億美元和解 </t>
    </r>
    <r>
      <rPr>
        <sz val="10"/>
        <rFont val="Arial"/>
        <family val="0"/>
        <charset val="1"/>
      </rPr>
      <t xml:space="preserve">ATM </t>
    </r>
    <r>
      <rPr>
        <sz val="10"/>
        <rFont val="Noto Sans CJK SC"/>
        <family val="2"/>
      </rPr>
      <t xml:space="preserve">費用集體訴訟，屬私人訴訟和解。</t>
    </r>
  </si>
  <si>
    <t xml:space="preserve">8d7765995791c337aad27f12</t>
  </si>
  <si>
    <t xml:space="preserve">GEV</t>
  </si>
  <si>
    <t xml:space="preserve">GE Vernova Inc. Common Stock</t>
  </si>
  <si>
    <t xml:space="preserve">Vineyard Wind, GE Vernova reach settlement over contract</t>
  </si>
  <si>
    <t xml:space="preserve">The New Bedford Light</t>
  </si>
  <si>
    <r>
      <rPr>
        <sz val="10"/>
        <rFont val="Arial"/>
        <family val="0"/>
        <charset val="1"/>
      </rPr>
      <t xml:space="preserve">Vineyard Wind </t>
    </r>
    <r>
      <rPr>
        <sz val="10"/>
        <rFont val="Noto Sans CJK SC"/>
        <family val="2"/>
      </rPr>
      <t xml:space="preserve">與 </t>
    </r>
    <r>
      <rPr>
        <sz val="10"/>
        <rFont val="Arial"/>
        <family val="0"/>
        <charset val="1"/>
      </rPr>
      <t xml:space="preserve">GE Vernova </t>
    </r>
    <r>
      <rPr>
        <sz val="10"/>
        <rFont val="Noto Sans CJK SC"/>
        <family val="2"/>
      </rPr>
      <t xml:space="preserve">的合約和解，屬商業糾紛。</t>
    </r>
  </si>
  <si>
    <t xml:space="preserve">ab21cc52063d58c171325721</t>
  </si>
  <si>
    <t xml:space="preserve">FTC Announces Additional Payments to Consumers Stemming from FTC’s Amazon Prime Settlement</t>
  </si>
  <si>
    <r>
      <rPr>
        <sz val="10"/>
        <rFont val="Arial"/>
        <family val="0"/>
        <charset val="1"/>
      </rPr>
      <t xml:space="preserve">Amazon Prime 25 </t>
    </r>
    <r>
      <rPr>
        <sz val="10"/>
        <rFont val="Noto Sans CJK SC"/>
        <family val="2"/>
      </rPr>
      <t xml:space="preserve">億美元 </t>
    </r>
    <r>
      <rPr>
        <sz val="10"/>
        <rFont val="Arial"/>
        <family val="0"/>
        <charset val="1"/>
      </rPr>
      <t xml:space="preserve">FTC </t>
    </r>
    <r>
      <rPr>
        <sz val="10"/>
        <rFont val="Noto Sans CJK SC"/>
        <family val="2"/>
      </rPr>
      <t xml:space="preserve">和解的賠付執行進度，屬舊案後續。</t>
    </r>
  </si>
  <si>
    <t xml:space="preserve">8e2485072318981c3f4f6e86</t>
  </si>
  <si>
    <t xml:space="preserve">Visa and Mastercard paying out $167M in class action settlement — see if you qualify</t>
  </si>
  <si>
    <t xml:space="preserve">New York Post</t>
  </si>
  <si>
    <r>
      <rPr>
        <sz val="10"/>
        <rFont val="Arial"/>
        <family val="0"/>
        <charset val="1"/>
      </rPr>
      <t xml:space="preserve">Visa</t>
    </r>
    <r>
      <rPr>
        <sz val="10"/>
        <rFont val="Noto Sans CJK SC"/>
        <family val="2"/>
      </rPr>
      <t xml:space="preserve">／</t>
    </r>
    <r>
      <rPr>
        <sz val="10"/>
        <rFont val="Arial"/>
        <family val="0"/>
        <charset val="1"/>
      </rPr>
      <t xml:space="preserve">Mastercard ATM </t>
    </r>
    <r>
      <rPr>
        <sz val="10"/>
        <rFont val="Noto Sans CJK SC"/>
        <family val="2"/>
      </rPr>
      <t xml:space="preserve">和解的領款說明，不是新事件。</t>
    </r>
  </si>
  <si>
    <t xml:space="preserve">353fa368cbdf3743f12f57d8</t>
  </si>
  <si>
    <t xml:space="preserve">Amazon Prime settlement expands: More consumers eligible for refunds up to $200</t>
  </si>
  <si>
    <t xml:space="preserve">News4JAX</t>
  </si>
  <si>
    <t xml:space="preserve">edd52ac9baec10ec5afba764</t>
  </si>
  <si>
    <t xml:space="preserve">Amazon FTC settlement update: More Prime members qualify and payout increased to $200</t>
  </si>
  <si>
    <t xml:space="preserve">NBC Connecticut</t>
  </si>
  <si>
    <t xml:space="preserve">e01a8a51d5d5baea7830f612</t>
  </si>
  <si>
    <t xml:space="preserve">Visa, Mastercard agree to $167.5M class action settlement: Are you eligible for a payout?</t>
  </si>
  <si>
    <t xml:space="preserve">KHOU</t>
  </si>
  <si>
    <t xml:space="preserve">997d0b69c48f9ad583f30076</t>
  </si>
  <si>
    <t xml:space="preserve">ELV</t>
  </si>
  <si>
    <t xml:space="preserve">Elevance Health, Inc. Common Stock</t>
  </si>
  <si>
    <t xml:space="preserve">Elevance Health sued again over out-of-network penalty</t>
  </si>
  <si>
    <t xml:space="preserve">Modern Healthcare</t>
  </si>
  <si>
    <r>
      <rPr>
        <sz val="10"/>
        <rFont val="Arial"/>
        <family val="0"/>
        <charset val="1"/>
      </rPr>
      <t xml:space="preserve">Elevance </t>
    </r>
    <r>
      <rPr>
        <sz val="10"/>
        <rFont val="Noto Sans CJK SC"/>
        <family val="2"/>
      </rPr>
      <t xml:space="preserve">被控網外給付問題的訴訟，屬一般訴訟。</t>
    </r>
  </si>
  <si>
    <t xml:space="preserve">6685c6a98dabcf0e53e4ec02</t>
  </si>
  <si>
    <t xml:space="preserve">Visa, Mastercard $167.5 million settlement could mean money for ATM users. Who qualifies.</t>
  </si>
  <si>
    <t xml:space="preserve">0bda3f4d7ae943fc690ebc6a</t>
  </si>
  <si>
    <t xml:space="preserve">Amazon Prime customers could receive up to $200 in refunds under expanded FTC settlement</t>
  </si>
  <si>
    <t xml:space="preserve">MyNorthwest.com</t>
  </si>
  <si>
    <t xml:space="preserve">95ebe81054411e953092304e</t>
  </si>
  <si>
    <t xml:space="preserve">Amazon Prime customers may be eligible to receive $200 as settlement grows</t>
  </si>
  <si>
    <t xml:space="preserve">Dallas News</t>
  </si>
  <si>
    <t xml:space="preserve">610a60c13836ba4e753cc26d</t>
  </si>
  <si>
    <t xml:space="preserve">Amazon $2.5 billion settlement expanded | How much you can get if you're eligible under revised order</t>
  </si>
  <si>
    <t xml:space="preserve">KCRA</t>
  </si>
  <si>
    <t xml:space="preserve">a15ea53dd887ca27b411aa11</t>
  </si>
  <si>
    <t xml:space="preserve">Abbott Laboratories Stock (ABT) Opinions on Infant Formula Settlement</t>
  </si>
  <si>
    <t xml:space="preserve">雅培股價評論，不是事件本身。</t>
  </si>
  <si>
    <t xml:space="preserve">80e019e60d7c1ec75cf31e1b</t>
  </si>
  <si>
    <t xml:space="preserve">Paramount reaches historic settlement with states, clearing way for WBD deal</t>
  </si>
  <si>
    <t xml:space="preserve">Axios</t>
  </si>
  <si>
    <t xml:space="preserve">041fc3ec1c69f315947bab8c</t>
  </si>
  <si>
    <t xml:space="preserve">Paramount-WBD Settlement Sets Up Editorial Independence Board For CNN And CBS News</t>
  </si>
  <si>
    <t xml:space="preserve">a0febc1feecd8d29bf52e4ab</t>
  </si>
  <si>
    <t xml:space="preserve">Read the memo that Paramount CEO David Ellison sent to staffers after 2 settlements cleared the way for his WBD deal</t>
  </si>
  <si>
    <t xml:space="preserve">Business Insider</t>
  </si>
  <si>
    <t xml:space="preserve">764c03ea3ab9d26a9c59a984</t>
  </si>
  <si>
    <t xml:space="preserve">David Ellison Reacts To Paramount-WBD Settlement With State AGs</t>
  </si>
  <si>
    <t xml:space="preserve">db17b926dd5c3b2eef2c21ed</t>
  </si>
  <si>
    <t xml:space="preserve">2026-09-22</t>
  </si>
  <si>
    <t xml:space="preserve">DASH</t>
  </si>
  <si>
    <t xml:space="preserve">DoorDash, Inc.</t>
  </si>
  <si>
    <t xml:space="preserve">NYC Mayor Mamdani reaches record DoorDash settlement for underpaid workers</t>
  </si>
  <si>
    <t xml:space="preserve">Al Jazeera</t>
  </si>
  <si>
    <r>
      <rPr>
        <sz val="10"/>
        <rFont val="Arial"/>
        <family val="0"/>
        <charset val="1"/>
      </rPr>
      <t xml:space="preserve">DoorDash </t>
    </r>
    <r>
      <rPr>
        <sz val="10"/>
        <rFont val="Noto Sans CJK SC"/>
        <family val="2"/>
      </rPr>
      <t xml:space="preserve">與紐約市以 </t>
    </r>
    <r>
      <rPr>
        <sz val="10"/>
        <rFont val="Arial"/>
        <family val="0"/>
        <charset val="1"/>
      </rPr>
      <t xml:space="preserve">1.315 </t>
    </r>
    <r>
      <rPr>
        <sz val="10"/>
        <rFont val="Noto Sans CJK SC"/>
        <family val="2"/>
      </rPr>
      <t xml:space="preserve">億美元和解外送員薪資案（市政府執法）。</t>
    </r>
  </si>
  <si>
    <t xml:space="preserve">401e1cc6f638d8d5292d8f4f</t>
  </si>
  <si>
    <t xml:space="preserve">264,000 DoorDash drivers are getting money in a massive $131.5 million settlement. Here’s what happened</t>
  </si>
  <si>
    <t xml:space="preserve">Fast Company</t>
  </si>
  <si>
    <t xml:space="preserve">359cb2ef8d9e53fd6bea742b</t>
  </si>
  <si>
    <t xml:space="preserve">Paramount Shares Tick Up After Settlement As Wall Street Remains Cautiously Optimistic About WBD Merger</t>
  </si>
  <si>
    <t xml:space="preserve">99e4ec3be3ff19a9de617695</t>
  </si>
  <si>
    <t xml:space="preserve">DoorDash reaches $131.5M settlement with New York City over delivery workers’ pay</t>
  </si>
  <si>
    <t xml:space="preserve">3bb0fc363ada1398d012ae4f</t>
  </si>
  <si>
    <t xml:space="preserve">DoorDash reaches $131.5M settlement with NYC over courier pay</t>
  </si>
  <si>
    <t xml:space="preserve">20e866e6ff1e8f2a0b75463b</t>
  </si>
  <si>
    <t xml:space="preserve">Paramount-WBD Hearing Date Set For Proposed AGs Settlement</t>
  </si>
  <si>
    <t xml:space="preserve">29a31dd209b460e19931d92b</t>
  </si>
  <si>
    <t xml:space="preserve">SoFi Becomes First National Bank to Go Live with Stablecoin Settlement across Mastercard’s Global Payments Network</t>
  </si>
  <si>
    <t xml:space="preserve">SoFi Investor Relations</t>
  </si>
  <si>
    <r>
      <rPr>
        <sz val="10"/>
        <rFont val="Arial"/>
        <family val="0"/>
        <charset val="1"/>
      </rPr>
      <t xml:space="preserve">Mastercard </t>
    </r>
    <r>
      <rPr>
        <sz val="10"/>
        <rFont val="Noto Sans CJK SC"/>
        <family val="2"/>
      </rPr>
      <t xml:space="preserve">穩定幣「結算」業務上線，</t>
    </r>
    <r>
      <rPr>
        <sz val="10"/>
        <rFont val="Arial"/>
        <family val="0"/>
        <charset val="1"/>
      </rPr>
      <t xml:space="preserve">settlement </t>
    </r>
    <r>
      <rPr>
        <sz val="10"/>
        <rFont val="Noto Sans CJK SC"/>
        <family val="2"/>
      </rPr>
      <t xml:space="preserve">指結算，不是和解。</t>
    </r>
  </si>
  <si>
    <t xml:space="preserve">5a26db207b76537c169ab2ca</t>
  </si>
  <si>
    <t xml:space="preserve">DoorDash Agrees to $131.5 Million Settlement for Shortchanging Workers</t>
  </si>
  <si>
    <t xml:space="preserve">e43fd33fff45d35320eff26a</t>
  </si>
  <si>
    <t xml:space="preserve">2026-09-24</t>
  </si>
  <si>
    <t xml:space="preserve">Online CVS Shoppers Might Be Able to Cash In on a $20.5 Million Settlement</t>
  </si>
  <si>
    <r>
      <rPr>
        <sz val="10"/>
        <rFont val="Arial"/>
        <family val="0"/>
        <charset val="1"/>
      </rPr>
      <t xml:space="preserve">CVS 2,050 </t>
    </r>
    <r>
      <rPr>
        <sz val="10"/>
        <rFont val="Noto Sans CJK SC"/>
        <family val="2"/>
      </rPr>
      <t xml:space="preserve">萬美元隱私集體訴訟和解的領款說明，金額小。</t>
    </r>
  </si>
  <si>
    <t xml:space="preserve">72fd07878238194fef2c0413</t>
  </si>
  <si>
    <t xml:space="preserve">Dealmakers React To Paramount-WBD Settlement: "Tech Has Won"</t>
  </si>
  <si>
    <t xml:space="preserve">00f2f27df0dc579c2931e474</t>
  </si>
  <si>
    <t xml:space="preserve">See if you qualify for the $167.5M Visa and Mastercard settlement and learn how to avoid out-of-network ATM fees</t>
  </si>
  <si>
    <t xml:space="preserve">6cb67048c51d63ef10a21be3</t>
  </si>
  <si>
    <t xml:space="preserve">EW</t>
  </si>
  <si>
    <t xml:space="preserve">Edwards Lifesciences Corporation Common </t>
  </si>
  <si>
    <t xml:space="preserve">Claim your share of the $39 million Edwards Lifesciences securities class action settlement</t>
  </si>
  <si>
    <r>
      <rPr>
        <sz val="10"/>
        <rFont val="Arial"/>
        <family val="0"/>
        <charset val="1"/>
      </rPr>
      <t xml:space="preserve">Edwards 3,900 </t>
    </r>
    <r>
      <rPr>
        <sz val="10"/>
        <rFont val="Noto Sans CJK SC"/>
        <family val="2"/>
      </rPr>
      <t xml:space="preserve">萬美元證券集體訴訟和解的領款說明。</t>
    </r>
  </si>
  <si>
    <t xml:space="preserve">e415adf53beeb212e1f2a904</t>
  </si>
  <si>
    <t xml:space="preserve">Mastercard Stock Holds Flat as $25 Billion Stablecoin Settlement Goes Live</t>
  </si>
  <si>
    <t xml:space="preserve">dc6c2a8526e8fde0de019f7a</t>
  </si>
  <si>
    <t xml:space="preserve">Apple (AAPL) Reaches $250 Million Siri Settlement Over Recent iPhone Claims</t>
  </si>
  <si>
    <r>
      <rPr>
        <sz val="10"/>
        <rFont val="Arial"/>
        <family val="0"/>
        <charset val="1"/>
      </rPr>
      <t xml:space="preserve">Apple </t>
    </r>
    <r>
      <rPr>
        <sz val="10"/>
        <rFont val="Noto Sans CJK SC"/>
        <family val="2"/>
      </rPr>
      <t xml:space="preserve">以 </t>
    </r>
    <r>
      <rPr>
        <sz val="10"/>
        <rFont val="Arial"/>
        <family val="0"/>
        <charset val="1"/>
      </rPr>
      <t xml:space="preserve">2.5 </t>
    </r>
    <r>
      <rPr>
        <sz val="10"/>
        <rFont val="Noto Sans CJK SC"/>
        <family val="2"/>
      </rPr>
      <t xml:space="preserve">億美元和解 </t>
    </r>
    <r>
      <rPr>
        <sz val="10"/>
        <rFont val="Arial"/>
        <family val="0"/>
        <charset val="1"/>
      </rPr>
      <t xml:space="preserve">Siri </t>
    </r>
    <r>
      <rPr>
        <sz val="10"/>
        <rFont val="Noto Sans CJK SC"/>
        <family val="2"/>
      </rPr>
      <t xml:space="preserve">相關消費者訴訟，屬訴訟和解。</t>
    </r>
  </si>
  <si>
    <t xml:space="preserve">cd6a897f55232c7d82807601</t>
  </si>
  <si>
    <t xml:space="preserve">Do you qualify for a payment from the $30 million Equifax class action settlement?</t>
  </si>
  <si>
    <r>
      <rPr>
        <sz val="10"/>
        <rFont val="Arial"/>
        <family val="0"/>
        <charset val="1"/>
      </rPr>
      <t xml:space="preserve">Equifax 3,000 </t>
    </r>
    <r>
      <rPr>
        <sz val="10"/>
        <rFont val="Noto Sans CJK SC"/>
        <family val="2"/>
      </rPr>
      <t xml:space="preserve">萬美元集體訴訟和解的領款說明，金額小。</t>
    </r>
  </si>
  <si>
    <t xml:space="preserve">b2c836d8fc10acc99e4b0b56</t>
  </si>
  <si>
    <t xml:space="preserve">Mastercard (MA) Rolls Out SoFiUSD Settlement, Is The 24% Undervalued View Still Compelling?</t>
  </si>
  <si>
    <t xml:space="preserve">ffcf01f6d64f93687045b49d</t>
  </si>
  <si>
    <t xml:space="preserve">2026-09-26</t>
  </si>
  <si>
    <t xml:space="preserve">$167 million settlement seeks to reimburse Visa and Mastercard customers for ATM fees</t>
  </si>
  <si>
    <t xml:space="preserve">ABC13 Houston</t>
  </si>
  <si>
    <t xml:space="preserve">72ee9e3ab64ddcb493bfaa64</t>
  </si>
  <si>
    <t xml:space="preserve">LH</t>
  </si>
  <si>
    <t xml:space="preserve">Labcorp</t>
  </si>
  <si>
    <t xml:space="preserve">451,558 Marylanders Impacted By Labcorp Data Breach; Company Reaches $2.3 Million Settlement</t>
  </si>
  <si>
    <t xml:space="preserve">The BayNet</t>
  </si>
  <si>
    <r>
      <rPr>
        <sz val="10"/>
        <rFont val="Arial"/>
        <family val="0"/>
        <charset val="1"/>
      </rPr>
      <t xml:space="preserve">Labcorp </t>
    </r>
    <r>
      <rPr>
        <sz val="10"/>
        <rFont val="Noto Sans CJK SC"/>
        <family val="2"/>
      </rPr>
      <t xml:space="preserve">資料外洩影響約 </t>
    </r>
    <r>
      <rPr>
        <sz val="10"/>
        <rFont val="Arial"/>
        <family val="0"/>
        <charset val="1"/>
      </rPr>
      <t xml:space="preserve">45 </t>
    </r>
    <r>
      <rPr>
        <sz val="10"/>
        <rFont val="Noto Sans CJK SC"/>
        <family val="2"/>
      </rPr>
      <t xml:space="preserve">萬名馬里蘭州民眾，並以 </t>
    </r>
    <r>
      <rPr>
        <sz val="10"/>
        <rFont val="Arial"/>
        <family val="0"/>
        <charset val="1"/>
      </rPr>
      <t xml:space="preserve">230 </t>
    </r>
    <r>
      <rPr>
        <sz val="10"/>
        <rFont val="Noto Sans CJK SC"/>
        <family val="2"/>
      </rPr>
      <t xml:space="preserve">萬美元和解；事件本質為資料外洩。</t>
    </r>
  </si>
  <si>
    <t xml:space="preserve">3b82433fbfa90604c532d1b6</t>
  </si>
  <si>
    <t xml:space="preserve">Corteva, Inari Reach Confidential Settlement in Seed-Patent Case</t>
  </si>
  <si>
    <r>
      <rPr>
        <sz val="10"/>
        <rFont val="Noto Sans CJK SC"/>
        <family val="2"/>
      </rPr>
      <t xml:space="preserve">科迪華與 </t>
    </r>
    <r>
      <rPr>
        <sz val="10"/>
        <rFont val="Arial"/>
        <family val="0"/>
        <charset val="1"/>
      </rPr>
      <t xml:space="preserve">Inari </t>
    </r>
    <r>
      <rPr>
        <sz val="10"/>
        <rFont val="Noto Sans CJK SC"/>
        <family val="2"/>
      </rPr>
      <t xml:space="preserve">的種子專利案機密和解，屬專利糾紛。</t>
    </r>
  </si>
  <si>
    <t xml:space="preserve">8adb12c7bfd7adb7910757fe</t>
  </si>
  <si>
    <t xml:space="preserve">FTC Settlement Limits Corteva Pesticide Loyalty Rebates</t>
  </si>
  <si>
    <t xml:space="preserve">The Scoop -</t>
  </si>
  <si>
    <r>
      <rPr>
        <sz val="10"/>
        <rFont val="Noto Sans CJK SC"/>
        <family val="2"/>
      </rPr>
      <t xml:space="preserve">科迪華與 </t>
    </r>
    <r>
      <rPr>
        <sz val="10"/>
        <rFont val="Arial"/>
        <family val="0"/>
        <charset val="1"/>
      </rPr>
      <t xml:space="preserve">FTC</t>
    </r>
    <r>
      <rPr>
        <sz val="10"/>
        <rFont val="Noto Sans CJK SC"/>
        <family val="2"/>
      </rPr>
      <t xml:space="preserve">、多州達成反壟斷和解，終止農藥忠誠回饋方案並支付 </t>
    </r>
    <r>
      <rPr>
        <sz val="10"/>
        <rFont val="Arial"/>
        <family val="0"/>
        <charset val="1"/>
      </rPr>
      <t xml:space="preserve">3,500 </t>
    </r>
    <r>
      <rPr>
        <sz val="10"/>
        <rFont val="Noto Sans CJK SC"/>
        <family val="2"/>
      </rPr>
      <t xml:space="preserve">萬美元。</t>
    </r>
  </si>
  <si>
    <t xml:space="preserve">2dd32bc16b9d7b34926af28d</t>
  </si>
  <si>
    <t xml:space="preserve">Corteva to End Pesticides Loyalty Program in Settlement With FTC</t>
  </si>
  <si>
    <t xml:space="preserve">96db35c9ac23729f442bd528</t>
  </si>
  <si>
    <t xml:space="preserve">Corteva reaches FTC antitrust settlement, agrees to $35M payment (CTVA:NYSE)</t>
  </si>
  <si>
    <t xml:space="preserve">add022a25ab732e3141ba5e8</t>
  </si>
  <si>
    <t xml:space="preserve">Paramount Woos Investors With Mega $44 Billion Debt Offer To Fund WBD Deal As Judge Weighs Settlement</t>
  </si>
  <si>
    <r>
      <rPr>
        <sz val="10"/>
        <rFont val="Noto Sans CJK SC"/>
        <family val="2"/>
      </rPr>
      <t xml:space="preserve">派拉蒙為併購籌資發行 </t>
    </r>
    <r>
      <rPr>
        <sz val="10"/>
        <rFont val="Arial"/>
        <family val="0"/>
        <charset val="1"/>
      </rPr>
      <t xml:space="preserve">440 </t>
    </r>
    <r>
      <rPr>
        <sz val="10"/>
        <rFont val="Noto Sans CJK SC"/>
        <family val="2"/>
      </rPr>
      <t xml:space="preserve">億美元債券，屬融資新聞，不是 </t>
    </r>
    <r>
      <rPr>
        <sz val="10"/>
        <rFont val="Arial"/>
        <family val="0"/>
        <charset val="1"/>
      </rPr>
      <t xml:space="preserve">WBD </t>
    </r>
    <r>
      <rPr>
        <sz val="10"/>
        <rFont val="Noto Sans CJK SC"/>
        <family val="2"/>
      </rPr>
      <t xml:space="preserve">的風險事件。</t>
    </r>
  </si>
  <si>
    <t xml:space="preserve">7e7c450d2aff2615a726b546</t>
  </si>
  <si>
    <t xml:space="preserve">States, FTC secure settlement in suit against Corteva pesticide loyalty programs</t>
  </si>
  <si>
    <t xml:space="preserve">Iowa Capital Dispatch</t>
  </si>
  <si>
    <t xml:space="preserve">ef1fdace1b4d4ef928a14b4d</t>
  </si>
  <si>
    <t xml:space="preserve">Corteva and Inari Reach Settlement Agreement</t>
  </si>
  <si>
    <t xml:space="preserve">018432c867f6de5ef5bd678e</t>
  </si>
  <si>
    <t xml:space="preserve">Used the CVS app? You may be owed part of $20.5M digital privacy settlement in NC</t>
  </si>
  <si>
    <t xml:space="preserve">Charlotte Observer</t>
  </si>
  <si>
    <t xml:space="preserve">37b4cfd575badb09af23c678</t>
  </si>
  <si>
    <t xml:space="preserve">CVS Settlement: How to File a Claim and Get $10</t>
  </si>
  <si>
    <t xml:space="preserve">AARP</t>
  </si>
  <si>
    <t xml:space="preserve">cd725062972ae3070819698b</t>
  </si>
  <si>
    <t xml:space="preserve">Here's how to file a claim for the $100 million Equifax credit reporting error class action settlement!</t>
  </si>
  <si>
    <r>
      <rPr>
        <sz val="10"/>
        <rFont val="Arial"/>
        <family val="0"/>
        <charset val="1"/>
      </rPr>
      <t xml:space="preserve">Equifax 1 </t>
    </r>
    <r>
      <rPr>
        <sz val="10"/>
        <rFont val="Noto Sans CJK SC"/>
        <family val="2"/>
      </rPr>
      <t xml:space="preserve">億美元和解的領款說明，不是新事件。</t>
    </r>
  </si>
  <si>
    <t xml:space="preserve">9d5cde790d8c8317ea215eac</t>
  </si>
  <si>
    <t xml:space="preserve">Iowa, other attorneys general, FTC, reach settlement with Corteva</t>
  </si>
  <si>
    <t xml:space="preserve">The Des Moines Register</t>
  </si>
  <si>
    <t xml:space="preserve">9f43694b4dd2bd44dcd6790d</t>
  </si>
  <si>
    <t xml:space="preserve">You could get a payment from Equifax's $100M settlement</t>
  </si>
  <si>
    <t xml:space="preserve">USA Today</t>
  </si>
  <si>
    <t xml:space="preserve">1cdffdc971753b247a8b729c</t>
  </si>
  <si>
    <t xml:space="preserve">$2.5 billion Amazon settlement: More payments being sent out, with another round possible</t>
  </si>
  <si>
    <t xml:space="preserve">The Hill</t>
  </si>
  <si>
    <t xml:space="preserve">f9ff2ff39de4628e589dff81</t>
  </si>
  <si>
    <t xml:space="preserve">2026-10-03</t>
  </si>
  <si>
    <t xml:space="preserve">$30M Equifax hard inquiry dispute class action settlement</t>
  </si>
  <si>
    <t xml:space="preserve">c413c35c703b0b64e23f077b</t>
  </si>
  <si>
    <t xml:space="preserve">Some Equifax customers could be owed money from a class action settlement. See if you're eligible for a payout</t>
  </si>
  <si>
    <t xml:space="preserve">WTHR</t>
  </si>
  <si>
    <t xml:space="preserve">3695499d0cbb5db2d2b019b2</t>
  </si>
  <si>
    <t xml:space="preserve">DGX</t>
  </si>
  <si>
    <t xml:space="preserve">Quest Diagnostics Incorporated Common St</t>
  </si>
  <si>
    <t xml:space="preserve">DGX Station GB300 Cluster: Two Towers, Two 400G DACs, and Frontier Models Without the Offload Penalty</t>
  </si>
  <si>
    <t xml:space="preserve">StorageReview.com</t>
  </si>
  <si>
    <t xml:space="preserve">a1d98328fad5f13bac00586d</t>
  </si>
  <si>
    <t xml:space="preserve">Equifax agrees to $100 million settlement over allegedly incorrect credit scores</t>
  </si>
  <si>
    <t xml:space="preserve">KSNB</t>
  </si>
  <si>
    <r>
      <rPr>
        <sz val="10"/>
        <rFont val="Arial"/>
        <family val="0"/>
        <charset val="1"/>
      </rPr>
      <t xml:space="preserve">Equifax </t>
    </r>
    <r>
      <rPr>
        <sz val="10"/>
        <rFont val="Noto Sans CJK SC"/>
        <family val="2"/>
      </rPr>
      <t xml:space="preserve">同意以 </t>
    </r>
    <r>
      <rPr>
        <sz val="10"/>
        <rFont val="Arial"/>
        <family val="0"/>
        <charset val="1"/>
      </rPr>
      <t xml:space="preserve">1 </t>
    </r>
    <r>
      <rPr>
        <sz val="10"/>
        <rFont val="Noto Sans CJK SC"/>
        <family val="2"/>
      </rPr>
      <t xml:space="preserve">億美元和解信用分數錯誤集體訴訟，屬私人訴訟和解。</t>
    </r>
  </si>
  <si>
    <t xml:space="preserve">4ac5f4402a7b5d305e818716</t>
  </si>
  <si>
    <t xml:space="preserve">Equifax agrees to proposed $100 million settlement over credit score errors</t>
  </si>
  <si>
    <t xml:space="preserve">ac8948fa6bad7dbb1290fea6</t>
  </si>
  <si>
    <t xml:space="preserve">Equifax agrees to $100mil settlement</t>
  </si>
  <si>
    <t xml:space="preserve">WFAA</t>
  </si>
  <si>
    <t xml:space="preserve">cd2d82799e42e8cce11c0c4c</t>
  </si>
  <si>
    <t xml:space="preserve">2026-10-07</t>
  </si>
  <si>
    <t xml:space="preserve">What to do if you qualify for the Equifax error settlement</t>
  </si>
  <si>
    <t xml:space="preserve">NewsNation</t>
  </si>
  <si>
    <t xml:space="preserve">a9532f6c9ffdf4af6bef1d1d</t>
  </si>
  <si>
    <t xml:space="preserve">Eligible for a payout? Some Equifax customers could get up to $280 in $100 million settlement</t>
  </si>
  <si>
    <t xml:space="preserve">Dakota News Now</t>
  </si>
  <si>
    <t xml:space="preserve">541ad40363f83dcc691173db</t>
  </si>
  <si>
    <t xml:space="preserve">T</t>
  </si>
  <si>
    <t xml:space="preserve">AT&amp;T Inc.</t>
  </si>
  <si>
    <t xml:space="preserve">Payments could come soon in $177M AT&amp;T settlement: How much will you receive?</t>
  </si>
  <si>
    <r>
      <rPr>
        <sz val="10"/>
        <rFont val="Arial"/>
        <family val="0"/>
        <charset val="1"/>
      </rPr>
      <t xml:space="preserve">AT&amp;T 1.77 </t>
    </r>
    <r>
      <rPr>
        <sz val="10"/>
        <rFont val="Noto Sans CJK SC"/>
        <family val="2"/>
      </rPr>
      <t xml:space="preserve">億美元和解款的發放說明，屬舊案賠付。</t>
    </r>
  </si>
  <si>
    <t xml:space="preserve">cd0647af0a2d18ec95909417</t>
  </si>
  <si>
    <t xml:space="preserve">Duke Energy Reaches Settlement Requiring Data Centers To Pay Upfront Grid Connection Costs In N.C.</t>
  </si>
  <si>
    <r>
      <rPr>
        <sz val="10"/>
        <rFont val="Arial"/>
        <family val="0"/>
        <charset val="1"/>
      </rPr>
      <t xml:space="preserve">Duke Energy </t>
    </r>
    <r>
      <rPr>
        <sz val="10"/>
        <rFont val="Noto Sans CJK SC"/>
        <family val="2"/>
      </rPr>
      <t xml:space="preserve">與州政府就資料中心接網費用達成協議，屬費率協議，不是裁罰。</t>
    </r>
  </si>
  <si>
    <t xml:space="preserve">055c89085873416a44a38958</t>
  </si>
  <si>
    <t xml:space="preserve">Nursing home takes fight over CMS penalty authority to Supreme Court</t>
  </si>
  <si>
    <t xml:space="preserve">McKnight's Long-Term Care News</t>
  </si>
  <si>
    <t xml:space="preserve">0a40d2da69a8540dbe451850</t>
  </si>
  <si>
    <t xml:space="preserve">Duke Energy, NC Public Staff Reach Settlement on Data Center Costs</t>
  </si>
  <si>
    <t xml:space="preserve">Unite.AI</t>
  </si>
  <si>
    <t xml:space="preserve">9b059848cb04eeb5f0c3f583</t>
  </si>
  <si>
    <t xml:space="preserve">Duke Energy utilities reach large-load payment settlement with North Carolina staff</t>
  </si>
  <si>
    <t xml:space="preserve">Daily Energy Insider</t>
  </si>
  <si>
    <t xml:space="preserve">58c1e6c2d04fd4210016b983</t>
  </si>
  <si>
    <t xml:space="preserve">ExxonMobil blocked $5B Kashagan environmental fine settlement</t>
  </si>
  <si>
    <t xml:space="preserve">Quartz</t>
  </si>
  <si>
    <r>
      <rPr>
        <sz val="10"/>
        <rFont val="Noto Sans CJK SC"/>
        <family val="2"/>
      </rPr>
      <t xml:space="preserve">埃克森美孚阻止涉及 </t>
    </r>
    <r>
      <rPr>
        <sz val="10"/>
        <rFont val="Arial"/>
        <family val="0"/>
        <charset val="1"/>
      </rPr>
      <t xml:space="preserve">52 </t>
    </r>
    <r>
      <rPr>
        <sz val="10"/>
        <rFont val="Noto Sans CJK SC"/>
        <family val="2"/>
      </rPr>
      <t xml:space="preserve">億美元哈薩克 </t>
    </r>
    <r>
      <rPr>
        <sz val="10"/>
        <rFont val="Arial"/>
        <family val="0"/>
        <charset val="1"/>
      </rPr>
      <t xml:space="preserve">Kashagan </t>
    </r>
    <r>
      <rPr>
        <sz val="10"/>
        <rFont val="Noto Sans CJK SC"/>
        <family val="2"/>
      </rPr>
      <t xml:space="preserve">環境罰款的和解。</t>
    </r>
  </si>
  <si>
    <t xml:space="preserve">c606353d3b2cff933a7469b2</t>
  </si>
  <si>
    <t xml:space="preserve">Market Chatter: ExxonMobil Blocks Settlement Over $5.2 Billion Kazakhstan Fine</t>
  </si>
  <si>
    <r>
      <rPr>
        <sz val="10"/>
        <rFont val="Arial"/>
        <family val="0"/>
        <charset val="1"/>
      </rPr>
      <t xml:space="preserve">Kashagan </t>
    </r>
    <r>
      <rPr>
        <sz val="10"/>
        <rFont val="Noto Sans CJK SC"/>
        <family val="2"/>
      </rPr>
      <t xml:space="preserve">環境罰款和解被埃克森美孚阻擋的市場傳聞與分析。</t>
    </r>
  </si>
  <si>
    <t xml:space="preserve">9fdae8b7f4a952806c55de98</t>
  </si>
  <si>
    <t xml:space="preserve">Corteva agrees to end pesticide loyalty programmes in proposed settlement with Federal Trade Commission</t>
  </si>
  <si>
    <t xml:space="preserve">Oils &amp; Fats International</t>
  </si>
  <si>
    <t xml:space="preserve">51d2fa07a12405a6d72f546a</t>
  </si>
  <si>
    <t xml:space="preserve">Third bellwether trial in Uber sexual assault MDL ends in settlement</t>
  </si>
  <si>
    <r>
      <rPr>
        <sz val="10"/>
        <rFont val="Arial"/>
        <family val="0"/>
        <charset val="1"/>
      </rPr>
      <t xml:space="preserve">Uber </t>
    </r>
    <r>
      <rPr>
        <sz val="10"/>
        <rFont val="Noto Sans CJK SC"/>
        <family val="2"/>
      </rPr>
      <t xml:space="preserve">性侵害 </t>
    </r>
    <r>
      <rPr>
        <sz val="10"/>
        <rFont val="Arial"/>
        <family val="0"/>
        <charset val="1"/>
      </rPr>
      <t xml:space="preserve">MDL </t>
    </r>
    <r>
      <rPr>
        <sz val="10"/>
        <rFont val="Noto Sans CJK SC"/>
        <family val="2"/>
      </rPr>
      <t xml:space="preserve">第三次試驗以和解收場，屬訴訟事件。</t>
    </r>
  </si>
  <si>
    <t xml:space="preserve">b7e8d84e51baaa871fc4f876</t>
  </si>
  <si>
    <t xml:space="preserve">2026-10-11</t>
  </si>
  <si>
    <t xml:space="preserve">ExxonMobil Holdings (XOM) Is Blocking A $5 Billion Kashagan Settlement</t>
  </si>
  <si>
    <t xml:space="preserve">Simply Wall Street</t>
  </si>
  <si>
    <t xml:space="preserve">0bc4f694bc8731b83a485ad5</t>
  </si>
  <si>
    <t xml:space="preserve">What Does CVS Health (CVS) Resolve With Its $315 Million Opioid Settlement?</t>
  </si>
  <si>
    <r>
      <rPr>
        <sz val="10"/>
        <rFont val="Arial"/>
        <family val="0"/>
        <charset val="1"/>
      </rPr>
      <t xml:space="preserve">CVS Health (CVS) </t>
    </r>
    <r>
      <rPr>
        <sz val="10"/>
        <rFont val="Noto Sans CJK SC"/>
        <family val="2"/>
      </rPr>
      <t xml:space="preserve">透過 </t>
    </r>
    <r>
      <rPr>
        <sz val="10"/>
        <rFont val="Arial"/>
        <family val="0"/>
        <charset val="1"/>
      </rPr>
      <t xml:space="preserve">3.15 </t>
    </r>
    <r>
      <rPr>
        <sz val="10"/>
        <rFont val="Noto Sans CJK SC"/>
        <family val="2"/>
      </rPr>
      <t xml:space="preserve">億美元鴉片類藥物和解解決了什麼問題？</t>
    </r>
  </si>
  <si>
    <r>
      <rPr>
        <sz val="10"/>
        <rFont val="Arial"/>
        <family val="0"/>
        <charset val="1"/>
      </rPr>
      <t xml:space="preserve">CVS </t>
    </r>
    <r>
      <rPr>
        <sz val="10"/>
        <rFont val="Noto Sans CJK SC"/>
        <family val="2"/>
      </rPr>
      <t xml:space="preserve">與司法部以 </t>
    </r>
    <r>
      <rPr>
        <sz val="10"/>
        <rFont val="Arial"/>
        <family val="0"/>
        <charset val="1"/>
      </rPr>
      <t xml:space="preserve">3.15 </t>
    </r>
    <r>
      <rPr>
        <sz val="10"/>
        <rFont val="Noto Sans CJK SC"/>
        <family val="2"/>
      </rPr>
      <t xml:space="preserve">億美元和解管制藥品處方案。</t>
    </r>
  </si>
  <si>
    <t xml:space="preserve">8ba4e99ca1e5f322b2cee65d</t>
  </si>
  <si>
    <t xml:space="preserve">CVS to pay $315M after settlement in DOJ lawsuit over controlled prescriptions</t>
  </si>
  <si>
    <r>
      <rPr>
        <sz val="10"/>
        <rFont val="Arial"/>
        <family val="0"/>
        <charset val="1"/>
      </rPr>
      <t xml:space="preserve">DOJ </t>
    </r>
    <r>
      <rPr>
        <sz val="10"/>
        <rFont val="Noto Sans CJK SC"/>
        <family val="2"/>
      </rPr>
      <t xml:space="preserve">受管制處方訴訟達成和解後，</t>
    </r>
    <r>
      <rPr>
        <sz val="10"/>
        <rFont val="Arial"/>
        <family val="0"/>
        <charset val="1"/>
      </rPr>
      <t xml:space="preserve">CVS </t>
    </r>
    <r>
      <rPr>
        <sz val="10"/>
        <rFont val="Noto Sans CJK SC"/>
        <family val="2"/>
      </rPr>
      <t xml:space="preserve">將支付 </t>
    </r>
    <r>
      <rPr>
        <sz val="10"/>
        <rFont val="Arial"/>
        <family val="0"/>
        <charset val="1"/>
      </rPr>
      <t xml:space="preserve">3.15 </t>
    </r>
    <r>
      <rPr>
        <sz val="10"/>
        <rFont val="Noto Sans CJK SC"/>
        <family val="2"/>
      </rPr>
      <t xml:space="preserve">億美元</t>
    </r>
  </si>
  <si>
    <t xml:space="preserve">FOX 4 News Dallas-Fort Worth</t>
  </si>
  <si>
    <t xml:space="preserve">04f49b90526ddfa581183dce</t>
  </si>
  <si>
    <t xml:space="preserve">CVS Pharmacy reaches $315M settlement with Justice Department over controlled substance prescriptions</t>
  </si>
  <si>
    <r>
      <rPr>
        <sz val="10"/>
        <rFont val="Arial"/>
        <family val="0"/>
        <charset val="1"/>
      </rPr>
      <t xml:space="preserve">CVS Pharmacy </t>
    </r>
    <r>
      <rPr>
        <sz val="10"/>
        <rFont val="Noto Sans CJK SC"/>
        <family val="2"/>
      </rPr>
      <t xml:space="preserve">就受管制藥物處方與司法部達成 </t>
    </r>
    <r>
      <rPr>
        <sz val="10"/>
        <rFont val="Arial"/>
        <family val="0"/>
        <charset val="1"/>
      </rPr>
      <t xml:space="preserve">3.15 </t>
    </r>
    <r>
      <rPr>
        <sz val="10"/>
        <rFont val="Noto Sans CJK SC"/>
        <family val="2"/>
      </rPr>
      <t xml:space="preserve">億美元和解</t>
    </r>
  </si>
  <si>
    <t xml:space="preserve">Fox Business</t>
  </si>
  <si>
    <t xml:space="preserve">a4301d93cf1004bab098324c</t>
  </si>
  <si>
    <t xml:space="preserve">CVS to pay $315M over opioid prescriptions in major DOJ settlement</t>
  </si>
  <si>
    <r>
      <rPr>
        <sz val="10"/>
        <rFont val="Arial"/>
        <family val="0"/>
        <charset val="1"/>
      </rPr>
      <t xml:space="preserve">CVS </t>
    </r>
    <r>
      <rPr>
        <sz val="10"/>
        <rFont val="Noto Sans CJK SC"/>
        <family val="2"/>
      </rPr>
      <t xml:space="preserve">將在司法部重大和解中就阿片類藥物處方支付 </t>
    </r>
    <r>
      <rPr>
        <sz val="10"/>
        <rFont val="Arial"/>
        <family val="0"/>
        <charset val="1"/>
      </rPr>
      <t xml:space="preserve">3.15 </t>
    </r>
    <r>
      <rPr>
        <sz val="10"/>
        <rFont val="Noto Sans CJK SC"/>
        <family val="2"/>
      </rPr>
      <t xml:space="preserve">億美元</t>
    </r>
  </si>
  <si>
    <t xml:space="preserve">FOX5 Vegas</t>
  </si>
  <si>
    <t xml:space="preserve">f8ce461600fb8618ba424a26</t>
  </si>
  <si>
    <t xml:space="preserve">CVS to pay $315 million settlement over opioid prescriptions</t>
  </si>
  <si>
    <r>
      <rPr>
        <sz val="10"/>
        <rFont val="Arial"/>
        <family val="0"/>
        <charset val="1"/>
      </rPr>
      <t xml:space="preserve">CVS </t>
    </r>
    <r>
      <rPr>
        <sz val="10"/>
        <rFont val="Noto Sans CJK SC"/>
        <family val="2"/>
      </rPr>
      <t xml:space="preserve">將就阿片類藥物處方支付 </t>
    </r>
    <r>
      <rPr>
        <sz val="10"/>
        <rFont val="Arial"/>
        <family val="0"/>
        <charset val="1"/>
      </rPr>
      <t xml:space="preserve">3.15 </t>
    </r>
    <r>
      <rPr>
        <sz val="10"/>
        <rFont val="Noto Sans CJK SC"/>
        <family val="2"/>
      </rPr>
      <t xml:space="preserve">億美元和解金</t>
    </r>
  </si>
  <si>
    <t xml:space="preserve">e4cbf5994466de0c8b4c32ad</t>
  </si>
  <si>
    <t xml:space="preserve">CVS to pay $315M settlement over allegations of illegally filling opioid prescriptions</t>
  </si>
  <si>
    <r>
      <rPr>
        <sz val="10"/>
        <rFont val="Arial"/>
        <family val="0"/>
        <charset val="1"/>
      </rPr>
      <t xml:space="preserve">CVS </t>
    </r>
    <r>
      <rPr>
        <sz val="10"/>
        <rFont val="Noto Sans CJK SC"/>
        <family val="2"/>
      </rPr>
      <t xml:space="preserve">將就非法配阿片類處方藥指控支付 </t>
    </r>
    <r>
      <rPr>
        <sz val="10"/>
        <rFont val="Arial"/>
        <family val="0"/>
        <charset val="1"/>
      </rPr>
      <t xml:space="preserve">3.15 </t>
    </r>
    <r>
      <rPr>
        <sz val="10"/>
        <rFont val="Noto Sans CJK SC"/>
        <family val="2"/>
      </rPr>
      <t xml:space="preserve">億美元和解金</t>
    </r>
  </si>
  <si>
    <t xml:space="preserve">22fd8c62aa96d0cd80000252</t>
  </si>
  <si>
    <t xml:space="preserve">CVS Agrees To $315 Million Settlement Over Opioid Prescriptions</t>
  </si>
  <si>
    <r>
      <rPr>
        <sz val="10"/>
        <rFont val="Arial"/>
        <family val="0"/>
        <charset val="1"/>
      </rPr>
      <t xml:space="preserve">CVS </t>
    </r>
    <r>
      <rPr>
        <sz val="10"/>
        <rFont val="Noto Sans CJK SC"/>
        <family val="2"/>
      </rPr>
      <t xml:space="preserve">同意就阿片類藥物處方達成 </t>
    </r>
    <r>
      <rPr>
        <sz val="10"/>
        <rFont val="Arial"/>
        <family val="0"/>
        <charset val="1"/>
      </rPr>
      <t xml:space="preserve">3.15 </t>
    </r>
    <r>
      <rPr>
        <sz val="10"/>
        <rFont val="Noto Sans CJK SC"/>
        <family val="2"/>
      </rPr>
      <t xml:space="preserve">億美元和解</t>
    </r>
  </si>
  <si>
    <t xml:space="preserve">efbc22fe9215aaa52e98f269</t>
  </si>
  <si>
    <t xml:space="preserve">CVS, DOJ reach $315M settlement in opioid prescription case</t>
  </si>
  <si>
    <r>
      <rPr>
        <sz val="10"/>
        <rFont val="Arial"/>
        <family val="0"/>
        <charset val="1"/>
      </rPr>
      <t xml:space="preserve">CVS </t>
    </r>
    <r>
      <rPr>
        <sz val="10"/>
        <rFont val="Noto Sans CJK SC"/>
        <family val="2"/>
      </rPr>
      <t xml:space="preserve">與 </t>
    </r>
    <r>
      <rPr>
        <sz val="10"/>
        <rFont val="Arial"/>
        <family val="0"/>
        <charset val="1"/>
      </rPr>
      <t xml:space="preserve">DOJ </t>
    </r>
    <r>
      <rPr>
        <sz val="10"/>
        <rFont val="Noto Sans CJK SC"/>
        <family val="2"/>
      </rPr>
      <t xml:space="preserve">在鴉片類藥物處方案中達成 </t>
    </r>
    <r>
      <rPr>
        <sz val="10"/>
        <rFont val="Arial"/>
        <family val="0"/>
        <charset val="1"/>
      </rPr>
      <t xml:space="preserve">3.15 </t>
    </r>
    <r>
      <rPr>
        <sz val="10"/>
        <rFont val="Noto Sans CJK SC"/>
        <family val="2"/>
      </rPr>
      <t xml:space="preserve">億美元和解</t>
    </r>
  </si>
  <si>
    <t xml:space="preserve">Fierce Healthcare</t>
  </si>
  <si>
    <t xml:space="preserve">a66e1081cfaac5f9071edbd2</t>
  </si>
  <si>
    <t xml:space="preserve">CVS agrees to $315M DOJ opioid settlement</t>
  </si>
  <si>
    <r>
      <rPr>
        <sz val="10"/>
        <rFont val="Arial"/>
        <family val="0"/>
        <charset val="1"/>
      </rPr>
      <t xml:space="preserve">CVS </t>
    </r>
    <r>
      <rPr>
        <sz val="10"/>
        <rFont val="Noto Sans CJK SC"/>
        <family val="2"/>
      </rPr>
      <t xml:space="preserve">同意司法部 </t>
    </r>
    <r>
      <rPr>
        <sz val="10"/>
        <rFont val="Arial"/>
        <family val="0"/>
        <charset val="1"/>
      </rPr>
      <t xml:space="preserve">3.15 </t>
    </r>
    <r>
      <rPr>
        <sz val="10"/>
        <rFont val="Noto Sans CJK SC"/>
        <family val="2"/>
      </rPr>
      <t xml:space="preserve">億美元鴉片類藥物和解</t>
    </r>
  </si>
  <si>
    <t xml:space="preserve">BenefitsPRO</t>
  </si>
  <si>
    <t xml:space="preserve">788b238d0913d6ffe3060490</t>
  </si>
  <si>
    <t xml:space="preserve">Bank of America stock falls after earnings miss and $1.2 billion penalty</t>
  </si>
  <si>
    <r>
      <rPr>
        <sz val="10"/>
        <rFont val="Noto Sans CJK SC"/>
        <family val="2"/>
      </rPr>
      <t xml:space="preserve">美國銀行股價因獲利未達預期和 </t>
    </r>
    <r>
      <rPr>
        <sz val="10"/>
        <rFont val="Arial"/>
        <family val="0"/>
        <charset val="1"/>
      </rPr>
      <t xml:space="preserve">12 </t>
    </r>
    <r>
      <rPr>
        <sz val="10"/>
        <rFont val="Noto Sans CJK SC"/>
        <family val="2"/>
      </rPr>
      <t xml:space="preserve">億美元罰款而下跌</t>
    </r>
  </si>
  <si>
    <r>
      <rPr>
        <sz val="10"/>
        <rFont val="Noto Sans CJK SC"/>
        <family val="2"/>
      </rPr>
      <t xml:space="preserve">美國銀行因反洗錢缺失遭罰 </t>
    </r>
    <r>
      <rPr>
        <sz val="10"/>
        <rFont val="Arial"/>
        <family val="0"/>
        <charset val="1"/>
      </rPr>
      <t xml:space="preserve">12 </t>
    </r>
    <r>
      <rPr>
        <sz val="10"/>
        <rFont val="Noto Sans CJK SC"/>
        <family val="2"/>
      </rPr>
      <t xml:space="preserve">億美元，財報也不如預期。</t>
    </r>
  </si>
  <si>
    <t xml:space="preserve">5ab3c2fe259d479da138a5d2</t>
  </si>
  <si>
    <t xml:space="preserve">SMCI</t>
  </si>
  <si>
    <t xml:space="preserve">Supermicro</t>
  </si>
  <si>
    <t xml:space="preserve">NLST Stock Rallies After ITC Patent Action Against MU, SMCI, HPE – Roth Capital Sees Settlement Upside</t>
  </si>
  <si>
    <r>
      <rPr>
        <sz val="10"/>
        <rFont val="Arial"/>
        <family val="0"/>
        <charset val="1"/>
      </rPr>
      <t xml:space="preserve">ITC </t>
    </r>
    <r>
      <rPr>
        <sz val="10"/>
        <rFont val="Noto Sans CJK SC"/>
        <family val="2"/>
      </rPr>
      <t xml:space="preserve">針對 </t>
    </r>
    <r>
      <rPr>
        <sz val="10"/>
        <rFont val="Arial"/>
        <family val="0"/>
        <charset val="1"/>
      </rPr>
      <t xml:space="preserve">MU</t>
    </r>
    <r>
      <rPr>
        <sz val="10"/>
        <rFont val="Noto Sans CJK SC"/>
        <family val="2"/>
      </rPr>
      <t xml:space="preserve">、</t>
    </r>
    <r>
      <rPr>
        <sz val="10"/>
        <rFont val="Arial"/>
        <family val="0"/>
        <charset val="1"/>
      </rPr>
      <t xml:space="preserve">SMCI</t>
    </r>
    <r>
      <rPr>
        <sz val="10"/>
        <rFont val="Noto Sans CJK SC"/>
        <family val="2"/>
      </rPr>
      <t xml:space="preserve">、</t>
    </r>
    <r>
      <rPr>
        <sz val="10"/>
        <rFont val="Arial"/>
        <family val="0"/>
        <charset val="1"/>
      </rPr>
      <t xml:space="preserve">HPE </t>
    </r>
    <r>
      <rPr>
        <sz val="10"/>
        <rFont val="Noto Sans CJK SC"/>
        <family val="2"/>
      </rPr>
      <t xml:space="preserve">提起專利訴訟後 </t>
    </r>
    <r>
      <rPr>
        <sz val="10"/>
        <rFont val="Arial"/>
        <family val="0"/>
        <charset val="1"/>
      </rPr>
      <t xml:space="preserve">NLST </t>
    </r>
    <r>
      <rPr>
        <sz val="10"/>
        <rFont val="Noto Sans CJK SC"/>
        <family val="2"/>
      </rPr>
      <t xml:space="preserve">股票上漲 – </t>
    </r>
    <r>
      <rPr>
        <sz val="10"/>
        <rFont val="Arial"/>
        <family val="0"/>
        <charset val="1"/>
      </rPr>
      <t xml:space="preserve">Roth Capital </t>
    </r>
    <r>
      <rPr>
        <sz val="10"/>
        <rFont val="Noto Sans CJK SC"/>
        <family val="2"/>
      </rPr>
      <t xml:space="preserve">認為和解有好處</t>
    </r>
  </si>
  <si>
    <r>
      <rPr>
        <sz val="10"/>
        <rFont val="Arial"/>
        <family val="0"/>
        <charset val="1"/>
      </rPr>
      <t xml:space="preserve">Netlist </t>
    </r>
    <r>
      <rPr>
        <sz val="10"/>
        <rFont val="Noto Sans CJK SC"/>
        <family val="2"/>
      </rPr>
      <t xml:space="preserve">專利案 </t>
    </r>
    <r>
      <rPr>
        <sz val="10"/>
        <rFont val="Arial"/>
        <family val="0"/>
        <charset val="1"/>
      </rPr>
      <t xml:space="preserve">ITC </t>
    </r>
    <r>
      <rPr>
        <sz val="10"/>
        <rFont val="Noto Sans CJK SC"/>
        <family val="2"/>
      </rPr>
      <t xml:space="preserve">調查對象包含美光、</t>
    </r>
    <r>
      <rPr>
        <sz val="10"/>
        <rFont val="Arial"/>
        <family val="0"/>
        <charset val="1"/>
      </rPr>
      <t xml:space="preserve">Supermicro</t>
    </r>
    <r>
      <rPr>
        <sz val="10"/>
        <rFont val="Noto Sans CJK SC"/>
        <family val="2"/>
      </rPr>
      <t xml:space="preserve">、</t>
    </r>
    <r>
      <rPr>
        <sz val="10"/>
        <rFont val="Arial"/>
        <family val="0"/>
        <charset val="1"/>
      </rPr>
      <t xml:space="preserve">HPE</t>
    </r>
    <r>
      <rPr>
        <sz val="10"/>
        <rFont val="Noto Sans CJK SC"/>
        <family val="2"/>
      </rPr>
      <t xml:space="preserve">。</t>
    </r>
  </si>
  <si>
    <t xml:space="preserve">1b24c446469ddebc27886147</t>
  </si>
  <si>
    <t xml:space="preserve">CVS opioid settlement leads Guckian, Block to criticize Foulkes</t>
  </si>
  <si>
    <r>
      <rPr>
        <sz val="10"/>
        <rFont val="Arial"/>
        <family val="0"/>
        <charset val="1"/>
      </rPr>
      <t xml:space="preserve">CVS </t>
    </r>
    <r>
      <rPr>
        <sz val="10"/>
        <rFont val="Noto Sans CJK SC"/>
        <family val="2"/>
      </rPr>
      <t xml:space="preserve">鴉片類藥物和解導致 </t>
    </r>
    <r>
      <rPr>
        <sz val="10"/>
        <rFont val="Arial"/>
        <family val="0"/>
        <charset val="1"/>
      </rPr>
      <t xml:space="preserve">Guckian </t>
    </r>
    <r>
      <rPr>
        <sz val="10"/>
        <rFont val="Noto Sans CJK SC"/>
        <family val="2"/>
      </rPr>
      <t xml:space="preserve">和 </t>
    </r>
    <r>
      <rPr>
        <sz val="10"/>
        <rFont val="Arial"/>
        <family val="0"/>
        <charset val="1"/>
      </rPr>
      <t xml:space="preserve">Block </t>
    </r>
    <r>
      <rPr>
        <sz val="10"/>
        <rFont val="Noto Sans CJK SC"/>
        <family val="2"/>
      </rPr>
      <t xml:space="preserve">批評福克斯</t>
    </r>
  </si>
  <si>
    <t xml:space="preserve">WJAR</t>
  </si>
  <si>
    <r>
      <rPr>
        <sz val="10"/>
        <rFont val="Noto Sans CJK SC"/>
        <family val="2"/>
      </rPr>
      <t xml:space="preserve">競選政治評論，與 </t>
    </r>
    <r>
      <rPr>
        <sz val="10"/>
        <rFont val="Arial"/>
        <family val="0"/>
        <charset val="1"/>
      </rPr>
      <t xml:space="preserve">CVS </t>
    </r>
    <r>
      <rPr>
        <sz val="10"/>
        <rFont val="Noto Sans CJK SC"/>
        <family val="2"/>
      </rPr>
      <t xml:space="preserve">裁罰無關。</t>
    </r>
  </si>
  <si>
    <t xml:space="preserve">022c39f0787362be562d756e</t>
  </si>
  <si>
    <t xml:space="preserve">Bank of America shares drop after third-quarter revenue miss and regulatory penalty</t>
  </si>
  <si>
    <t xml:space="preserve">美國銀行股價因第三季營收未達標和監管處罰而下跌</t>
  </si>
  <si>
    <t xml:space="preserve">41ee7a8cd546a59d0f97c030</t>
  </si>
  <si>
    <t xml:space="preserve">CVS opioid settlement puts Foulkes' role for company back in spotlight</t>
  </si>
  <si>
    <r>
      <rPr>
        <sz val="10"/>
        <rFont val="Arial"/>
        <family val="0"/>
        <charset val="1"/>
      </rPr>
      <t xml:space="preserve">CVS </t>
    </r>
    <r>
      <rPr>
        <sz val="10"/>
        <rFont val="Noto Sans CJK SC"/>
        <family val="2"/>
      </rPr>
      <t xml:space="preserve">鴉片類藥物和解使福克斯在公司中的角色重新成為人們關注的焦點</t>
    </r>
  </si>
  <si>
    <t xml:space="preserve">The Providence Journal</t>
  </si>
  <si>
    <t xml:space="preserve">7b06b747f92419499bf39fa4</t>
  </si>
  <si>
    <t xml:space="preserve">Auto Auctions, Money Order Gaps at Center of Bank of America Penalty</t>
  </si>
  <si>
    <t xml:space="preserve">汽車拍賣、美國銀行罰款中心的匯票缺口</t>
  </si>
  <si>
    <t xml:space="preserve">ACAMS</t>
  </si>
  <si>
    <t xml:space="preserve">d75af3e247b114465e184752</t>
  </si>
  <si>
    <t xml:space="preserve">NEE</t>
  </si>
  <si>
    <t xml:space="preserve">NextEra Energy, Inc. Common Stock</t>
  </si>
  <si>
    <t xml:space="preserve">NextEra Energy (NEE) Proposes Legal Settlement, Is It Still Undervalued?</t>
  </si>
  <si>
    <r>
      <rPr>
        <sz val="10"/>
        <rFont val="Arial"/>
        <family val="0"/>
        <charset val="1"/>
      </rPr>
      <t xml:space="preserve">NextEra Energy</t>
    </r>
    <r>
      <rPr>
        <sz val="10"/>
        <rFont val="Noto Sans CJK SC"/>
        <family val="2"/>
      </rPr>
      <t xml:space="preserve">（</t>
    </r>
    <r>
      <rPr>
        <sz val="10"/>
        <rFont val="Arial"/>
        <family val="0"/>
        <charset val="1"/>
      </rPr>
      <t xml:space="preserve">NEE</t>
    </r>
    <r>
      <rPr>
        <sz val="10"/>
        <rFont val="Noto Sans CJK SC"/>
        <family val="2"/>
      </rPr>
      <t xml:space="preserve">）提出法律和解，其價值是否仍被低估？</t>
    </r>
  </si>
  <si>
    <r>
      <rPr>
        <sz val="10"/>
        <rFont val="Arial"/>
        <family val="0"/>
        <charset val="1"/>
      </rPr>
      <t xml:space="preserve">NextEra </t>
    </r>
    <r>
      <rPr>
        <sz val="10"/>
        <rFont val="Noto Sans CJK SC"/>
        <family val="2"/>
      </rPr>
      <t xml:space="preserve">股票估值分析，只提到擬議和解，非事件本身。</t>
    </r>
  </si>
  <si>
    <t xml:space="preserve">0512a9b31af1946f9e403ace</t>
  </si>
  <si>
    <t xml:space="preserve">$100M Equifax FCRA violations class action settlement</t>
  </si>
  <si>
    <r>
      <rPr>
        <sz val="10"/>
        <rFont val="Arial"/>
        <family val="0"/>
        <charset val="1"/>
      </rPr>
      <t xml:space="preserve">Equifax FCRA </t>
    </r>
    <r>
      <rPr>
        <sz val="10"/>
        <rFont val="Noto Sans CJK SC"/>
        <family val="2"/>
      </rPr>
      <t xml:space="preserve">違規集體訴訟和解金額達 </t>
    </r>
    <r>
      <rPr>
        <sz val="10"/>
        <rFont val="Arial"/>
        <family val="0"/>
        <charset val="1"/>
      </rPr>
      <t xml:space="preserve">1 </t>
    </r>
    <r>
      <rPr>
        <sz val="10"/>
        <rFont val="Noto Sans CJK SC"/>
        <family val="2"/>
      </rPr>
      <t xml:space="preserve">億美元</t>
    </r>
  </si>
  <si>
    <t xml:space="preserve">ec40275d5db2955cfa21f9e6</t>
  </si>
  <si>
    <t xml:space="preserve">Regency Centers</t>
  </si>
  <si>
    <t xml:space="preserve">Reg Wrap: Graham’s Russia sanctions bill breezes through Senate</t>
  </si>
  <si>
    <t xml:space="preserve">監管總結：格雷厄姆的俄羅斯制裁法案輕鬆通過參議院</t>
  </si>
  <si>
    <t xml:space="preserve">thebanker.com</t>
  </si>
  <si>
    <t xml:space="preserve">SANCTION</t>
  </si>
  <si>
    <t xml:space="preserve">制裁</t>
  </si>
  <si>
    <r>
      <rPr>
        <sz val="10"/>
        <rFont val="Noto Sans CJK SC"/>
        <family val="2"/>
      </rPr>
      <t xml:space="preserve">國際制裁、</t>
    </r>
    <r>
      <rPr>
        <sz val="10"/>
        <rFont val="Arial"/>
        <family val="0"/>
        <charset val="1"/>
      </rPr>
      <t xml:space="preserve">AML </t>
    </r>
    <r>
      <rPr>
        <sz val="10"/>
        <rFont val="Noto Sans CJK SC"/>
        <family val="2"/>
      </rPr>
      <t xml:space="preserve">評論或體育禁藥處分，與該公司無關（公司誤配）。</t>
    </r>
  </si>
  <si>
    <t xml:space="preserve">ae862011d8d8a38a4c962a7a</t>
  </si>
  <si>
    <t xml:space="preserve">1. F-35 Sale to Turkey Blocked by Statute 2. Trump Administration Weighs Legal Paths to Turkey Sanctions Relief 3. Congressional Restrictions Complicate Potential F-35 Transfer to Turkey</t>
  </si>
  <si>
    <r>
      <rPr>
        <sz val="10"/>
        <rFont val="Arial"/>
        <family val="0"/>
        <charset val="1"/>
      </rPr>
      <t xml:space="preserve">1. </t>
    </r>
    <r>
      <rPr>
        <sz val="10"/>
        <rFont val="Noto Sans CJK SC"/>
        <family val="2"/>
      </rPr>
      <t xml:space="preserve">法規阻止向土耳其出售 </t>
    </r>
    <r>
      <rPr>
        <sz val="10"/>
        <rFont val="Arial"/>
        <family val="0"/>
        <charset val="1"/>
      </rPr>
      <t xml:space="preserve">F-35 2. </t>
    </r>
    <r>
      <rPr>
        <sz val="10"/>
        <rFont val="Noto Sans CJK SC"/>
        <family val="2"/>
      </rPr>
      <t xml:space="preserve">川普政府權衡解除土耳其製裁的法律途徑 </t>
    </r>
    <r>
      <rPr>
        <sz val="10"/>
        <rFont val="Arial"/>
        <family val="0"/>
        <charset val="1"/>
      </rPr>
      <t xml:space="preserve">3. </t>
    </r>
    <r>
      <rPr>
        <sz val="10"/>
        <rFont val="Noto Sans CJK SC"/>
        <family val="2"/>
      </rPr>
      <t xml:space="preserve">國會的限制使向土耳其轉讓 </t>
    </r>
    <r>
      <rPr>
        <sz val="10"/>
        <rFont val="Arial"/>
        <family val="0"/>
        <charset val="1"/>
      </rPr>
      <t xml:space="preserve">F-35 </t>
    </r>
    <r>
      <rPr>
        <sz val="10"/>
        <rFont val="Noto Sans CJK SC"/>
        <family val="2"/>
      </rPr>
      <t xml:space="preserve">的可能性變得複雜</t>
    </r>
  </si>
  <si>
    <t xml:space="preserve">Legis1</t>
  </si>
  <si>
    <t xml:space="preserve">78a2b6f97a998cd721e8c9a8</t>
  </si>
  <si>
    <t xml:space="preserve">To further isolate Iran’s economy, U.S. rolls out ‘D-Day’ sanctions</t>
  </si>
  <si>
    <t xml:space="preserve">Los Angeles Times</t>
  </si>
  <si>
    <t xml:space="preserve">167282d580a38c1242e78843</t>
  </si>
  <si>
    <t xml:space="preserve">Wave of anti-money laundering sanctions has Strip’s attention, says Venetian’s attorney</t>
  </si>
  <si>
    <t xml:space="preserve">Nevada Current</t>
  </si>
  <si>
    <t xml:space="preserve">9ab93cb3e628f584ff355ed1</t>
  </si>
  <si>
    <t xml:space="preserve">SCO slams attacks, sanctions on Iran: Key takeaways from Bishkek summit</t>
  </si>
  <si>
    <t xml:space="preserve">54062a912f9c56ba8f44f26c</t>
  </si>
  <si>
    <t xml:space="preserve">Deere &amp; Company</t>
  </si>
  <si>
    <t xml:space="preserve">Tayane Porfírio de Araújo Accepts Doping Sanction | USADA</t>
  </si>
  <si>
    <t xml:space="preserve">usada.org</t>
  </si>
  <si>
    <t xml:space="preserve">6f9c02be7b60d06bee8d3fe7</t>
  </si>
  <si>
    <t xml:space="preserve">Court Blocks Morgan Stanley’s Bid to Withhold Diversity Docs, Threatens Sanctions</t>
  </si>
  <si>
    <t xml:space="preserve">法院阻止摩根士丹利扣留多元化文件的請求，並威脅實施制裁</t>
  </si>
  <si>
    <t xml:space="preserve">AdvisorHub</t>
  </si>
  <si>
    <t xml:space="preserve">法院在證據開示程序威脅制裁摩根士丹利，屬訴訟程序。</t>
  </si>
  <si>
    <t xml:space="preserve">bac7a594caa609f60e3a83f3</t>
  </si>
  <si>
    <t xml:space="preserve">CAH</t>
  </si>
  <si>
    <t xml:space="preserve">Cardinal Health, Inc. Common Stock</t>
  </si>
  <si>
    <t xml:space="preserve">Cardinal Health Loses Multiple "Product Return" Lawsuits Against Pharmacy Customers and Pays Attorneys' Fees to Settle Sanctions Motion for Frivolous Litigation</t>
  </si>
  <si>
    <r>
      <rPr>
        <sz val="10"/>
        <rFont val="Arial"/>
        <family val="0"/>
        <charset val="1"/>
      </rPr>
      <t xml:space="preserve">Cardinal Health </t>
    </r>
    <r>
      <rPr>
        <sz val="10"/>
        <rFont val="Noto Sans CJK SC"/>
        <family val="2"/>
      </rPr>
      <t xml:space="preserve">在退貨商業糾紛中敗訴並支付律師費，屬一般商業訴訟。</t>
    </r>
  </si>
  <si>
    <t xml:space="preserve">722e72dd56227a11288533f8</t>
  </si>
  <si>
    <t xml:space="preserve">Investigative report details how export-restricted Nvidia AI chips reach China — public records reveal how Chinese entities skirt US sanctions</t>
  </si>
  <si>
    <t xml:space="preserve">Tom's Hardware</t>
  </si>
  <si>
    <t xml:space="preserve">EXPORT_RESTRICTION</t>
  </si>
  <si>
    <r>
      <rPr>
        <sz val="10"/>
        <rFont val="Noto Sans CJK SC"/>
        <family val="2"/>
      </rPr>
      <t xml:space="preserve">調查報導揭露受出口管制的 </t>
    </r>
    <r>
      <rPr>
        <sz val="10"/>
        <rFont val="Arial"/>
        <family val="0"/>
        <charset val="1"/>
      </rPr>
      <t xml:space="preserve">Nvidia AI </t>
    </r>
    <r>
      <rPr>
        <sz val="10"/>
        <rFont val="Noto Sans CJK SC"/>
        <family val="2"/>
      </rPr>
      <t xml:space="preserve">晶片流入中國。</t>
    </r>
  </si>
  <si>
    <t xml:space="preserve">8b7e3ea5e1d3a6627e5655d1</t>
  </si>
  <si>
    <t xml:space="preserve">2026-10-12</t>
  </si>
  <si>
    <t xml:space="preserve">GPN</t>
  </si>
  <si>
    <t xml:space="preserve">Global Payments Inc. Common Stock</t>
  </si>
  <si>
    <t xml:space="preserve">Financial sanctions and the global payments network</t>
  </si>
  <si>
    <t xml:space="preserve">CEPR</t>
  </si>
  <si>
    <t xml:space="preserve">9499981981f20d98ef7b0814</t>
  </si>
  <si>
    <t xml:space="preserve">2026-10-23</t>
  </si>
  <si>
    <t xml:space="preserve">Moderna</t>
  </si>
  <si>
    <t xml:space="preserve">Moderna Sinks 4% After 18% Plunge as Melanoma Vaccine Selloff Extends; Merck and Pfizer Slip</t>
  </si>
  <si>
    <t xml:space="preserve">24/7 Wall St.</t>
  </si>
  <si>
    <t xml:space="preserve">待補分析</t>
  </si>
  <si>
    <t xml:space="preserve">PRICE_MOVEMENT</t>
  </si>
  <si>
    <r>
      <rPr>
        <sz val="10"/>
        <rFont val="Arial"/>
        <family val="0"/>
        <charset val="1"/>
      </rPr>
      <t xml:space="preserve">Moderna </t>
    </r>
    <r>
      <rPr>
        <sz val="10"/>
        <rFont val="Noto Sans CJK SC"/>
        <family val="2"/>
      </rPr>
      <t xml:space="preserve">因黑色素瘤疫苗消息單日重挫，屬股價下跌。</t>
    </r>
  </si>
  <si>
    <t xml:space="preserve">1d46e1f0edfe3a0d09e0910e</t>
  </si>
  <si>
    <t xml:space="preserve">Quest Diagnostics</t>
  </si>
  <si>
    <t xml:space="preserve">Quest Diagnostics discloses cyberattack on lab services system</t>
  </si>
  <si>
    <t xml:space="preserve">SC Media</t>
  </si>
  <si>
    <t xml:space="preserve">CYBER_ATTACK</t>
  </si>
  <si>
    <r>
      <rPr>
        <sz val="10"/>
        <rFont val="Arial"/>
        <family val="0"/>
        <charset val="1"/>
      </rPr>
      <t xml:space="preserve">Quest Diagnostics </t>
    </r>
    <r>
      <rPr>
        <sz val="10"/>
        <rFont val="Noto Sans CJK SC"/>
        <family val="2"/>
      </rPr>
      <t xml:space="preserve">揭露實驗室服務系統遭網路攻擊。</t>
    </r>
  </si>
  <si>
    <t xml:space="preserve">f5be12213704d274d9eb373c</t>
  </si>
  <si>
    <t xml:space="preserve">Crown Castle Soars on SpaceX News as Record Oil Prices Plunge Delta Air Lines</t>
  </si>
  <si>
    <t xml:space="preserve">油價紀錄高使達美航空股價下挫，屬股價下跌。</t>
  </si>
  <si>
    <t xml:space="preserve">52147ac35bb5adcd257f19ce</t>
  </si>
  <si>
    <t xml:space="preserve">TKO</t>
  </si>
  <si>
    <t xml:space="preserve">TKO Group Holdings</t>
  </si>
  <si>
    <t xml:space="preserve">Former WWE Star Killer Kross Recalls Failed Entertainment Industry Promise From TKO</t>
  </si>
  <si>
    <t xml:space="preserve">Wrestling Inc.</t>
  </si>
  <si>
    <r>
      <rPr>
        <sz val="10"/>
        <rFont val="Noto Sans CJK SC"/>
        <family val="2"/>
      </rPr>
      <t xml:space="preserve">藝人談往事／</t>
    </r>
    <r>
      <rPr>
        <sz val="10"/>
        <rFont val="Arial"/>
        <family val="0"/>
        <charset val="1"/>
      </rPr>
      <t xml:space="preserve">AI </t>
    </r>
    <r>
      <rPr>
        <sz val="10"/>
        <rFont val="Noto Sans CJK SC"/>
        <family val="2"/>
      </rPr>
      <t xml:space="preserve">類股盤勢，與風險事件無關。</t>
    </r>
  </si>
  <si>
    <t xml:space="preserve">72c1595251a9825c235928ad</t>
  </si>
  <si>
    <t xml:space="preserve">2026-10-24</t>
  </si>
  <si>
    <t xml:space="preserve">Corteva</t>
  </si>
  <si>
    <t xml:space="preserve">CTVA Stock Plunges As Corteva Completes Vylor Spin-Off</t>
  </si>
  <si>
    <t xml:space="preserve">StocksToTrade</t>
  </si>
  <si>
    <r>
      <rPr>
        <sz val="10"/>
        <rFont val="Noto Sans CJK SC"/>
        <family val="2"/>
      </rPr>
      <t xml:space="preserve">科迪華完成 </t>
    </r>
    <r>
      <rPr>
        <sz val="10"/>
        <rFont val="Arial"/>
        <family val="0"/>
        <charset val="1"/>
      </rPr>
      <t xml:space="preserve">Vylor </t>
    </r>
    <r>
      <rPr>
        <sz val="10"/>
        <rFont val="Noto Sans CJK SC"/>
        <family val="2"/>
      </rPr>
      <t xml:space="preserve">分拆後股價重新定價，屬分拆造成的價格調整。</t>
    </r>
  </si>
  <si>
    <t xml:space="preserve">c9151db39206b104e8415ddb</t>
  </si>
  <si>
    <t xml:space="preserve">CTVA Stock Plunges As Vylor Spin-Off Triggers Massive Repricing</t>
  </si>
  <si>
    <t xml:space="preserve">837be8b447bd8edac2cef557</t>
  </si>
  <si>
    <t xml:space="preserve">CTVA Stock Plunges As Vylor Spin-Off Triggers Sharp Repricing</t>
  </si>
  <si>
    <t xml:space="preserve">Timothy Sykes</t>
  </si>
  <si>
    <t xml:space="preserve">f408eb5974a740165838c465</t>
  </si>
  <si>
    <t xml:space="preserve">Laminators sold on Amazon recalled for fire risk</t>
  </si>
  <si>
    <t xml:space="preserve">WPRI.com</t>
  </si>
  <si>
    <r>
      <rPr>
        <sz val="10"/>
        <rFont val="Noto Sans CJK SC"/>
        <family val="2"/>
      </rPr>
      <t xml:space="preserve">在 </t>
    </r>
    <r>
      <rPr>
        <sz val="10"/>
        <rFont val="Arial"/>
        <family val="0"/>
        <charset val="1"/>
      </rPr>
      <t xml:space="preserve">Amazon </t>
    </r>
    <r>
      <rPr>
        <sz val="10"/>
        <rFont val="Noto Sans CJK SC"/>
        <family val="2"/>
      </rPr>
      <t xml:space="preserve">上販售的第三方產品召回，不是 </t>
    </r>
    <r>
      <rPr>
        <sz val="10"/>
        <rFont val="Arial"/>
        <family val="0"/>
        <charset val="1"/>
      </rPr>
      <t xml:space="preserve">Amazon </t>
    </r>
    <r>
      <rPr>
        <sz val="10"/>
        <rFont val="Noto Sans CJK SC"/>
        <family val="2"/>
      </rPr>
      <t xml:space="preserve">的產品召回。</t>
    </r>
  </si>
  <si>
    <t xml:space="preserve">4d57fbcf170a7c87bc505258</t>
  </si>
  <si>
    <t xml:space="preserve">CMS Energy</t>
  </si>
  <si>
    <t xml:space="preserve">State auditor reassigning resources to prioritize CMS investigation</t>
  </si>
  <si>
    <t xml:space="preserve">WSOC TV</t>
  </si>
  <si>
    <r>
      <rPr>
        <sz val="10"/>
        <rFont val="Noto Sans CJK SC"/>
        <family val="2"/>
      </rPr>
      <t xml:space="preserve">「州審計長調整資源優先處理 </t>
    </r>
    <r>
      <rPr>
        <sz val="10"/>
        <rFont val="Arial"/>
        <family val="0"/>
        <charset val="1"/>
      </rPr>
      <t xml:space="preserve">CMS </t>
    </r>
    <r>
      <rPr>
        <sz val="10"/>
        <rFont val="Noto Sans CJK SC"/>
        <family val="2"/>
      </rPr>
      <t xml:space="preserve">調查」，</t>
    </r>
    <r>
      <rPr>
        <sz val="10"/>
        <rFont val="Arial"/>
        <family val="0"/>
        <charset val="1"/>
      </rPr>
      <t xml:space="preserve">CMS </t>
    </r>
    <r>
      <rPr>
        <sz val="10"/>
        <rFont val="Noto Sans CJK SC"/>
        <family val="2"/>
      </rPr>
      <t xml:space="preserve">可能指聯邦醫療保險署而非 </t>
    </r>
    <r>
      <rPr>
        <sz val="10"/>
        <rFont val="Arial"/>
        <family val="0"/>
        <charset val="1"/>
      </rPr>
      <t xml:space="preserve">CMS Energy</t>
    </r>
    <r>
      <rPr>
        <sz val="10"/>
        <rFont val="Noto Sans CJK SC"/>
        <family val="2"/>
      </rPr>
      <t xml:space="preserve">。</t>
    </r>
  </si>
  <si>
    <t xml:space="preserve">738c8ca03c91b0282419749f</t>
  </si>
  <si>
    <t xml:space="preserve">CVS Health</t>
  </si>
  <si>
    <t xml:space="preserve">CVS Caremark, Express Scripts, Optum Rx targeted in House investigation (UNH:NYSE)</t>
  </si>
  <si>
    <r>
      <rPr>
        <sz val="10"/>
        <rFont val="Noto Sans CJK SC"/>
        <family val="2"/>
      </rPr>
      <t xml:space="preserve">美國眾議院調查 </t>
    </r>
    <r>
      <rPr>
        <sz val="10"/>
        <rFont val="Arial"/>
        <family val="0"/>
        <charset val="1"/>
      </rPr>
      <t xml:space="preserve">CVS Caremark</t>
    </r>
    <r>
      <rPr>
        <sz val="10"/>
        <rFont val="Noto Sans CJK SC"/>
        <family val="2"/>
      </rPr>
      <t xml:space="preserve">、</t>
    </r>
    <r>
      <rPr>
        <sz val="10"/>
        <rFont val="Arial"/>
        <family val="0"/>
        <charset val="1"/>
      </rPr>
      <t xml:space="preserve">Express Scripts</t>
    </r>
    <r>
      <rPr>
        <sz val="10"/>
        <rFont val="Noto Sans CJK SC"/>
        <family val="2"/>
      </rPr>
      <t xml:space="preserve">、</t>
    </r>
    <r>
      <rPr>
        <sz val="10"/>
        <rFont val="Arial"/>
        <family val="0"/>
        <charset val="1"/>
      </rPr>
      <t xml:space="preserve">Optum Rx </t>
    </r>
    <r>
      <rPr>
        <sz val="10"/>
        <rFont val="Noto Sans CJK SC"/>
        <family val="2"/>
      </rPr>
      <t xml:space="preserve">等藥品福利管理商。</t>
    </r>
  </si>
  <si>
    <t xml:space="preserve">83902f1748b9501c7fd90a1c</t>
  </si>
  <si>
    <t xml:space="preserve">UNH</t>
  </si>
  <si>
    <t xml:space="preserve">UnitedHealth Group</t>
  </si>
  <si>
    <t xml:space="preserve">c9c26fe91224d856d36e4ddc</t>
  </si>
  <si>
    <t xml:space="preserve">MSFT</t>
  </si>
  <si>
    <t xml:space="preserve">Microsoft</t>
  </si>
  <si>
    <t xml:space="preserve">《焦點》AI類股暴跌過後，交投轉為平淡</t>
  </si>
  <si>
    <r>
      <rPr>
        <sz val="10"/>
        <rFont val="Noto Sans CJK SC"/>
        <family val="2"/>
      </rPr>
      <t xml:space="preserve">《焦點》</t>
    </r>
    <r>
      <rPr>
        <sz val="10"/>
        <rFont val="Arial"/>
        <family val="0"/>
        <charset val="1"/>
      </rPr>
      <t xml:space="preserve">AI</t>
    </r>
    <r>
      <rPr>
        <sz val="10"/>
        <rFont val="Noto Sans CJK SC"/>
        <family val="2"/>
      </rPr>
      <t xml:space="preserve">類股暴跌過後，交投轉為平淡</t>
    </r>
  </si>
  <si>
    <t xml:space="preserve">6901cfb94e61908ec4146e89</t>
  </si>
  <si>
    <t xml:space="preserve">Event_Code</t>
  </si>
  <si>
    <t xml:space="preserve">事件中文</t>
  </si>
  <si>
    <t xml:space="preserve">Level</t>
  </si>
  <si>
    <t xml:space="preserve">ACCOUNTING_FRAUD</t>
  </si>
  <si>
    <t xml:space="preserve">會計舞弊</t>
  </si>
  <si>
    <t xml:space="preserve">GOING_CONCERN</t>
  </si>
  <si>
    <t xml:space="preserve">繼續經營疑慮</t>
  </si>
  <si>
    <t xml:space="preserve">LIQUIDITY_CRISIS</t>
  </si>
  <si>
    <t xml:space="preserve">流動性危機</t>
  </si>
  <si>
    <t xml:space="preserve">TRADING_SUSPENSION</t>
  </si>
  <si>
    <t xml:space="preserve">停牌</t>
  </si>
  <si>
    <t xml:space="preserve">AUDITOR_RESIGNATION</t>
  </si>
  <si>
    <t xml:space="preserve">會計師辭任</t>
  </si>
  <si>
    <t xml:space="preserve">CREDIT_DOWNGRADE</t>
  </si>
  <si>
    <t xml:space="preserve">信用調降</t>
  </si>
  <si>
    <t xml:space="preserve">ENVIRONMENTAL_INCIDENT</t>
  </si>
  <si>
    <t xml:space="preserve">重大環境事故</t>
  </si>
  <si>
    <t xml:space="preserve">FDA_WARNING</t>
  </si>
  <si>
    <r>
      <rPr>
        <sz val="10"/>
        <rFont val="Arial"/>
        <family val="0"/>
        <charset val="1"/>
      </rPr>
      <t xml:space="preserve">FDA</t>
    </r>
    <r>
      <rPr>
        <sz val="10"/>
        <rFont val="Noto Sans CJK SC"/>
        <family val="2"/>
      </rPr>
      <t xml:space="preserve">警告</t>
    </r>
  </si>
  <si>
    <t xml:space="preserve">GUIDANCE_WITHDRAWN</t>
  </si>
  <si>
    <t xml:space="preserve">撤回財測</t>
  </si>
  <si>
    <t xml:space="preserve">RESTATEMENT</t>
  </si>
  <si>
    <t xml:space="preserve">重編財報</t>
  </si>
  <si>
    <r>
      <rPr>
        <sz val="10"/>
        <rFont val="Arial"/>
        <family val="0"/>
        <charset val="1"/>
      </rPr>
      <t xml:space="preserve">CDS</t>
    </r>
    <r>
      <rPr>
        <sz val="10"/>
        <rFont val="Noto Sans CJK SC"/>
        <family val="2"/>
      </rPr>
      <t xml:space="preserve">利差擴大／信用風險升高</t>
    </r>
  </si>
  <si>
    <t xml:space="preserve">CEO_DEPARTURE</t>
  </si>
  <si>
    <r>
      <rPr>
        <sz val="10"/>
        <rFont val="Arial"/>
        <family val="0"/>
        <charset val="1"/>
      </rPr>
      <t xml:space="preserve">CEO</t>
    </r>
    <r>
      <rPr>
        <sz val="10"/>
        <rFont val="Noto Sans CJK SC"/>
        <family val="2"/>
      </rPr>
      <t xml:space="preserve">異動</t>
    </r>
  </si>
  <si>
    <t xml:space="preserve">CFO_DEPARTURE</t>
  </si>
  <si>
    <r>
      <rPr>
        <sz val="10"/>
        <rFont val="Arial"/>
        <family val="0"/>
        <charset val="1"/>
      </rPr>
      <t xml:space="preserve">CFO</t>
    </r>
    <r>
      <rPr>
        <sz val="10"/>
        <rFont val="Noto Sans CJK SC"/>
        <family val="2"/>
      </rPr>
      <t xml:space="preserve">異動</t>
    </r>
  </si>
  <si>
    <t xml:space="preserve">資安攻擊</t>
  </si>
  <si>
    <t xml:space="preserve">資料外洩</t>
  </si>
  <si>
    <t xml:space="preserve">EARNINGS_MISS</t>
  </si>
  <si>
    <t xml:space="preserve">財報不如預期</t>
  </si>
  <si>
    <t xml:space="preserve">EARNINGS_WARNING</t>
  </si>
  <si>
    <t xml:space="preserve">財測下修</t>
  </si>
  <si>
    <t xml:space="preserve">出口管制</t>
  </si>
  <si>
    <t xml:space="preserve">FACTORY_SHUTDOWN</t>
  </si>
  <si>
    <t xml:space="preserve">工廠停工</t>
  </si>
  <si>
    <t xml:space="preserve">MAJOR_CUSTOMER_LOSS</t>
  </si>
  <si>
    <t xml:space="preserve">重大客戶流失</t>
  </si>
  <si>
    <t xml:space="preserve">OPERATING_DETERIORATION</t>
  </si>
  <si>
    <t xml:space="preserve">營運惡化</t>
  </si>
  <si>
    <t xml:space="preserve">專利訴訟</t>
  </si>
  <si>
    <t xml:space="preserve">PRODUCT_DEFECT</t>
  </si>
  <si>
    <t xml:space="preserve">重大產品瑕疵</t>
  </si>
  <si>
    <t xml:space="preserve">PRODUCT_RECALL</t>
  </si>
  <si>
    <t xml:space="preserve">產品召回</t>
  </si>
  <si>
    <t xml:space="preserve">SHORT_SELLER_REPORT</t>
  </si>
  <si>
    <t xml:space="preserve">放空機構報告</t>
  </si>
  <si>
    <t xml:space="preserve">SUPPLY_CHAIN_DISRUPTION</t>
  </si>
  <si>
    <t xml:space="preserve">供應鏈中斷</t>
  </si>
  <si>
    <t xml:space="preserve">TRADE_RESTRICTION</t>
  </si>
  <si>
    <t xml:space="preserve">貿易限制</t>
  </si>
  <si>
    <t xml:space="preserve">WORKFORCE_REDUCTION</t>
  </si>
  <si>
    <t xml:space="preserve">裁員或人力縮減</t>
  </si>
  <si>
    <t xml:space="preserve">ANALYST_DOWNGRADE</t>
  </si>
  <si>
    <t xml:space="preserve">分析師降評</t>
  </si>
  <si>
    <t xml:space="preserve">BOARD_RESTRUCTURE</t>
  </si>
  <si>
    <t xml:space="preserve">董事會重大改組</t>
  </si>
  <si>
    <t xml:space="preserve">隱私事件</t>
  </si>
  <si>
    <t xml:space="preserve">PRODUCTION_DELAY</t>
  </si>
  <si>
    <t xml:space="preserve">生產延遲</t>
  </si>
  <si>
    <t xml:space="preserve">PRODUCT_OR_SERVICE_DISCONTINUATION</t>
  </si>
  <si>
    <t xml:space="preserve">產品或服務終止</t>
  </si>
  <si>
    <t xml:space="preserve">TARIFF</t>
  </si>
  <si>
    <t xml:space="preserve">關稅</t>
  </si>
  <si>
    <t xml:space="preserve">NATURAL_DISASTER</t>
  </si>
  <si>
    <t xml:space="preserve">天災</t>
  </si>
  <si>
    <t xml:space="preserve">股價下跌</t>
  </si>
  <si>
    <t xml:space="preserve">SECTOR_MOVE</t>
  </si>
  <si>
    <t xml:space="preserve">產業下跌</t>
  </si>
  <si>
    <t xml:space="preserve">VALUATION_CONCERN</t>
  </si>
  <si>
    <t xml:space="preserve">估值疑慮</t>
  </si>
  <si>
    <t xml:space="preserve">GENERAL_INFORMATION</t>
  </si>
  <si>
    <t xml:space="preserve">一般公司更新</t>
  </si>
  <si>
    <t xml:space="preserve">NON_CORE_SOURCE</t>
  </si>
  <si>
    <t xml:space="preserve">非主要公司網站</t>
  </si>
  <si>
    <t xml:space="preserve">NOT_RELEVANT</t>
  </si>
  <si>
    <t xml:space="preserve">無關新聞事件</t>
  </si>
  <si>
    <t xml:space="preserve">UNKNOWN</t>
  </si>
  <si>
    <r>
      <rPr>
        <i val="true"/>
        <sz val="9"/>
        <rFont val="Noto Sans CJK SC"/>
        <family val="2"/>
      </rPr>
      <t xml:space="preserve">來源：</t>
    </r>
    <r>
      <rPr>
        <i val="true"/>
        <sz val="9"/>
        <rFont val="Arial"/>
        <family val="0"/>
        <charset val="1"/>
      </rPr>
      <t xml:space="preserve">negative-news </t>
    </r>
    <r>
      <rPr>
        <i val="true"/>
        <sz val="9"/>
        <rFont val="Noto Sans CJK SC"/>
        <family val="2"/>
      </rPr>
      <t xml:space="preserve">的 </t>
    </r>
    <r>
      <rPr>
        <i val="true"/>
        <sz val="9"/>
        <rFont val="Arial"/>
        <family val="0"/>
        <charset val="1"/>
      </rPr>
      <t xml:space="preserve">Parameter_Event.xlsx</t>
    </r>
    <r>
      <rPr>
        <i val="true"/>
        <sz val="9"/>
        <rFont val="Noto Sans CJK SC"/>
        <family val="2"/>
      </rPr>
      <t xml:space="preserve">（</t>
    </r>
    <r>
      <rPr>
        <i val="true"/>
        <sz val="9"/>
        <rFont val="Arial"/>
        <family val="0"/>
        <charset val="1"/>
      </rPr>
      <t xml:space="preserve">Event </t>
    </r>
    <r>
      <rPr>
        <i val="true"/>
        <sz val="9"/>
        <rFont val="Noto Sans CJK SC"/>
        <family val="2"/>
      </rPr>
      <t xml:space="preserve">工作表），</t>
    </r>
    <r>
      <rPr>
        <i val="true"/>
        <sz val="9"/>
        <rFont val="Arial"/>
        <family val="0"/>
        <charset val="1"/>
      </rPr>
      <t xml:space="preserve">2026-10-26 </t>
    </r>
    <r>
      <rPr>
        <i val="true"/>
        <sz val="9"/>
        <rFont val="Noto Sans CJK SC"/>
        <family val="2"/>
      </rPr>
      <t xml:space="preserve">讀取。</t>
    </r>
  </si>
</sst>
</file>

<file path=xl/styles.xml><?xml version="1.0" encoding="utf-8"?>
<styleSheet xmlns="http://schemas.openxmlformats.org/spreadsheetml/2006/main">
  <numFmts count="3">
    <numFmt numFmtId="164" formatCode="General"/>
    <numFmt numFmtId="165" formatCode="0.000"/>
    <numFmt numFmtId="166" formatCode="General"/>
  </numFmts>
  <fonts count="17">
    <font>
      <sz val="11"/>
      <color theme="1"/>
      <name val="Calibri"/>
      <family val="2"/>
      <charset val="1"/>
    </font>
    <font>
      <sz val="10"/>
      <name val="Arial"/>
      <family val="0"/>
    </font>
    <font>
      <sz val="10"/>
      <name val="Arial"/>
      <family val="0"/>
    </font>
    <font>
      <sz val="10"/>
      <name val="Arial"/>
      <family val="0"/>
    </font>
    <font>
      <b val="true"/>
      <sz val="12"/>
      <name val="Noto Sans CJK SC"/>
      <family val="2"/>
    </font>
    <font>
      <b val="true"/>
      <sz val="12"/>
      <name val="Arial"/>
      <family val="0"/>
      <charset val="1"/>
    </font>
    <font>
      <sz val="10"/>
      <name val="Noto Sans CJK SC"/>
      <family val="2"/>
    </font>
    <font>
      <sz val="10"/>
      <name val="Arial"/>
      <family val="0"/>
      <charset val="1"/>
    </font>
    <font>
      <b val="true"/>
      <sz val="10"/>
      <name val="Noto Sans CJK SC"/>
      <family val="2"/>
    </font>
    <font>
      <b val="true"/>
      <sz val="10"/>
      <color rgb="FFFFFFFF"/>
      <name val="Noto Sans CJK SC"/>
      <family val="2"/>
    </font>
    <font>
      <b val="true"/>
      <sz val="10"/>
      <color rgb="FFFFFFFF"/>
      <name val="Arial"/>
      <family val="0"/>
      <charset val="1"/>
    </font>
    <font>
      <u val="single"/>
      <sz val="10"/>
      <color rgb="FF0563C1"/>
      <name val="Arial"/>
      <family val="0"/>
      <charset val="1"/>
    </font>
    <font>
      <u val="single"/>
      <sz val="10"/>
      <color rgb="FF0563C1"/>
      <name val="Noto Sans CJK SC"/>
      <family val="2"/>
    </font>
    <font>
      <b val="true"/>
      <sz val="11"/>
      <color rgb="FFFFFFFF"/>
      <name val="Arial"/>
      <family val="0"/>
      <charset val="1"/>
    </font>
    <font>
      <b val="true"/>
      <sz val="11"/>
      <color rgb="FFFFFFFF"/>
      <name val="Noto Sans CJK SC"/>
      <family val="2"/>
    </font>
    <font>
      <i val="true"/>
      <sz val="9"/>
      <name val="Noto Sans CJK SC"/>
      <family val="2"/>
    </font>
    <font>
      <i val="true"/>
      <sz val="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BF8F00"/>
        <bgColor rgb="FF808000"/>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8" fillId="4"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6" fontId="7" fillId="0"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F8CBAD"/>
          <bgColor rgb="FF000000"/>
        </patternFill>
      </fill>
    </dxf>
    <dxf>
      <fill>
        <patternFill patternType="solid">
          <fgColor rgb="FFFFC7CE"/>
          <bgColor rgb="FF000000"/>
        </patternFill>
      </fill>
    </dxf>
    <dxf>
      <fill>
        <patternFill patternType="solid">
          <fgColor rgb="FFC00000"/>
          <bgColor rgb="FF000000"/>
        </patternFill>
      </fill>
    </dxf>
    <dxf>
      <fill>
        <patternFill patternType="solid">
          <fgColor rgb="FFBF8F00"/>
          <bgColor rgb="FF000000"/>
        </patternFill>
      </fill>
    </dxf>
    <dxf>
      <fill>
        <patternFill patternType="solid">
          <fgColor rgb="FFFFFF00"/>
          <bgColor rgb="FF000000"/>
        </patternFill>
      </fill>
    </dxf>
    <dxf>
      <fill>
        <patternFill patternType="solid">
          <fgColor rgb="FFA6A6A6"/>
          <bgColor rgb="FF000000"/>
        </patternFill>
      </fill>
    </dxf>
    <dxf>
      <fill>
        <patternFill patternType="solid">
          <fgColor rgb="FFDDEBF7"/>
          <bgColor rgb="FF000000"/>
        </patternFill>
      </fill>
    </dxf>
    <dxf>
      <fill>
        <patternFill patternType="solid">
          <fgColor rgb="FFEDEDED"/>
          <bgColor rgb="FF000000"/>
        </patternFill>
      </fill>
    </dxf>
    <dxf>
      <fill>
        <patternFill patternType="solid">
          <fgColor rgb="FFFFEB9C"/>
          <bgColor rgb="FF000000"/>
        </patternFill>
      </fill>
    </dxf>
    <dxf>
      <fill>
        <patternFill>
          <bgColor rgb="FFFFC7CE"/>
        </patternFill>
      </fill>
    </dxf>
    <dxf>
      <fill>
        <patternFill>
          <bgColor rgb="FFF8CBAD"/>
        </patternFill>
      </fill>
    </dxf>
    <dxf>
      <fill>
        <patternFill>
          <bgColor rgb="FFFFEB9C"/>
        </patternFill>
      </fill>
    </dxf>
    <dxf>
      <fill>
        <patternFill>
          <bgColor rgb="FFDDEBF7"/>
        </patternFill>
      </fill>
    </dxf>
    <dxf>
      <fill>
        <patternFill>
          <bgColor rgb="FFEDEDED"/>
        </patternFill>
      </fill>
    </dxf>
    <dxf>
      <fill>
        <patternFill>
          <bgColor rgb="FFA6A6A6"/>
        </patternFill>
      </fill>
    </dxf>
    <dxf>
      <font>
        <name val="Arial"/>
        <charset val="1"/>
        <family val="0"/>
        <b val="1"/>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DDEBF7"/>
      <rgbColor rgb="FF660066"/>
      <rgbColor rgb="FFFF8080"/>
      <rgbColor rgb="FF0563C1"/>
      <rgbColor rgb="FFFFC7CE"/>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8CBAD"/>
      <rgbColor rgb="FF3366FF"/>
      <rgbColor rgb="FF33CCCC"/>
      <rgbColor rgb="FF99CC00"/>
      <rgbColor rgb="FFFFCC00"/>
      <rgbColor rgb="FFBF8F00"/>
      <rgbColor rgb="FFFF6600"/>
      <rgbColor rgb="FF666699"/>
      <rgbColor rgb="FFA6A6A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news.google.com/rss/articles/CBMihgFBVV95cUxOVmI3amN1U1oyZm1XcUFGUHdTZ2VxU2ZYbGQ0LS1nQkp0bG9vaktPbHluZ3pOY2lRWS1qVTVDcmkxRFNwYWNiWTlqUExrcWpmbzl1YXdRV3NtekVQaVk4YmpYR1d2VHlSTTcycXVKNndab0lYS09ZdktaYWN2Ulg1WkFkNFhWZw?oc=5" TargetMode="External"/><Relationship Id="rId2" Type="http://schemas.openxmlformats.org/officeDocument/2006/relationships/hyperlink" Target="https://news.google.com/rss/articles/CBMi7wFBVV95cUxPZnZOMjBRWkFoaWpJZ1pod0tvNGZUYUJRbFFvQmdJTUZ1VUVzNUlaWG96RWFpQURDLUdRNnBQNF9mTEt4ZzB2TnZlNld4UktpN2V5cXFYeUFRQmNWdFNsTEVhTmVWd2llTURGV2o3TWh2cVh6WVotTE81NnVMSC1DR1NKekd4STRyMWZUY1k3N0NyT3hyVnBjNFpNeTNtWV" TargetMode="External"/><Relationship Id="rId3" Type="http://schemas.openxmlformats.org/officeDocument/2006/relationships/hyperlink" Target="https://news.google.com/rss/articles/CBMimgFBVV95cUxPSjR2V3NsVDg5UUx0TURUN0FSdmgtTUlZYnBfcHpGaGgzenJhZTVGeGRGNlFYaE9IR3A0amxTVHloYXMtWGtwY2s5eGlvWERERXZKQUQySVlVbWtsUDBvUUxudHVDazZvWjhSRnhidDdRTW51cUhuQnJRalpvOGxoN3FXZjd3NzV3ZDlwaHVsMDM5eFhLdkJZMXhn?oc=5" TargetMode="External"/><Relationship Id="rId4" Type="http://schemas.openxmlformats.org/officeDocument/2006/relationships/hyperlink" Target="https://news.google.com/rss/articles/CBMiyAFBVV95cUxNbTEtRXFRWXAtUlByT050cHVla3l3TkRmSE5rczJEak90aWx1cU5vaHdSMk5WTllobzJUZFJ4d2J2VmVka3BlY2Fuc0FUbnYzY2FpMEZTS3FjTnFQN2VkLVlqaUFtSzk0VUd6dHBsRW1oak03STZXTmtvZlFRR0VoQktIMTlPOTVGdmZUcWFqVXJ2amxxSlBzaW1yY08xRm" TargetMode="External"/><Relationship Id="rId5" Type="http://schemas.openxmlformats.org/officeDocument/2006/relationships/hyperlink" Target="https://news.google.com/rss/articles/CBMinAFBVV95cUxPX00tTGp6TW1SS1J2RFZHS09LTWxqQllpZGRsdjNLRGx3S0Z0STcyUFN0QTBrV2N0WU1Gb3ZBVUhFbWhCWTAxVzRodjM1QTZ3bjZvMFBZOEpKeGJfSWxXbktOdl9VV24yeXZieW0waFNYMmJINWxaQ2dZTXN0Y2tSLXc0bkp6ZlVPUWpEenRsd3hZajRJT3V3eVBUYW8?oc" TargetMode="External"/><Relationship Id="rId6" Type="http://schemas.openxmlformats.org/officeDocument/2006/relationships/hyperlink" Target="https://news.google.com/rss/articles/CBMimAFBVV95cUxQZ2NOcHBBeFgwamJCQ0hNWmJkLXJHOTZjUU5aT1hVOEpfSzY1aW8wZ2NLMFVYNE5QZG5zLUxMTGYzWUQzLTV1SDJXbkRuZnJoWW92R250WmpMaXZEZFFHajBqU2Q2NG44aU1qX2hUOVdyZnhsQlYxeTVrakhOYTZyT3kzaWpNUGRWLWZ4andORUJrMm9nVzk0bQ?oc=5" TargetMode="External"/><Relationship Id="rId7" Type="http://schemas.openxmlformats.org/officeDocument/2006/relationships/hyperlink" Target="https://news.google.com/rss/articles/CBMiqAFBVV95cUxQbS1yRjd5R3FTUzNiUnVaaHBtaVN4ZDY3VmRfWm5IZWpQNU01S0UzRmg0WEFieFc0ei0wX3FEMjA5bGtXeEl5bG5vX09sVFM2TDFYRzNteVd3djhBWHRmdzc1aU0wWUtVdTQxdTJMVk9WXzA0Ni04SWpRdVJ4Q0ZpQXp5V1RRTkx3OFBXR0hZUkFDR21zZEVBOW9pOGIwTW" TargetMode="External"/><Relationship Id="rId8" Type="http://schemas.openxmlformats.org/officeDocument/2006/relationships/hyperlink" Target="https://news.google.com/rss/articles/CBMiuwFBVV95cUxNVHRnOW5OU3lLYVBhai16UzM2UVRDekZXZjRRcExuSlQzbDlzYXVYUEkwa3RxVUpLQ1UzYmVlTVdTbWhGcXJZaWFsMGJTYVFrX3dHRTJYQ2g4S3h0MmRVQkNMUEhibTJDNHI0Tk9wUWZ2TFd2NVdLMkRWUnlHNi1iaEVMbHN3Y2t6UEZ3RVR0bG9qUnRVbGZ6U0VIVklyRW" TargetMode="External"/><Relationship Id="rId9" Type="http://schemas.openxmlformats.org/officeDocument/2006/relationships/hyperlink" Target="https://news.google.com/rss/articles/CBMiqAJBVV95cUxPMUg4MFFKSTkxQm5zVEx2cDBMU2U2TGhnQVpfRXA5c1M3dWZ4UlVrN2I4dW5kNTQxdTR3LTd5MFR4bEppd3JpN21ud1dESTJGZFRwajdWTHRwa3dZQkM1cmNRTUZfRWx6RWQ2c1NqN2VydElISVZzQS02QmtTUjJTWS0yWEFuRHB6Y2pjVFdzVFQwcEFnMEt5czQ0THNKbE" TargetMode="External"/><Relationship Id="rId10" Type="http://schemas.openxmlformats.org/officeDocument/2006/relationships/hyperlink" Target="https://news.google.com/rss/articles/CBMiqAFBVV95cUxQcTB2RU9XTlJtWF94V3U5d0JjVnE2RUF0WU1QMVFwRWJuSm9qX01MdWFONXJzS25pUmd3ZF8yT1pOblNPMzNTSGZ5Z0JYbzh4YnNqR1FTcm1YMjloczBxajl2R3VScDZMYl9TN1U5YnZMQzlwYnlieDlDTExpeS14UlV0WTk2SHRrYklkTUh3dVQ3bUNicU9FdFVpM25xUX" TargetMode="External"/><Relationship Id="rId11" Type="http://schemas.openxmlformats.org/officeDocument/2006/relationships/hyperlink" Target="https://news.google.com/rss/articles/CBMimgFBVV95cUxQNjRSZG1EOWpHRXdCV3EyVkh2eGI1S3F3WlpCc0J4MU9pZEhfcmlEaG9SX1pxd0p6VlppRy12RmJuR3RGR1h6dGlGbEdSWE5YWldFaFJUMl85bGgxcnQ3cTBYY0NNeEVHUFN3MWlDVEZfZjZXeDdicnRVYjJGOV9TeGwtUmQ2TmMwVzhGVVF1a3hHeWFHUVJKdnZn?oc=5" TargetMode="External"/><Relationship Id="rId12" Type="http://schemas.openxmlformats.org/officeDocument/2006/relationships/hyperlink" Target="https://news.google.com/rss/articles/CBMiuAFBVV95cUxQV0N6TUpTWTVrNUplM01qUVdubU9xSWNsenU3NDdoM0lkUlFOTC1Qb0xDYWRkaEY2dlkzVXJxa19KS0lJZGs3UXhkMDlzY1ZLR1NUQmdiUDVzN3NUV2NkT3BCamNZTTBXNU9fNnpERHFmTkZiZUdBeDY0NXFkYjYxQWdocGNJdkpkTXpkcWdHV3g5eTYtZVktODRFamdXTF" TargetMode="External"/><Relationship Id="rId13" Type="http://schemas.openxmlformats.org/officeDocument/2006/relationships/hyperlink" Target="https://news.google.com/rss/articles/CBMiswFBVV95cUxOcy1WRmdOQzFlanNnaGVjcFJTTlpVWnFTNFVham9TalRMaFFBX0p2Q3pHcTZQYXRkNElIQ1JSU01IN1ZsS0tUOUdEc2ppR3dNR1hsU08zaUtNNkhfZTM1VHUyUUZ1dnlPSDBHTUVzZ0cxSmdndmN5T3k3alRyOFFYeVhPMDZxWnA1VzY4U3JKTTg5U01SQmI3TlZXNlFEVE" TargetMode="External"/><Relationship Id="rId14" Type="http://schemas.openxmlformats.org/officeDocument/2006/relationships/hyperlink" Target="https://news.google.com/rss/articles/CBMizwFBVV95cUxOX1ZTbkNabzJtRXg0WkNwaFBydnNZTkp4bXB4c24zV2RKTzA5R3VTN1JMdlo0SmZMTU1rMXNPSEQ1UmpRTU1sWW5rN2RTMjNRa0tRSmRqR0NzLXY5T3hRa3ZBbFpsMTJmUENWT0xiWFAtTlFtZnhPbndDNXVab2lEbXJ1TDUxYkhyY1h6ZmJnQU1nODRQN3FWLWhPUDZWd0" TargetMode="External"/><Relationship Id="rId15" Type="http://schemas.openxmlformats.org/officeDocument/2006/relationships/hyperlink" Target="https://news.google.com/rss/articles/CBMimAFBVV95cUxOT1lsN2dFbmd5LThoMmdITzkyNTVrc3VtUnFKRjJsNi1FSjkzZTgyRUVIR2pFcjhXd0llT3hzRDBXMzM1cDBDODZsWkxhM0M2N0tuQm05cXVMbTRubHZ4Y1BENnJ5V0Nfb0tIS1gzT1E5TllLYUxiNTFwLVVRVzdzYlVQUzJ3TGwtY0o1RElfajFHakJCTUlkUA?oc=5" TargetMode="External"/><Relationship Id="rId16" Type="http://schemas.openxmlformats.org/officeDocument/2006/relationships/hyperlink" Target="https://news.google.com/rss/articles/CBMisAFBVV95cUxQMlZaUnlsenoza0VnMmxoSloyWTFsejBYVy1EWDNPbnpOem52OEQxNUpLeS10SkREOEpJOUVwR08xOVQtNmdPTmVNUVM1eXAzdG5QQldRX1lHRnRud2R6YXg4emRETkx1MVFWUnBvZ3IyRU9FQ2htbVlUVUtkakNiYzFrWDdqc3NoUlQteE83bTR2aHVFMlVNcF9WVVNkZ2" TargetMode="External"/><Relationship Id="rId17" Type="http://schemas.openxmlformats.org/officeDocument/2006/relationships/hyperlink" Target="https://news.google.com/rss/articles/CBMipAFBVV95cUxPWlZ6V2R2YzEtOHRPRWR5bjlmcWdrcGtIblROSE1nb29PYmhRMnhYMGp5MkpYcVE2YXRNTlVITE9oS3Nwc1dvSUU2S1NnY3ptRC12ODNYSlJxaGZBTnFlODh6eHNDcGc3UjVoWGxUS0NNUVIyUkp1eDdSYzZ2OVlDV19xQ1hsYmllWFI4b3ZiVDVRdjZOTVU2Y0VkZVlZTD" TargetMode="External"/><Relationship Id="rId18" Type="http://schemas.openxmlformats.org/officeDocument/2006/relationships/hyperlink" Target="https://news.google.com/rss/articles/CBMirwFBVV95cUxNZ0VpOXBNeW51MDZ4ZjlwMFhZZU1xTVlxczBhVmI0UVc4VjRkQTZ6RktTSEtIbFNTeFBqQWJja0xFNVh2a1ljMk11dkVYV3R0S3VzVFhmV2tMUFBPLUJQeElFZThmOWlGZkNHRVBEb19IbnBQYUhmSUpLTkd2djBadV8tMzFkM1FyMlFjc1lkX00wckFsYlgtZ3NJRV9aby" TargetMode="External"/><Relationship Id="rId19" Type="http://schemas.openxmlformats.org/officeDocument/2006/relationships/hyperlink" Target="https://news.google.com/rss/articles/CBMirAFBVV95cUxPZnpmM3d6Tjh4SVFKSF9VZ0l0SklwQU5lTmp5MUVSSnBwS0toY3RNdjU0R2thT0d6cVNON1BJaVExTUs3REI0UjgzOUdKcVRZNUZ1ZUZ2aWJZOFNDU1Z2Q1BaZDJOZDQ3bjNwT1ZNNnp2aE5iNlhsSmZYUmJEYlMyVXpfYWszYUk0SElxZmpGcnU2bjMyTFZpck51RGJvaU" TargetMode="External"/><Relationship Id="rId20" Type="http://schemas.openxmlformats.org/officeDocument/2006/relationships/hyperlink" Target="https://news.google.com/rss/articles/CBMipAFBVV95cUxPeW81aUc3dERZMHZITHp0Zlg5OWZhb09IYUUwZTJfcTQ5Z3RYQ3BsU3dYeVJMbFZ0TDNWcEZ5d1NRVGgteXV0QW1OVDRQSE8tekh1QWFndXFON1NaYVI4em1DT2stQmZYQnRUNVZTM3p6MjBCOHRsMXdtYXZVUVd5Y19VZW44OFh3bEpIU3E1Mnk2ZUZDUDVjWF9pWmlmSE" TargetMode="External"/><Relationship Id="rId21" Type="http://schemas.openxmlformats.org/officeDocument/2006/relationships/hyperlink" Target="https://news.google.com/rss/articles/CBMiwAFBVV95cUxOb3VoOE00dXF4Z294S1V0aVR0MjVOcVptR29iZUtfVkctM2pwb2Z6ZW9XN0JFUGR1Um93MXRyM3lGcklDVWU3OTNYQnZzQUpEOXBnWmZ4djFHX1VZYW81dkdvWVpTYXBrZ1FxN0dJUjQ0M25KOEQ0LUM4WFphbVZUUmpXZXdZYXUtSWttUnU3eXlUUjYyYngxM1JiNFZ1c0" TargetMode="External"/><Relationship Id="rId22" Type="http://schemas.openxmlformats.org/officeDocument/2006/relationships/hyperlink" Target="https://news.google.com/rss/articles/CBMinwFBVV95cUxOZEdVN2ZhN0FjOWhqbE1UM0xlYmdHbkl4bW5MOUkzRFZyc2RlU2dPMi0ybXdaQ19DdldfQTI3N3IyZ0k2d1c0bnFhb2ZlRERUNHR0R1g3b3hoRGFwRTFxd0NuV1lydEJHRWpOSFlkX19RN0N0R19vUVY3S2NOT1ZuZXg0d0Q3NnJyZFR0R0FQYkVna0JOZkFFUWtldTdGdH" TargetMode="External"/><Relationship Id="rId23" Type="http://schemas.openxmlformats.org/officeDocument/2006/relationships/hyperlink" Target="https://news.google.com/rss/articles/CBMimwFBVV95cUxQQjlobFRsQmZUMHNVUXFocmgwbWNuZEIxZkxwOEhpb3BaUUUtUVVIQnV3dWF0YzF2aGFHLWdlVDNGblNEdjYzUFZHOUlxUzBBUEpFcGpHT1VPRVN0bHBpMks1Nzlqa1BqMXo3dDRsNGJuZzdnTkxBSlZlcXc2Ym9jd1AyY2IzZXdVLVJJRlFzZDBrcHdGcFBadU84OA?oc=" TargetMode="External"/><Relationship Id="rId24" Type="http://schemas.openxmlformats.org/officeDocument/2006/relationships/hyperlink" Target="https://news.google.com/rss/articles/CBMirwFBVV95cUxOQ3cxbDJzTDhpNzNXR3JBZVI4OXVkLUQzcUNSUUJHam5BU1NuRUtNZUV0RXBNVlQ3bGFBV2ZoOXN3dU9HLWlockI5S1ZLZzVwMDBqTFVSTjhWcWxmeENjUUk0TGJrOUZ2OC1SNU9jRG85cnNEMDg4TmtXWHU2ZV85d3FBVUo0SG9ldmx4RjNFaEVvTnlSd1lOMndGcXhfTE" TargetMode="External"/><Relationship Id="rId25" Type="http://schemas.openxmlformats.org/officeDocument/2006/relationships/hyperlink" Target="https://news.google.com/rss/articles/CBMitwFBVV95cUxONTRhRFpGVUE0Xy1YMnh5WHA3ZnFVZllZR3BHODhQaktaU1JGbHIzMElHZThsQTlESWZGNm9MRWllTzN0N01pTjNtTng2bmlqZmZFNmNaWlR4ZzVtUl93NV9VLW52b29vVjk3ZkNpa2ExWU9IVV9OTEx5MDhnNkdSaWNUcmI5TEU0cmNfSFNpTGx4YVR3NkJKVDZfdUFuME" TargetMode="External"/><Relationship Id="rId26" Type="http://schemas.openxmlformats.org/officeDocument/2006/relationships/hyperlink" Target="https://news.google.com/rss/articles/CBMiqgFBVV95cUxPMG9laThsZ3Z3LVVob3RsbU03U1hCVzdYaGotYUNyRl96LUJRN0Z2N2stbFU1YjI5NVE4dThmOEc3ZE51c3IwQm5VSGpYd2VlM1RxWjZSUHplY29WcEF4T2MtNjNvTGw5Y3NkM3ZFWG1sQTV3dTNTMXFzbTJXZVltN1RUX2U4dWROdUpjNmxRZ0FLNnhYcG5iVi13Yld0aW" TargetMode="External"/><Relationship Id="rId27" Type="http://schemas.openxmlformats.org/officeDocument/2006/relationships/hyperlink" Target="https://news.google.com/rss/articles/CBMiigFBVV95cUxQdDRCN3haZHdYNzB2dDJfd2RJeWJEWDJSdzFJblZFODVrbDViV09Sb19jZXg0MnpmLXNQQzVrajc2TUZsUjNKTGNROVFkVVY3NHI4SEhhc25uUWp2VW83b3Z6OGtxNFdnd2VIb21LMzdLMW1oMGRieVJWWTB3Y2tGRlBDSzh5VW5UZ0HSAY8BQVVfeXFMTUNZd1VDMnpBZH" TargetMode="External"/><Relationship Id="rId28" Type="http://schemas.openxmlformats.org/officeDocument/2006/relationships/hyperlink" Target="https://news.google.com/rss/articles/CBMilwFBVV95cUxQRll5ajBIMmtjaFcxZWRGOFVKc0VQcmM1Vkx1Ui1BcC13QlY4ZFJ3dGdBZTZZcnlxU1ZwT2JJWlBqOHg2Ymp6ZzVJOW45QlBNQzBnNFRWX0FBTndVbUFERTd3eHc4aHc1aGkyYlRjdFZhQVN2V2JQX2t2My1XUGphNkx5emdfMG9rYnJUbW0xdzZBRG5pcWtJ?oc=5" TargetMode="External"/><Relationship Id="rId29" Type="http://schemas.openxmlformats.org/officeDocument/2006/relationships/hyperlink" Target="https://news.google.com/rss/articles/CBMihwJBVV95cUxOV0x2UWNGZU1nbU9DRnZjNU5rX0JFSUFRZHVoUklSbUhCWFh1d0MxbTd2YmtyUFhwVTFDZloybkxtaFdEWHIyalpQdGtleUpEZjNkT2REdGdqZkhZa2c1aFBTTExBQ1RMNjU4dXRUcEdQM2VKT1RGbHFvM3RhOHM2Q2xwaUc0RjZtVmFGLW42UE9QQXN1Z050S2gyWVZwQ3" TargetMode="External"/><Relationship Id="rId30" Type="http://schemas.openxmlformats.org/officeDocument/2006/relationships/hyperlink" Target="https://news.google.com/rss/articles/CBMi0wFBVV95cUxOd3AyZHBBbVgyNFlaY3QwbXc2VXJ6cEhkRWhUTlBLT0JmN2liZ0dtVDV3UTNHWmhSblQ5VnR4SlQ4TnYxZlV4TzhPQ3hMbUlEbXVZel83dDNlZUxWZm5RMmlXN1dKbjZxTFlFTW5ZRjVMRTYwTnNSN19tNUljbjZVWThIekk1Ukx4LW1RcFI5MklJVHdWU1h2cEhleHNhSU" TargetMode="External"/><Relationship Id="rId31" Type="http://schemas.openxmlformats.org/officeDocument/2006/relationships/hyperlink" Target="https://news.google.com/rss/articles/CBMifkFVX3lxTFA3eTlQTWdmQ1NFUzAtNkpnQkh6ZUJvN0lPY3lkb1ZOdzFucGVPb1Fya3FEMUJBV25NMWhGMHlmV2prNldaLWlWV3lmZk5fX3NlazhRYXVFeWtEbVQ1dWJUcVlicTA3czFoUlpsbUljcUI1ZUpTcHVITEpETlE0Zw?oc=5" TargetMode="External"/><Relationship Id="rId32" Type="http://schemas.openxmlformats.org/officeDocument/2006/relationships/hyperlink" Target="https://news.google.com/rss/articles/CBMigwFBVV95cUxORXlwNDdpVnBwbUx2NXJLUWRaZllocDczUTQwc1FuZjJmbGRXNjNDaUVDSER1NXRHNUxSMjBsZjVEdkxiSnZNYWF4SzVvYVhHYWFicDZ6TnJxdE90RHdQc3FpRHNidTdhd1ZwbkFsU2VXTGZlakZRdnJyTnk4WDJ2N1FrZw?oc=5" TargetMode="External"/><Relationship Id="rId33" Type="http://schemas.openxmlformats.org/officeDocument/2006/relationships/hyperlink" Target="https://news.google.com/rss/articles/CBMinAFBVV95cUxNU1o0TXpsSUp4ZmtZRkQtckJYb0Z1bGV4WnppbHRiSW5OYnY2OUNvMVhyTzYwZXQyb0xidklwbjVWTGNFbnpvLXNQbTVOcjloR1Y2MWdUa2FYSnJycWRESHJieFFiZ3ZaXzM2QXVkeDd3bXZPaWFDV1hpLUJDTHNmUlBjRVVKcE0wSVppY3JwSEVzUHpaOEFXVXg2cmM?oc" TargetMode="External"/><Relationship Id="rId34" Type="http://schemas.openxmlformats.org/officeDocument/2006/relationships/hyperlink" Target="https://news.google.com/rss/articles/CBMiVkFVX3lxTFA0TFJYNTVkYmhLTV9RTFpBTElyZEJwT1FHT3M0MXBGS1Y0YlF2MXZkeVZUQ2NOT2ZPbkJselJraXdtMUhqVk9lbnNwSG5PZFF6MEQ4dFR30gFWQVVfeXFMUDRMUlg1NWRiaEtNX1FMWkFMSXJkQnBPUUdPczQxcEZLVjRiUXYxdmR5VlRDY05PZk9uQmx6Umtpd20xSGpWT2" TargetMode="External"/><Relationship Id="rId35" Type="http://schemas.openxmlformats.org/officeDocument/2006/relationships/hyperlink" Target="https://news.google.com/rss/articles/CBMidkFVX3lxTE9SZ1ZMdmFkeE5GbVRSRVREUUlDX1VzMzVxcW9CWHlVN25OeENlbkRYRTNoejBHRTdHUk0tbFhZUHdXMnZxQnAyS2VyUGZqcUVEWldWQU1jVTRCaFduOHRBMDI4WmJ0ZDNCUkljbHZLaTFwenVkLXc?oc=5" TargetMode="External"/><Relationship Id="rId36" Type="http://schemas.openxmlformats.org/officeDocument/2006/relationships/hyperlink" Target="https://news.google.com/rss/articles/CBMisgFBVV95cUxQWmNSWjlXcXAzelVOTkZSQkhXZEpCeHMzQ0ZRbnd4MkZwbkFfTTFpd3ZuS0RoNnVicHNkSTNmblg1Y0hNSnZFVnU1cVNweXZUbFJzZ19qN2N3WU5Zcl9DWS1fUDhNRkVtUWhqSC1WLVJqZzA1VmxIUXZRclYwOEhISWlWdGVyU2RqdkdGemF4NmdSSWpoSTQxbTFzWXpRWj" TargetMode="External"/><Relationship Id="rId37" Type="http://schemas.openxmlformats.org/officeDocument/2006/relationships/hyperlink" Target="https://news.google.com/rss/articles/CBMijwFBVV95cUxQZWZoWDRtVEZpYUc0TGRaMWFHUlotY2EybS1DbFdlYUZGOU9GMWVodmptU2RFZVJSbVdHZDhqS002a2FWV3k2NElwRWZmSVVfZUhkNmZWQkhmUzVCNEtUaFBSZ3liLTA1NF9kNXdJSHE1NERySmxjZkVYT3A3c1ZHcXI2RUxlU2ZTTTl6R2hnQQ?oc=5" TargetMode="External"/><Relationship Id="rId38" Type="http://schemas.openxmlformats.org/officeDocument/2006/relationships/hyperlink" Target="https://news.google.com/rss/articles/CBMirgFBVV95cUxNZjJweERweGlzcGVEZV9nRWNmaGdXSFpwXzhsZ2luOV9XMThzTFFqWEgxRXZXLXFUekhkMjJZbTB5R3J0enBNQnBtMGRoRDZHTnozQ2dIVFFEUUZmdktwMHlvenNZbXJBSWZfOXpteG1EeWNGUEhYaXZMSGNIZW4wZk1iR1c1clhpdUlHWFNzZlA4aVp4VnJNZklpYWhiU0" TargetMode="External"/><Relationship Id="rId39" Type="http://schemas.openxmlformats.org/officeDocument/2006/relationships/hyperlink" Target="https://news.google.com/rss/articles/CBMihwFBVV95cUxNN1Z6NTBWcU9WRVhwWDdSZEtuTS1sVnRQMmx0bndGbFhRQk5yN0hobmdlNzB3U05rX2JLdzRKWHVkSWZ5aW5EcEVRZ0YyeDVDWUJacFI5VWpDUkxZYmtrX3ljUlF3aG1UTms1NEo4Si1RbUZlZFJmNUhPcjV2SFZVQU5HVHktUUk?oc=5" TargetMode="External"/><Relationship Id="rId40" Type="http://schemas.openxmlformats.org/officeDocument/2006/relationships/hyperlink" Target="https://news.google.com/rss/articles/CBMiygFBVV95cUxNdVN2dlpXSVBMVHlWN3hGdnJzRW5MY1ptVlRNNlpZZUp2UDluUXl5MXQxaFZEd3hqekluUTQxdXNNY014Y05qdkNlSkZ3NE9UWWtPd0MtWndjdGMzUDZpSXhjSEhSWXZxN2R4aHRYdXdlQVA1a3dMNGNaZDdZS3Jic2RuTGFnTU94QzBJeVFqeFBOd3JJMEhWQ2Z6WFFSc2" TargetMode="External"/><Relationship Id="rId41" Type="http://schemas.openxmlformats.org/officeDocument/2006/relationships/hyperlink" Target="https://news.google.com/rss/articles/CBMipgFBVV95cUxOaGlYeHg2TF8ydFo3cG1QbDdmYzB6WHF4dThUa3ZCNkVPRGwxVXdkdHlZTjVmNDdidGhRMVAxYkxqRjBOMDNiOGp3OUxYdXh5b3hTU05CaHlEalVBWExDT3c0OTNndTRwWW94VjZ1d1hWMlVZN05jcndMZjl5UUljeGwtLWE5dHl5bjdWbFpRMDdhMmtsVF8xdUNqemJJN2" TargetMode="External"/><Relationship Id="rId42" Type="http://schemas.openxmlformats.org/officeDocument/2006/relationships/hyperlink" Target="https://news.google.com/rss/articles/CBMilgFBVV95cUxPUUg1cTc4a0d2c3A1emd4Yzk2am4yY3FPZkFZLWhoTHVYSUd3U0JNUDNhWm9JNFpZQmhFSW80eFljeTRELTd3Z054SC1iSFFCV054Y215Q1VpRVd5ZHFnUk9IcEJCdHZZMGhCeHBJSEhSSWFhLVRJb0otVzd0NGhpalNfQkdCa291a1NBak8wVTJSUmxzTUE?oc=5" TargetMode="External"/><Relationship Id="rId43" Type="http://schemas.openxmlformats.org/officeDocument/2006/relationships/hyperlink" Target="https://news.google.com/rss/articles/CBMihAFBVV95cUxPUzRma0VEM2VyTHpCQzg1Z1k1RmVsUXhES25JcVMydUFkS216MnVTcHhQX3lhaVd4bC1rZnVDOFZtOE9Rb3ZIT2J0ckRLX3ByU0doLVhxZ3NTTFBYVXpGem9sQUNTdkVNS1VPOU5zZHBOZ1h5cjI5VGlha3R0Q2xyVC1hN2E?oc=5" TargetMode="External"/><Relationship Id="rId44" Type="http://schemas.openxmlformats.org/officeDocument/2006/relationships/hyperlink" Target="https://news.google.com/rss/articles/CBMioAFBVV95cUxNQVJHaTVDdXZFdFoxOTF2UnBSN2t1bzdhVTNkMzB5SVFWZThnbXdiR084bG80LTQ5UzNJLWU3cmFoc2RfR0htTnh4TDRESHdjZWdEVGZzMjd1VXh6ZGtWU1NWY1VyNGZYaEVwdU5yLUx6aGtIbU5fU3Y2MmZMdGFKWXQ0alo2MklGNVF1UnlBUWxDem9TeUYwMHRIUExySl" TargetMode="External"/><Relationship Id="rId45" Type="http://schemas.openxmlformats.org/officeDocument/2006/relationships/hyperlink" Target="https://news.google.com/rss/articles/CBMipAFBVV95cUxQMFROcDBnSlBjN2QyaGFSUnhVWkN1UmxMTWJFRE5VZkswdHBfN1NNMTlzSjNtXzJuWURwV1dycXdNUHdNMlhhUjVxM0JoV2VxNjlOcmNLU3A3Y01FdWlBZF85ZjZwZlNlOFVHNDdtcU42aERURlhvUFd4Q2dfNDJNVm8wS2dSX0g0c0Y1b2ZhSVNZSVFmN0tsZXczRmFMVy" TargetMode="External"/><Relationship Id="rId46" Type="http://schemas.openxmlformats.org/officeDocument/2006/relationships/hyperlink" Target="https://news.google.com/rss/articles/CBMinwFBVV95cUxQelVPY2JtbFBBLU1DUzVwaTF3SjMyY0ItY3hKYjUyVGhlRVlxb2Z6Nkw1N2E4Y01hZkVqYUhrdXMtbzNVM0JKNnRsRTJ6SHBtYUlLQ1lkcUdERDZZc015R0ZVdmxlOEJsVHp3OWlhajRNbmljcUdaQWdTcGFvbTdsZWZjeFZlZldtWDV5M0lsd1JCUUpqZzBBS2QzVzRwT1" TargetMode="External"/><Relationship Id="rId47" Type="http://schemas.openxmlformats.org/officeDocument/2006/relationships/hyperlink" Target="https://news.google.com/rss/articles/CBMipwFBVV95cUxQVzdnN1pEMWZrZ214Q2JoQUpyaVExaTJ4aWJVdi1uM3dHZkx4dzNwWkJ1M0JlcVptMkV0Y1ktWlNPaHZQMDZ4amRoem1vZnpLRHNxZW5sNUpjZ19hV25aTHZmeFBZbDZZc1hIbjRSVG9oUkFVcUVPbjMxbWFIQmlTZURSRHpvbEZKdFJOLXI4dWpWdEJCVkFhSmZCNk13cz" TargetMode="External"/><Relationship Id="rId48" Type="http://schemas.openxmlformats.org/officeDocument/2006/relationships/hyperlink" Target="https://news.google.com/rss/articles/CBMinwFBVV95cUxQenItbGpiREg1UUY3MktDTGpBTWY5Tk5YbENlLXZDNFZoWTJweFJ0U3NXdWVMOFVlUU4zVnVrSDNLeHhzQlZQaVZRd2JPZm4yQmtEYTBPZVFNRjV0OWNKLWk4RUFaUDQ4MVJPczdCTmlrd0Z5bEtYQm01RGdFTFZFV2pIWTZTY1JRN2pHNnl6OWhUN3EyODM4R3hFNldHT0" TargetMode="External"/><Relationship Id="rId49" Type="http://schemas.openxmlformats.org/officeDocument/2006/relationships/hyperlink" Target="https://tw.tradingview.com/symbols/NYSE-OTIS/news/" TargetMode="External"/><Relationship Id="rId50" Type="http://schemas.openxmlformats.org/officeDocument/2006/relationships/hyperlink" Target="https://news.google.com/rss/articles/CBMiyAFBVV95cUxNcktzbXFhVzFNQ0VMNFVLRTJWV0h5WU1KRGd0amFidnZMS0p3d2hILVB2SlllbDhZQXp6UXpnWHBWQlZCSmR3anVDUk5OSFE0N0RkbnlYdnBPbGVQM2tLdXBKWnZCZldwYTJ3NDNwS2JYQzBMQUFXTUQ4QTUtNWFRR1pTOVgzRnZVUkM4SnNCVEpvcWVUVHVGTVUxQ3QzWV" TargetMode="External"/><Relationship Id="rId51" Type="http://schemas.openxmlformats.org/officeDocument/2006/relationships/hyperlink" Target="https://news.google.com/rss/articles/CBMiowFBVV95cUxPU0JYbWFIaFU3UWVZOVNEZWNSc01COFZVdHJLd1Q1RmpYMTNzcGlFZUs5LVlNSVZla1QxM056dFY0Mk1uZlhxYzVNWWRVVWNBMGtxZTN1T0hxaHVVY3FPWm9XOGt1VGhBeVJ2b2RpOFQzUG01SmUtQzhnbllFV3Nfc3RsY3pBV2ZpTkNqX05vdGlpTEkwU3BxaGJvMi1YT2" TargetMode="External"/><Relationship Id="rId52" Type="http://schemas.openxmlformats.org/officeDocument/2006/relationships/hyperlink" Target="https://news.google.com/rss/articles/CBMi2gFBVV95cUxOLTJGbjNZa3hhWDI3aGJrQUo5eVoyNmNOakhZbFhqUXNkWjhTc1g0dkxzWWNxRUlweHdUOTlUWm45Rk12ckpoRVNwT3dEalB3QWZBTlZhTTFnSzR4UXVJbmNlN3lmbkRZbzR4aXgyNU9OMk9veFR6Yk9rLU5CYWVJclQtUGhETEZINnk1RnVCQzlQbHIzUWVKRlE4cFJQYV" TargetMode="External"/><Relationship Id="rId53" Type="http://schemas.openxmlformats.org/officeDocument/2006/relationships/hyperlink" Target="https://news.google.com/rss/articles/CBMijgFBVV95cUxQT3U5dFp5X3lqQjlXOExCM0FsZ2ZCUGc0dEhVMzVha1JTaGxzNzBvR1pZTUlsRVpZZjVmakcxeVU2WE5MNmN0alhGdjhsYjhiNFdkR0FFUjNGZ0k4T1ZEaHZOaXZjRnJLQXB0RndELUp0YUttSlZUSHFWbFlKZDZ6SEU4SWJyeFhjM200VDdR?oc=5" TargetMode="External"/><Relationship Id="rId54" Type="http://schemas.openxmlformats.org/officeDocument/2006/relationships/hyperlink" Target="https://news.google.com/rss/articles/CBMitgFBVV95cUxPWEZUVmRrN2xYMDNXQWdiQUk3WmlLOVNrNmR4b1lSMVA1N1A5eWFlT3U2SWYySDA5QmVsQXhUTklUS004b3VuWXI5WVRydE9rWmxyUmRjbUpWck51U2lWZVNiUFhlWWtyajI4VE9QWkR5bTRjaFVBMlMwYmxNVktLb1lFRHN2OGhlRXRMNmZrMFN6TFUyYzJQdldGWGRHU1" TargetMode="External"/><Relationship Id="rId55" Type="http://schemas.openxmlformats.org/officeDocument/2006/relationships/hyperlink" Target="https://news.google.com/rss/articles/CBMiVkFVX3lxTE1fZ3VVOXVhUFIyOHVJaEtYQVdfUkFkNmdSZXZfN1dMY2JwQnk3cGFRRUZpUTlBbmx4M0xvS2E5UVVvLU1DRWdBWUV1d3l1anRoYjREbTBR0gFWQVVfeXFMTV9ndVU5dWFQUjI4dUloS1hBV19SQWQ2Z1Jldl83V0xjYnBCeTdwYVFFRmlROUFubHgzTG9LYTlRVW8tTUNFZ0" TargetMode="External"/><Relationship Id="rId56" Type="http://schemas.openxmlformats.org/officeDocument/2006/relationships/hyperlink" Target="https://news.google.com/rss/articles/CBMiugFBVV95cUxPQ2tzUUJZMXZCdVlNS1dzaXZHVGVBS1dkOEs1UktUMzNTX1VuQ0J0ZV9zUWFyWW5VQkVYeFhsNjhSNHFsbi1DYnlZQ3h1TWlmSU9RajVnaHJJanBRUDVGVXpQNllPcmR0ZEtrWHg4YVlzempHZWRWQjZtdFNpSWNxZGx6NngwcE9DNE5taTYyQTg1YU00ZDZDcnY3X1FzOU" TargetMode="External"/><Relationship Id="rId57" Type="http://schemas.openxmlformats.org/officeDocument/2006/relationships/hyperlink" Target="https://news.google.com/rss/articles/CBMidkFVX3lxTFBUYUxyQkp4clFrV1h2NXBtZVhuQ3k3Qk5IeDduVkEtb2M4QXJ1ZGRYY0UxTG01NDduQUZFdW84V1lLZjQ2alpSZzFmajNXZ3JIc25HRkp0MWcyd1Q3bDBWSnNrbFRGLTBPTnIwdW9pZW9EcFhwX1E?oc=5" TargetMode="External"/><Relationship Id="rId58" Type="http://schemas.openxmlformats.org/officeDocument/2006/relationships/hyperlink" Target="https://news.google.com/rss/articles/CBMipwFBVV95cUxOQ1RkOWNaYkV0WHVobTRPX0RDbTZLbWFiUGt0eXdCNXkzaGVkNnlKZ3dqeEFkLVpWVnBwcUF5dWpaaVVFM1lwd2s5Ynh0bnJkQkVUcWFuRHQwYUpwUjJPSnRTd3ZRNndnU0dLMnNYYWI3a3M0cTAxdHBYaWdndnJRWTJyM3FtMEtOTGdpNjhKQ1NVNjdFdHJiekxOTjVSUj" TargetMode="External"/><Relationship Id="rId59" Type="http://schemas.openxmlformats.org/officeDocument/2006/relationships/hyperlink" Target="https://news.google.com/rss/articles/CBMiwAFBVV95cUxOMU4yOXN1ZWhTdkplbWUwX2xldjh1TWxjN3NCOUhJNjdzR1JKYzZZeGR4SHdjc1Q5elpCUFJQdXFwMmtyZ29jMTFnUXFxTExpSGZ6TUtZT3BCZEtaQXZkbFRhMTFrNGtqUlVobWZVSjltQXhfZHdERzlwNXlfS3F5WENBRUsxc3l0QmRFR0J5VmItVDdnOHpkVV9ESUEzMU" TargetMode="External"/><Relationship Id="rId60" Type="http://schemas.openxmlformats.org/officeDocument/2006/relationships/hyperlink" Target="https://news.google.com/rss/articles/CBMingFBVV95cUxONHh1NXBDeDh1YXFVOHhobGs3dVgwU0FQaEw3VTJzNGpqTFE3dFlvU2xLRHBTWHcyYVh2UlBaVG1XM3M5VUhsaE9YWnh2aF9EMm9UNUg5aEVGSktrTlNROHJpWjhmNl9RdzdkdlZUajBtZzN1VzdMcGZXamVKbVBYdTVYNEZTQjZEZFpreVFxenJPVngwOWVHOGVHX05kZw" TargetMode="External"/><Relationship Id="rId61" Type="http://schemas.openxmlformats.org/officeDocument/2006/relationships/hyperlink" Target="https://news.google.com/rss/articles/CBMinAFBVV95cUxOdTY0bVJZYkZpb1NkbDkxWTRrXzVmWmhKOFhHcEdENDBrVVYtWDM3VWZuRXBnUk9scXFURFRkMFI3SU5Ea2lFMlZRcFp6djdlZkd0M0wtZkJjYloyeGNFdUh6RDNENWFiNnNoR1N0WUVVWEJRMm9HQlZoeEx5cWlndHVRNmVHRksyWjRjY3RYb2IwZ2o5VHFiMDFDRHc?oc" TargetMode="External"/><Relationship Id="rId62" Type="http://schemas.openxmlformats.org/officeDocument/2006/relationships/hyperlink" Target="https://news.google.com/rss/articles/CBMiwAFBVV95cUxQSDM4Y3Y5X0tGc2tSUmlsMTRkZTdQSE5oaGo4dXhsTDIwS0UyQVhxdHoxM1pJNWxvalVXVFRmTUNlSjBVWm84a1N5OXJpT2FOVENXSnQydUh1S1dJMG94andKT2FvZmJLLTBOOGpwaHhvSk9RVVBobTlNYzhsTDVteFQ2Nmw4bWdQSmtkNnp0V3FJZXJiU1pHaWxxMUthOX" TargetMode="External"/><Relationship Id="rId63" Type="http://schemas.openxmlformats.org/officeDocument/2006/relationships/hyperlink" Target="https://news.google.com/rss/articles/CBMipgJBVV95cUxQZmpfblFCWF9EbDhLd1c4VXJlMzJ0UEpoYmR3eDlBZTFhbmZSUW5RcFhjRnNEcGswUEFUTGwxWV9MUEhPTDlQa2JZbFJKTFd3WjNQTmQtWFRnaUtNWWhQVHlldl9CMTRtN3ZObExVdjN1Z185eFdMa0pCSnRXRGxfdlNNV2s4UHZQdzh3WDBoVE44X1g5cVMtck5pMjF4c2" TargetMode="External"/><Relationship Id="rId64" Type="http://schemas.openxmlformats.org/officeDocument/2006/relationships/hyperlink" Target="https://news.google.com/rss/articles/CBMizgFBVV95cUxNUUpVcDVLTzRKSENqLXRnMDIyTVV5N1R2U1pvVXVpTUtKckRvOV8zZ09CY0YwcGJmbnZEbWlHZjhodFpPeUlSOWg5c0o3NUVDamUyZXhjSE5jYnEzV3BkWGdOTl9hX01EcUU4OVFISldGcncyRDFaSS1oLVNybk00UzVUMHBkOWZiUG0zUkRlcV9OOTlwbXVNaV84SGx0OH" TargetMode="External"/><Relationship Id="rId65" Type="http://schemas.openxmlformats.org/officeDocument/2006/relationships/hyperlink" Target="https://news.google.com/rss/articles/CBMi0gJBVV95cUxPT1pVMExBcmlpZGhmZkdNYzBucTVuZjk5aTl4bVl0Yzg4M2NxejFocDdXLUFSNjF4N2p0UDJ0azJzS214V1RXd3g3N1h4bDllRHpFTHp5RElJUjFlYWZ1Y3BoMHRhWkE1a1kxaS1SOFdZTEYxR1pWYXhnSHRycGpUSjNuWDBHNzNSZ2ZoMDd5MExFTXdWODZIN0E0YXNtWm" TargetMode="External"/><Relationship Id="rId66" Type="http://schemas.openxmlformats.org/officeDocument/2006/relationships/hyperlink" Target="https://news.google.com/rss/articles/CBMijgJBVV95cUxQZHdrRHUyTWJjVEgyZzQ0YzExb3NnaWJhaXEzbWFndW9ibUtLUTNzX0Q1c01OWmNtVkhjMTJYX2Qtek1UdWFfV0daU3NWamdneEZ0bjRDVG5iZjh4M1JhakN3NWJpZ09RQ183NTcweFJQRlZzWXlBd25uMU9pQmw0Yk44cVlGazVIM2RmLV8taHpYVDUyWFpqYnZSdGRUUk" TargetMode="External"/><Relationship Id="rId67" Type="http://schemas.openxmlformats.org/officeDocument/2006/relationships/hyperlink" Target="https://news.google.com/rss/articles/CBMisgJBVV95cUxPUXpONHowdzI2MHdIUWhfUmpjUGdldVozbFVBc2hfbUlqSTdWZTYzVXZnMnBCb0VyeW9ycTkyZHRhTm44Smg1QURqQ3JVcWlQUmJobFp3R1NqOUZOR1ZidGVzWlpKTFpOcm0xZnZGVjliaDRmNVlBcnZJMUExNGg2ZGVzcUpNNi1WQlN5Y1l6WU1lM2RoWlZ3a0kxelpEN3" TargetMode="External"/><Relationship Id="rId68" Type="http://schemas.openxmlformats.org/officeDocument/2006/relationships/hyperlink" Target="https://news.google.com/rss/articles/CBMic0FVX3lxTE5jSV96RTBGR3V0eVdNSVFWdUYzUGl3eFlkalZxa3hOTVBnOENvRFN5bG9DNzFUb2ZaWHpENEZTMVRSQ25OLTBfM1VMcG9GVnowR3lxeG9JRUROYUxwblNmUXRtZmNaeUFEUUhGTnF6UVZOOXM?oc=5" TargetMode="External"/><Relationship Id="rId69" Type="http://schemas.openxmlformats.org/officeDocument/2006/relationships/hyperlink" Target="https://news.google.com/rss/articles/CBMi3wFBVV95cUxQc1hZSGJiUVVVa1dVdEdobzc5ZVFCdlA3VnBuNE5QVjhJZkVfYUxDSENhNEtWcU9scUo2ZF9WNWxyTzcxT0pJTE9VSzV4UmJic19ISU5TbE5EbkxhTnJ3cnhaU2NBSnR1cXBuSEJ4aG5Jazk5ZkM1aW5LQUthNFVVODRFOFpZS2hXcDZqeHpQSGxKRzh0c0o3X2JWWWF3MW" TargetMode="External"/><Relationship Id="rId70" Type="http://schemas.openxmlformats.org/officeDocument/2006/relationships/hyperlink" Target="https://news.google.com/rss/articles/CBMixgJBVV95cUxPYlRwVDJCajY0U01laTE0MXR3RGpDSk9pRGFnZ3dGTWZYQm9OYzdnSmN4SF9pWTQwZzlpMXpQTmJHdkg4U0wxRHN4SHZmSWJWVGxlZUo3N2NNRmx1cHNoVzZNQXRfTUViUmV6bmo3VEVXOXJfdXQ3WE9UZjNLVGItanp4RnJTa0JmT2pTQWczdlNtX1g4WW8xRlJVeVcwUF" TargetMode="External"/><Relationship Id="rId71" Type="http://schemas.openxmlformats.org/officeDocument/2006/relationships/hyperlink" Target="https://news.google.com/rss/articles/CBMi5AFBVV95cUxPcGJxajBqZzBKU3EtemYtUWdKa1k4NnVRMmZzcXNKSFdzalYwZWtEaVZaRC1Nbmt0LUpUSlN0ck9LRGZvdDhRWHJudlN1UFZHei04WGNjamdZR09yUlpvVS1McVd1QUotZklUTjZNdlFzR1J4OHlQTUZaUWN4a1VRXzhsbUVCLXljUmhiSld3WUw1UGV1U0RmZjhCWnR0eV" TargetMode="External"/><Relationship Id="rId72" Type="http://schemas.openxmlformats.org/officeDocument/2006/relationships/hyperlink" Target="https://www.gelonghui.com/live/2604584" TargetMode="External"/><Relationship Id="rId73" Type="http://schemas.openxmlformats.org/officeDocument/2006/relationships/hyperlink" Target="https://news.google.com/rss/articles/CBMiW0FVX3lxTFAwYm5rbTlXQmQ0NWF1NmxKWlpzSWVXVjBjQzJpSExkWV9rOTE3M2RFaHJTSDdtdm5TZDcyNzRnWU41OWdieHRKazNvZkVoVUR6RjFSOWk4d0VLblk?oc=5" TargetMode="External"/><Relationship Id="rId74" Type="http://schemas.openxmlformats.org/officeDocument/2006/relationships/hyperlink" Target="https://news.google.com/rss/articles/CBMiVkFVX3lxTE9EMkxTdmpadzRTeW1wbjFSTlY4c191TEw0Qk9CQ3JhSEUzcFduQW9oazhSbTVpTmtSMWhzUVRMd2ptTzN6QXZuNjhVTDZRMDRsc1B2TGp30gFWQVVfeXFMT0QyTFN2alp3NFN5bXBuMVJOVjhzX3VMTDRCT0JDcmFIRTNwV25Bb2hrOFJtNWlOa1IxaHNRVEx3am1PM3pBdm" TargetMode="External"/><Relationship Id="rId75" Type="http://schemas.openxmlformats.org/officeDocument/2006/relationships/hyperlink" Target="https://news.google.com/rss/articles/CBMihgFBVV95cUxQc3VPSVJUNHU1TVM2S0Z5UzBxTWlxSDlyTWxKSXJHdE43bU11NWdBbm8wR241MVdkZmFESlNXYThySnpTdTJScFppMjQwYkI2a1ZQRXc3bEFPbUxvdnJ5cHZ6dlhWMXZPd1hlRE5ZRlJpcVBVbjBTZ1lUb1NHajdhMWgxbjhZZw?oc=5" TargetMode="External"/><Relationship Id="rId76" Type="http://schemas.openxmlformats.org/officeDocument/2006/relationships/hyperlink" Target="https://news.google.com/rss/articles/CBMi9wFBVV95cUxOM3RZUlkyWE9fVWpVU0RNVVh0ck10alUzN3dfYnBCNC1KNm5jSjJ4SUtFU3IxdjQyb3BILUYwdVFsLUo0RDZ0RElPemZqVjcySTRJMFRLekhTdklMa29RTE5RSU1NRklNQmEwYVMxTGJGX2RJRS12ZkxEZEtLVm5pZUd4ZGV2aGNQWExjSGc0Q2FKQ3NuZUdPNVhLLVRuRW" TargetMode="External"/><Relationship Id="rId77" Type="http://schemas.openxmlformats.org/officeDocument/2006/relationships/hyperlink" Target="https://news.google.com/rss/articles/CBMilwJBVV95cUxPY0ktTWdVc0dRZnE0YWdXYWQyNl9pbEFRVkdaYS01SXZvR1ljeVphcThSb1lHeTdxZkxSS3NfNTZpZ2llZlZUSkNZNVMwaU14amkzM3ZKMV9hSGM3X3g2S2JLbmdQWkM5R0U5YXVDWXdrcUV1bE5Fc0ZHWGk3dzhsV3I4WjdtQWNBUnRpVW9ESEtIWHlTR2ZRejZNMW8yd2" TargetMode="External"/><Relationship Id="rId78" Type="http://schemas.openxmlformats.org/officeDocument/2006/relationships/hyperlink" Target="https://news.google.com/rss/articles/CBMixgFBVV95cUxOM0N0WTdORkM1VnBnSFY5Zkk4VnBUNGZ4djhrOTkxcDhxemlmYjZGM2thZmdOMlRUcXdRM3BoNnVzenJQdFB6Sk9MUFV6SnBqekw3RUoydlp4TERSWmkzemcxdG1sNnQtN2JBeElUYzctT0tJeWtRVUVCdEFqXzluRWx2dHJPZlZjZWVYZmFDdGdac1lreGFSdDhBQl9SbW" TargetMode="External"/><Relationship Id="rId79" Type="http://schemas.openxmlformats.org/officeDocument/2006/relationships/hyperlink" Target="https://news.google.com/rss/articles/CBMikAJBVV95cUxPWHg2VTl2Tmp0dFFob1RCOWR0UXFwakhJSUFIMm8wNmxjckFUOVBzdFJmNFcwLW1kT3IzYnM1SmZIUVIybVRpSFB5T0k4andIalFuNUhNWHIwMDZNeks3elJDdXRBMlRxQmZkN2pjaGVBbFB4NXpCN2FxeXRsT25lVmowVU1lUXdnUXB2bW9sbUpKZmhDdUJGZXZBaW9uSm" TargetMode="External"/><Relationship Id="rId80" Type="http://schemas.openxmlformats.org/officeDocument/2006/relationships/hyperlink" Target="https://news.google.com/rss/articles/CBMiW0FVX3lxTFBVbWdvRGJNV2lGUXA1UlVTWWkwODRNTThNRW5yT2xqdW9rd3I0S2F1UERBaEVFUTFQUlFkSzdtSE5VdFJMbGo5bUtvaEw1QTZGaXVPVEs4bURDV1U?oc=5" TargetMode="External"/><Relationship Id="rId81" Type="http://schemas.openxmlformats.org/officeDocument/2006/relationships/hyperlink" Target="https://news.google.com/rss/articles/CBMizAFBVV95cUxObGEtMTNXSFJSNTd6TTFvX3BZZzhqNjhXejN4dnVWYlNFYmRvV2dYVVgzdUJLdHIxd1V5NVg4R0I4eGRHTEVYV2twWThjRFFYc3gtcnc2UFVaQW5aOHFJZG1QSWozZVhnbGNjMUxyUDBZV2FTNjdiNnNReWY3Ukx3ZFhwbWtDV3dic255T0VRTkRvUlB4Yml0M3J0YlFuUF" TargetMode="External"/><Relationship Id="rId82" Type="http://schemas.openxmlformats.org/officeDocument/2006/relationships/hyperlink" Target="https://news.google.com/rss/articles/CBMizgFBVV95cUxOR1RQZG1Vd1VtdHVrU2RIVVdlcmlmWm9TRGNBdG5HT2w5RW1mandIZFE3MWhfdXhkOUU2bFVnTUtFWnlRNVQ1dmNnSXNtN0tDY0NSZWNBVFlmSzQ1VE81eHgwVHROTF9DQl8xYmkxUEZVZWU4QUJJYk5ZbjlGY005Z1dpc0RiWFhvdFZmZ3lIejFRYWdxNEQzOUhmYnNzS3" TargetMode="External"/><Relationship Id="rId83" Type="http://schemas.openxmlformats.org/officeDocument/2006/relationships/hyperlink" Target="https://news.google.com/rss/articles/CBMi9wFBVV95cUxONV9nOG41cUEtMVMxMFZCcTdKa2xweDhldVlRZnhacUVfRnN3WlZKaUttVGVxNmpOUG4tN21feWtqaHM2S2Z2UUprcVNHNXp5UktKOFBIaV9mSnl1cUlGRUtzVDF0Q3lkYVVHTkM0RVZDTGxxNENVZWJWUGZGdzBwZTNLSWN1MUZ2UlFNVHhIeVlXRXg3YmZwUndqamdQM3" TargetMode="External"/><Relationship Id="rId84" Type="http://schemas.openxmlformats.org/officeDocument/2006/relationships/hyperlink" Target="https://news.google.com/rss/articles/CBMikAJBVV95cUxOWVoxLW9jTER4LWFsZ1pLeF9QRVF4Zjg2UldSbnE5NnIyR2hWZUdrYnNsTkZHN1NzX2t1STNLejlObnF1R0sxVFJxT29nckxuS2s0VXAzbnhRNWJDUk5oUGhITWVqSmMtdjN0eWtWYXNaTHBmZlpXbzFpeGw4MGhhQkJxWEtXdU9LamRRUDl2UFN5MDBQUkxDZHl4M0VHWU" TargetMode="External"/><Relationship Id="rId85" Type="http://schemas.openxmlformats.org/officeDocument/2006/relationships/hyperlink" Target="https://news.google.com/rss/articles/CBMiigJBVV95cUxNREdnczZ0bGx3Ny1PN0EtcVhRMlQ1WmZIbFFFRzkzT0phWHdBXzhyWVEwYnF2Wl9fZ2U0MnNXSFNSaUZUQ0xsUFBpMVpaR2Z6eVBEdGVoSzBIdTZnVnJqUy1PRHhwQnFNMmV0Qmg0UnJ6UWstcUdWZ20wT29HZ3FoSEVxYkR5RkVfb3NsNGJnMFdMQVltLWZha3VKYVJvaD" TargetMode="External"/><Relationship Id="rId86" Type="http://schemas.openxmlformats.org/officeDocument/2006/relationships/hyperlink" Target="https://news.google.com/rss/articles/CBMi2wFBVV95cUxObkcxaTRGWEFWc3djaUxWczhiTWRXYUZsTTZZWnl4VEQ2YjZLcjdJYjNPbWZmSW5qYU1KMkVtNUtPZlFLR0FLejIxZGVtUUNINVo5OEE1ZVRFcWVyQU84enpMWEUyYV9RdFd0MlNLR3ZqY0J2QlJZbEJJcDhTSEg0dWV0dmtnVXFFTlhBdEEtbHcweXNyWDE4VzM0dVJ5V0" TargetMode="External"/><Relationship Id="rId87" Type="http://schemas.openxmlformats.org/officeDocument/2006/relationships/hyperlink" Target="https://news.google.com/rss/articles/CBMizwFBVV95cUxQcHQ3VW5qVGRtSHBaM0hJM0NNM1pndXpnbDB0ekVJY1BnTWpQMkMzbHhyWm5aSGJMOUNuei1UMEViOHpldWN5Z0pseFZJdkpxd3IzeGZrYmQ1ektyM19DUmdLa3JRNHg5RXBHZlJfZGQ0QXB4Y0wtcUhnbmhRWnhzclB5aWtKbWRtb3RSMVRVc3hJaXZqTXVlNWh0dlN2bz" TargetMode="External"/><Relationship Id="rId88" Type="http://schemas.openxmlformats.org/officeDocument/2006/relationships/hyperlink" Target="https://news.google.com/rss/articles/CBMiyAJBVV95cUxOMjdxb29IeWlvSnM1SWJ1dGhFNThsRTVZeWY1WG93cUhzM3ZoWmNLbkppMWt4MVlZeE5UU0RMZXk4eDBaN2FEUU9yc1J3bFRRa2ZZTkxkTml1Q09QclEtbmtrSEdxdmFacF9ZR1dLY1B0M0poOGdKcnd5RGRXZTlWR19URW9zVWRBY1pxeTNkZ3I4T3RITzg1U0VadE5ULW" TargetMode="External"/><Relationship Id="rId89" Type="http://schemas.openxmlformats.org/officeDocument/2006/relationships/hyperlink" Target="https://news.google.com/rss/articles/CBMiwAFBVV95cUxPd1FUb0tENXNYejBJdFVCM2R5ckloTlJ4YWlHN3lLandDb2tkWjFyVk9tSUJZT3dqbUVxbHRPZVhHWk9aLWx5YXg0eERyeVpsbDNuRmM2aWhKWnZDNVdrcHRfbmlWbHR0T0E5SV9ZTkJyaWNSZ0EyZVdrUk9KcXZEY0hMS2lYeVhZaFBpTUJ0dElSMWYyTUVFY1JuaGFSel" TargetMode="External"/><Relationship Id="rId90" Type="http://schemas.openxmlformats.org/officeDocument/2006/relationships/hyperlink" Target="https://www.gelonghui.com/live/2609608" TargetMode="External"/><Relationship Id="rId91" Type="http://schemas.openxmlformats.org/officeDocument/2006/relationships/hyperlink" Target="https://news.google.com/rss/articles/CBMisgJBVV95cUxPSjlucTdPTHlFQUNrQkJfcWlGYmZyQXl3cFdDMGJZOE8xYk0xUTNZUEJiWUlpZ2lKM0ZfQ3lQc1dTbzhJRGVSRVZpS3VsUDEwd3hHcDFEVUJqdGp0b2JjaDBBRk9YQzNYRDIyT2g4bE5vTHpmYi1xdFNDTm9VZktrSU5ZS09FbWZXaXZQZHhXeVdVdjM0MERtTHdfODNyM1" TargetMode="External"/><Relationship Id="rId92" Type="http://schemas.openxmlformats.org/officeDocument/2006/relationships/hyperlink" Target="https://news.google.com/rss/articles/CBMi5AJBVV95cUxOT29SLTlYSlNJRVpycTNoOFFkdVkxU1M2UE1FNGJrY3lOQVJqZkN4d19xNjdaNFp0bnNMX3FxZTkwRDRVc3AzSkRyb2JDMEJhdG5oTVIzSXZNS3VpV09zakk1R2J0QnZQaEhqLUtLSnJreTlrckpCNTRWSkxPYWNIS1UtQWowZnpiakMtbWY1d0xzQ0l2a002Zk9VOXZkMF" TargetMode="External"/><Relationship Id="rId93" Type="http://schemas.openxmlformats.org/officeDocument/2006/relationships/hyperlink" Target="https://news.google.com/rss/articles/CBMiwwFBVV95cUxPRXpFcVVJRzZhdVhuZUZpb3FwWWdobjFLdTV6RmJtanQtSDRVSjlXMW92OVpfYWF0M1NOemlOcTR5YVNmOFVJbTd2T2pJdjNIel85YmNHeEp5TGdMcGtzT0hOZDQ5WGtTU0ZnazN1dDhJRnhsVzM0bl9Pak1WQnJKUHpMX25zbXpiLU9sNWw3VWE2dmVKOEJoUi1ETUd0SG" TargetMode="External"/><Relationship Id="rId94" Type="http://schemas.openxmlformats.org/officeDocument/2006/relationships/hyperlink" Target="https://news.google.com/rss/articles/CBMi4gFBVV95cUxQOTNYeXpzUUV0cUJLVUJUUXN3QmstZE5lWk4wRTlabERia2hVd1B4RUZkQUhhZXJlMmFYUDliSl9yT3FnT0N6ZERNZU5nSFNSTU1pdVU1ejhKUXpBb1c4OFhvMTNySk5KSHRJZ1BkOHhyaGkxSWlKOUliWEZCdjVjTXdURkExOTZMbUpjUGtRTGVGU1BXWUpFWUFQSmFvYU" TargetMode="External"/><Relationship Id="rId95" Type="http://schemas.openxmlformats.org/officeDocument/2006/relationships/hyperlink" Target="https://news.google.com/rss/articles/CBMirAJBVV95cUxQdEViS19va3JsU2hWZGc5WUJpNnBwRlNqVnUxS0puWkNqY0tmZEpZcVBmWG5jeXppZkdFdTdGdDJZc21BcFJhVXZoZnl6S0gwQ3phczRGLW41QnlucDV4eEZzdV9CczdKVWZ6Yk1fdE9zaG1TUVQzNGZlRm9wYlZ1cGRtOEg0X3VSMkN6OHNLZVhzYTN6ZTY5VUllXzNqan" TargetMode="External"/><Relationship Id="rId96" Type="http://schemas.openxmlformats.org/officeDocument/2006/relationships/hyperlink" Target="https://news.google.com/rss/articles/CBMikgJBVV95cUxNYjl1TlJYLXZ0MHpnZ2ZjdlNVVTg3Tk9RQTR3NkNnbnBJa2EyTWZpQlJxM1VhS0FCWDl4ZTg4WnhoZHVGNE1KVERUXy1VWHN1ODI3YndDbzJLWjhXRjY3MEVTaTdiQ0JEM185a09rLWlnWXNDdjdsT0Y5Tkg0VE8taHRQekFBTzBzZFdSODhQajIyVWw1Z0k0OEdENWtEdG" TargetMode="External"/><Relationship Id="rId97" Type="http://schemas.openxmlformats.org/officeDocument/2006/relationships/hyperlink" Target="https://news.google.com/rss/articles/CBMilwFBVV95cUxPRlZ2dEdEQWg1b00yVXAxYlNaQUplT1M0UkhydGtQaE5OOEpMaVM1enBKdnI3S2NDbllvcV9HV1pFUHlJSXhucmhrWnNycDdQR0VfdERGRHlubXJQenFTSEh1OGY0c2w1Qjk1VkI5Xy1GbURKSG5PelNFWVpkeFYydEQ0WVNudFVmbFpob2NkWWk2dGFUWDdz0gGcAUFVX3" TargetMode="External"/><Relationship Id="rId98" Type="http://schemas.openxmlformats.org/officeDocument/2006/relationships/hyperlink" Target="https://news.google.com/rss/articles/CBMiqgJBVV95cUxPOFFod3BKVGlocHFfaHBEcW1FNW9DN0lWWEJSblVieExhOTBJYWQ3MlVGQVhvclNhQzFEZmlyMjdUWkVES09rNkZQV0Q1bUNxd19mNmFFZi11M1NfVXN0VFZDV19jbFo4ZTY4MXlQR0RsN1VBZTExbGNvaDhmZk0wbnV0ZUF3MTFtQUNMYWhuTzFmVGRzekc1NVJxUXhrTE" TargetMode="External"/><Relationship Id="rId99" Type="http://schemas.openxmlformats.org/officeDocument/2006/relationships/hyperlink" Target="https://www.gelonghui.com/live/2612057" TargetMode="External"/><Relationship Id="rId100" Type="http://schemas.openxmlformats.org/officeDocument/2006/relationships/hyperlink" Target="https://news.google.com/rss/articles/CBMi5AFBVV95cUxNNWI4aFBQLXlUMTk2RnNEeWg1M2pSdEo4dUo4UDYzbERsM1BZa1ZTWnUtQ3M2Y1FWcXZ2QjVBWGlNalZHWkh3Rl96SmZiWDZCSzJfN3RyaHg0NUJRb1Z1UnB1MkpqNFF4NHJFTVhkSVVLWnVNc0hsT1FpU3FwNFBTejFJaUhLZHdZQ2d6ZExHYXg2QkkzZk9ZUUxlRTh4bV" TargetMode="External"/><Relationship Id="rId101" Type="http://schemas.openxmlformats.org/officeDocument/2006/relationships/hyperlink" Target="https://news.google.com/rss/articles/CBMisgFBVV95cUxNMEZDVW82R0xEZjJfbll3NF9wMFg4VnNJWGhlNTB5N1VLdFRPMzl3ckVVMkpVdFNLcDBtakNRcU5OcEdQQWEyTks2enlOdVppQ2VDd2dDekx5QjZoX2VaaDE0UUFFbFNsREdXX1hWMTZrNVZsb0tIdTd4eWJpNWZ0NmhDdWZWUDByLWZ5T3BfYnprcEVkMWJ4Z05GWFAyUH" TargetMode="External"/><Relationship Id="rId102" Type="http://schemas.openxmlformats.org/officeDocument/2006/relationships/hyperlink" Target="https://news.google.com/rss/articles/CBMiiAJBVV95cUxQZlBfcENXdVFQRU9CVkotOVZCaWd6elZRUE5vSjVKSk1SUWtmLVh3UlZuWDNWampVazZzZUxyV20tZllUWTc2a2UzRnhzTXJSaWlWem92U1REVmRhbGFuRFFOdmFrRHJQMFFUVml3R0xHelAzY3BxeV9QYUd2bnp2cGJ2UkFYRkFmZl9XSVRQd0M0ZEY4VkgyNE8zdGVQYl" TargetMode="External"/><Relationship Id="rId103" Type="http://schemas.openxmlformats.org/officeDocument/2006/relationships/hyperlink" Target="https://news.google.com/rss/articles/CBMiiAJBVV95cUxNbEhDeXVVQ1lZTzRfREVlUVhlRVkyVlhTZ09ZMGRpbldTRWJSTFRfR1VkSjFKNEJkeHRleUo5ZDNyYUJLSTN0WnE3WWlvM3drSXZPRUY3ZDJTdmpjZnQ4X1M5SUhSTl9JQV9pSEp3cWY3RF9HVDJ0RGlMcEdOVnRGUmZfemk1Vnh4SWdTWVU4WUFLRl9yMXBKYzItS1l0NV" TargetMode="External"/><Relationship Id="rId104" Type="http://schemas.openxmlformats.org/officeDocument/2006/relationships/hyperlink" Target="https://news.google.com/rss/articles/CBMigwFBVV95cUxQRFdBNTIzM1c2SFNPYXdJQmpaS3VRUUs0TWlBbUZVY1ZvUUZHYUY1QUQ5eUs2VjFnUzdsLXhjVHNnV2UycEdiU1JCazUyNnBseUdna1pEeGpmS3pwWGVWZlFnckRzVW4tZ2Y3MHVDZGlNUUNzalpVSUdqQWtNangxaEUtQQ?oc=5" TargetMode="External"/><Relationship Id="rId105" Type="http://schemas.openxmlformats.org/officeDocument/2006/relationships/hyperlink" Target="https://news.google.com/rss/articles/CBMi1wJBVV95cUxPRy1qb3p6SDlCMG5YaGI5SG1odzZ5MEtETFYteEtVbi1TNWRwX2s5UUFjZlhCQTEyUmdmTXBMYWFMWW1NWEkyZnBESTVlRS1mWjVwM3pidlRDV0EyQk94YXhIUURRNkR2N2sxOTNOUkVVSnZaMXFtdEt5V2U1TW1tWVNwX3BuN085U2tWMFp5OGs4WkxzcVdtQU1HblBQZC" TargetMode="External"/><Relationship Id="rId106" Type="http://schemas.openxmlformats.org/officeDocument/2006/relationships/hyperlink" Target="https://news.google.com/rss/articles/CBMihgJBVV95cUxORlRvRGdpRmlpajJWZXJJVjNodlpDazdlX3YxRl9paTIwUmFCcl9wclY0dXk5Y2dNR3d0TGxiUnByajNTUE9kNFgwaG5FamNYMlFFXy1QelJrLWZ4bnJGcGp1bVlENFhXTnlLQUgxd0xaM3RiM3dIN1JtY3I3aVYwUDEyOVFiREdDeUxtbU0ydVppekFxSVI0N0VkdkV1MW" TargetMode="External"/><Relationship Id="rId107" Type="http://schemas.openxmlformats.org/officeDocument/2006/relationships/hyperlink" Target="https://tw.tradingview.com/symbols/NASDAQ-MU/news/" TargetMode="External"/><Relationship Id="rId108" Type="http://schemas.openxmlformats.org/officeDocument/2006/relationships/hyperlink" Target="https://news.google.com/rss/articles/CBMiwgJBVV95cUxPblB0aHY3Qi0xS2hJSXVGd0FmTkxQenZhZFRsNTczSk93cHN3eng0TnYyNHpMTHdZc2FnaFFBT294OHllNjd0Q2Y3bDYtT3BEaW5Gc2x1YThiY2VKcm9aSjFxRm9xSWJSRmlwY0h1dW44TzFEc0NmMng0b29rNzhpWUxzNVJKd3VURDNxQ01DWnlicVBQczdsNC12VmstbV" TargetMode="External"/><Relationship Id="rId109" Type="http://schemas.openxmlformats.org/officeDocument/2006/relationships/hyperlink" Target="https://tw.tradingview.com/symbols/NASDAQ-AMZN/news/" TargetMode="External"/><Relationship Id="rId110" Type="http://schemas.openxmlformats.org/officeDocument/2006/relationships/hyperlink" Target="https://news.google.com/rss/articles/CBMiogJBVV95cUxPSmJWa09MbzhpTGRKN2JfaExKYlVoS2RWWUVweC10ZWZ6TkJLNnJlNjZkZ3c4cjR0MjdpUXdzLTBnbVJIM01vaUVqYlRvWFhaMnB1OEJmb2tIUkdRYU5XdmVGdlYzbC05LTRDQUt4Sk5VakdIUDVkR01yUkhUbTNHSHBwR010QkZyd1Zac25QWW9wbkpScV9XcE45eGlET0" TargetMode="External"/><Relationship Id="rId111" Type="http://schemas.openxmlformats.org/officeDocument/2006/relationships/hyperlink" Target="https://news.google.com/rss/articles/CBMi0gFBVV95cUxQY3V1aFc4ZjFwZUlmQWJiV3hMZTI3SUFMVDJkdXBCU0tjbjVTdXlENU51SmFwSnhMZW1Ha0hzNDNkM2hnMEN4SGl1WWtSd01Ma0hJeUR0SEV1SFlFRC1sRjhqc3dNaXkxa2VkcTBwZE81bDVCYVZRd0tYdGxQNi1PM0J5MXBsWU54QWg0dkJEbTIxbWV2eElzYWFxeE1WcF" TargetMode="External"/><Relationship Id="rId112" Type="http://schemas.openxmlformats.org/officeDocument/2006/relationships/hyperlink" Target="https://news.google.com/rss/articles/CBMi5AFBVV95cUxPYTRpVkpjZkxxY0JlcS1TeUVvaGRDRzUtMzFDMFFGRUZkYjNQMWFLOUVjdjFlNUdsMUNsRE5ZSWhUTHJYcEdNQmxuUFM4TC1PNENMTUQ1WVJDTk9YcmlGY0szRThtdHM3ZXFUVy1BcGhfQnB1RW1zNWtDTHk4ek94MzZ3bzBFbkdZZHFZZzNjMXI4b2FsQXpEUkktMF9iTU" TargetMode="External"/><Relationship Id="rId113" Type="http://schemas.openxmlformats.org/officeDocument/2006/relationships/hyperlink" Target="https://news.google.com/rss/articles/CBMizAFBVV95cUxOVHRtRTBBYzhYUUFHdjNLMDE1dElFNVJ5RTFYR1gzdWRRT1dFZFFnT3J0VXp2VC14UFQxZGV4N0tEX3UyLWF5UHY1dlBEM2FNNFhUeHlDM0pRRGg3WnFDSUtnUkxrMDVhNTRqNDdUanlDTFA0N0FRRnMtZS1uZ1Y1ZkJXVlFaOGlFaGZ4a0hXdG9Rdlp5djY4bDhRWkp4ZG" TargetMode="External"/><Relationship Id="rId114" Type="http://schemas.openxmlformats.org/officeDocument/2006/relationships/hyperlink" Target="https://news.google.com/rss/articles/CBMivgJBVV95cUxPWXhxdUZaMXlselpOQ1NzRDBabk5jdFIwXzBOaklMenJRNG1DYmJCX3NmaVZTeDYyOXFiM2lyQzJiZlZNTU1kbUR4NUdNQW1XWHZwS2hFTjhyX0VfeUdhZFQ0alJWTWZtOUFkSUxyWkxrcl9ZV1NhU05kR1ZFSVNRMFJyV3VhcF9JQmhCMFhGZlgyeV9uZjc5WG5oMVZZY2" TargetMode="External"/><Relationship Id="rId115" Type="http://schemas.openxmlformats.org/officeDocument/2006/relationships/hyperlink" Target="https://news.google.com/rss/articles/CBMiW0FVX3lxTFBsZlRfNXdiVjV3OTFrMGNxM2JOcmVOY2tWQloxeXJuZWJhenJmblc0VC1sOTRkZWxIeEhfNjR0T2tvTmJYLVJDd29HbWczMVkzNWZkUTNjQ2dBTHM?oc=5" TargetMode="External"/><Relationship Id="rId116" Type="http://schemas.openxmlformats.org/officeDocument/2006/relationships/hyperlink" Target="https://news.google.com/rss/articles/CBMiiAJBVV95cUxNZlJ3S0xCR2RwRHY1djNQNnYyX29Vd1YwUXhoNGkzWG1vRkxtck9Oamx3WEFCQUZiQVJWbnZBNFJYTm9fRklCVUpnQTVFb1ZQVVI2QW5sdnVlUmJ2NkdIZHRNc242alowMjFMdDA5ejd6eVZpRDB6X3NBTnpISU1FSUZkWlgyVmc1Y1JZbFFwckFwLTVQbmVTZHpocjZuWk" TargetMode="External"/><Relationship Id="rId117" Type="http://schemas.openxmlformats.org/officeDocument/2006/relationships/hyperlink" Target="https://news.google.com/rss/articles/CBMizgFBVV95cUxOQ1kybWpYemNLWEFXdm9Fc1hnR0pOWkNqWkluSWJFMWtkRmNKMDJLRUs1dk5OeEdWSGY3LUZFUVU1cms2dkJaODZDVTdXQmlWTkxQcFcxTVJtVURVbk5zMUhWdkJaeEFIcFRNcjRQUzl5dWJnTDdjWXdFdWlmWF9pTkJvNngwVVhxUE8xMnlMMnJPUFdWMkVSMWpZaVlRWX" TargetMode="External"/><Relationship Id="rId118" Type="http://schemas.openxmlformats.org/officeDocument/2006/relationships/hyperlink" Target="https://news.google.com/rss/articles/CBMiuwJBVV95cUxNQlFEaVkySW9lWldHTWR0aXdTaVlOeC0xRFpMVjRSUWxlbHNUWXhULUFUTFVEcTVkQnpsN1pSTW4xSjB6ZlNJZGczTlQzcnhWbjBhMXRiZEFaZXIyMkg1M2dISFBfM1NJTC1mQzA0dVFKRmk2ektJR1VnZGczdlFMbG1BYkt2WUZlNXBSdm8xUFM1WlBGdzM3NHoxZV9XZG" TargetMode="External"/><Relationship Id="rId119" Type="http://schemas.openxmlformats.org/officeDocument/2006/relationships/hyperlink" Target="https://www.gelonghui.com/live/2618626" TargetMode="External"/><Relationship Id="rId120" Type="http://schemas.openxmlformats.org/officeDocument/2006/relationships/hyperlink" Target="https://news.google.com/rss/articles/CBMilgJBVV95cUxPZktiZ2wzc0Npa3pSZTBHbnRVcEMyN01BNTlhLXBZaHlGRWllOHE1a1EzU3BlNEhLcEpoWjBYLUR0SzMwV1pxaTFnZXlQVXBkMUh6N0Fya0h2NkFGQlhEdjVOcWVxZGxfLWRKSWRsMjhzUkFVdjFuNmR2LVc1MXJCWWlnWF9WbnBDc0VBVnc3eTNDZ1ZnWGc2NEh3ZU9UWE" TargetMode="External"/><Relationship Id="rId121" Type="http://schemas.openxmlformats.org/officeDocument/2006/relationships/hyperlink" Target="https://news.google.com/rss/articles/CBMiuAFBVV95cUxNalRFZW9SYUlfeVpYRXU5ZWEyRW9Fb1ZEb0FnYU1vNnVOT3NKdS1qVGJCNEx6Nzc5aTgwQ2lCYTQtUDU3emNtRGRpRXJZbEptSUZIQnVrbzBfMmllaW8xa25JUVlNd0lFRXpLenB0WVotU2F6aEI2eDdVclQ4TXRmMDFOV0ZfUVJSZGlxUEpuYjZzSElIX0Z5ZVV3UGJyQU" TargetMode="External"/><Relationship Id="rId122" Type="http://schemas.openxmlformats.org/officeDocument/2006/relationships/hyperlink" Target="https://news.google.com/rss/articles/CBMiygFBVV95cUxQX3VCSTR5X3V0N09Va1ZZWmNETkFiMkhGQWhFemF1MWhadUhxRW9Ed00zdlV2cGNUZng5c2U0azU5bmM3c0UtQThpaHk5UHlublZqRTBzVmhNa1dMMjU5NU5EemxlZWRfOHo3U2tTVG1YQlh4X2swZ2dNZjNjcXlzNE5VTUpHaXU0Y1VoM3cyNDlkVlpQLWtOaExGamVOY0" TargetMode="External"/><Relationship Id="rId123" Type="http://schemas.openxmlformats.org/officeDocument/2006/relationships/hyperlink" Target="https://news.google.com/rss/articles/CBMiqgFBVV95cUxQVGFJMndFT0FkV2Zfb1I3Qy1hQWFGV2tWVzJONzM2ODFLR0l3bjVhX3dCWVo4dnlMaERVYWhDVTB4dTlUNG1TMHJFSjZEcUgyR3kxSFhIb0tnWDVFRDVjeEcyTDBnV0ZWME5BMmxPbHl6NlR2Y2p0R1hkWDVtcDJ5dmJBcEJWMEpwQV9URi10WVVFMk5aYWR3bGJjNGhqZG" TargetMode="External"/><Relationship Id="rId124" Type="http://schemas.openxmlformats.org/officeDocument/2006/relationships/hyperlink" Target="https://news.google.com/rss/articles/CBMirwJBVV95cUxPOUZMNDZmM1lPNFFKelBOQ3kyRDBQOENLY2JHNE5VbWhBbmN3N0Z1aGFmTVdrcjF2aTJaTDlZSS15cVk2ckNLeU1haGpnLUFPb2xCb2FLb2Z3b1cwMjdBZDZ5WmoxdVNYcGYtMWJjRTFyRFMwOGhsa1ozLVhfU2hoUXdxdVYzMXpqelNXelFqclpEeGlzUXJqbkpUUnhaOW" TargetMode="External"/><Relationship Id="rId125" Type="http://schemas.openxmlformats.org/officeDocument/2006/relationships/hyperlink" Target="https://news.google.com/rss/articles/CBMie0FVX3lxTE9mTl81MjBxWW1ncEJ6S2hWNUFLdzdZaDduOElPc1FhTmJ0VHlQUHViOVNQWThCWC1JemU1QkVmbE05d2s4V3N5Rm9NWGwxRFdoUzAtS2JhQkdLNWZ6bkJDS19PdWtQaF9aanM5M1R1dWJkeTdTeFRXZk1QOA?oc=5" TargetMode="External"/><Relationship Id="rId126" Type="http://schemas.openxmlformats.org/officeDocument/2006/relationships/hyperlink" Target="https://news.google.com/rss/articles/CBMi1wFBVV95cUxOV0tZQUdjZmhXS3k3YmU1UWFEY2NRWEJWQzRrekhxdFcwZTNicF84TzdiMTRVdnRZSEZyY0UxTzJMazhVRUdPTUhmRU0tR3ZpUjFqWk9vZmhjMXlSdFVkdmIxNGVaa3BqSWVDWGJFRTZaekFkZTk0M0QtUzRCUFhaMVBlWUFXZENSUFRIQkZZbVFtN3lVWFY1S1ktZlZMaF" TargetMode="External"/><Relationship Id="rId127" Type="http://schemas.openxmlformats.org/officeDocument/2006/relationships/hyperlink" Target="https://www.gelonghui.com/live/2624496" TargetMode="External"/><Relationship Id="rId128" Type="http://schemas.openxmlformats.org/officeDocument/2006/relationships/hyperlink" Target="https://www.gelonghui.com/live/2624374" TargetMode="External"/><Relationship Id="rId129" Type="http://schemas.openxmlformats.org/officeDocument/2006/relationships/hyperlink" Target="https://news.google.com/rss/articles/CBMi0wFBVV95cUxOU2gyTWQ0ZnNBbHZ4N20waVVWNi1RZUsxMC1QNG9sT1FnelpqS0U1VkpHd1Y2bldEZlZ1YU1aSnBDUGFDZDc2ZS1SNUhYM1JhMkVNb3BHc1N3MFB5WFhIdTRYS0M1Y0hoeHVKLXg4d1RsZWVkSE90bkk2dTFXUnZHQzh5Q2N1Ym4zWjJIb2JzUlR1bG1VeHVudF9lbi1JaH" TargetMode="External"/><Relationship Id="rId130" Type="http://schemas.openxmlformats.org/officeDocument/2006/relationships/hyperlink" Target="https://tw.tradingview.com/symbols/NYSE-DIS/news/" TargetMode="External"/><Relationship Id="rId131" Type="http://schemas.openxmlformats.org/officeDocument/2006/relationships/hyperlink" Target="https://news.google.com/rss/articles/CBMijwJBVV95cUxQTGJNY0lvNl9HUGY1NWdDSWxZa3I4a04tMlJNcm02ZW1zVlR0MGY0bVZVdzYtUXBhQXlIVHZZcGI0SVVySW1pYjBpdnMxdkVHRC1sb21CdGxrVEN4M2RTVWJrcFpHdmxNNkJKWDhWVVZJanZOczhhcFNCSUhqQzd1MWlYZzBlOVg3TnduREZLSk5GVHIxajZxZjZtTTJfYz" TargetMode="External"/><Relationship Id="rId132" Type="http://schemas.openxmlformats.org/officeDocument/2006/relationships/hyperlink" Target="https://www.gelonghui.com/live/2634384" TargetMode="External"/><Relationship Id="rId133" Type="http://schemas.openxmlformats.org/officeDocument/2006/relationships/hyperlink" Target="https://www.gelonghui.com/live/2632842" TargetMode="External"/><Relationship Id="rId134" Type="http://schemas.openxmlformats.org/officeDocument/2006/relationships/hyperlink" Target="https://news.google.com/rss/articles/CBMi4gFBVV95cUxQSUs4dzBEcFFhNWJjNmRuTFVLUHFIbTNVNk1BRTUtVy1LMWllMkt4eXJpYXozQ0V4RXMza2pEWk1jWTNJanVlTVMwWDN4NkdwOTItdFVCdmE2WTZmTzFPZmYyT0tpanpuUk5reVpYcGZtUklUaDNrTFFNbzJoUEliTzRGZVpER3RKREJuaWxYWTlPRmp5NXlzME02c25YbV" TargetMode="External"/><Relationship Id="rId135" Type="http://schemas.openxmlformats.org/officeDocument/2006/relationships/hyperlink" Target="https://www.gelonghui.com/live/2636223" TargetMode="External"/><Relationship Id="rId136" Type="http://schemas.openxmlformats.org/officeDocument/2006/relationships/hyperlink" Target="https://news.google.com/rss/articles/CBMi-AJBVV95cUxOdjZZemJ1VDJ0emtGZVd1ZzBOZVlaclFuMHpaNHZwTXIxVDVfZlZUVUZKQzIzX2x0Q3l3RUZaa1g0VDYwcW5EbmQ5czlEenVvdHhNLVVqbkowQjlCQ2s3X18yU0pvczU3eHFuYUZkaVJ3N2FxTlVFaUkxTzJQXzc0NGxSRUtTZkR4MzdDUVNhZlRzdFUtVmUxMm45bWp2WE" TargetMode="External"/><Relationship Id="rId137" Type="http://schemas.openxmlformats.org/officeDocument/2006/relationships/hyperlink" Target="https://www.gelonghui.com/live/2635016" TargetMode="External"/><Relationship Id="rId138" Type="http://schemas.openxmlformats.org/officeDocument/2006/relationships/hyperlink" Target="https://news.google.com/rss/articles/CBMinwJBVV95cUxPX0N5b084TkpHLTByOE0wZUs1RmtmSnNFUkVPbnJGWUhWMkVYVFBZQm1fbkw3bFlkREZSSnRLNWNKMExMcVl0STJsb3pSWXFLRDBRMDBaY1dHYWJYdWxZbzF5ekZZaWR3WmI3ZWtON1ZGTVRBaHlkeFVibjY2R1JITy1sTUhPUlNlV3Nvd2NjVnUzaHpraGhMR1c2NHVFV3" TargetMode="External"/><Relationship Id="rId139" Type="http://schemas.openxmlformats.org/officeDocument/2006/relationships/hyperlink" Target="https://news.google.com/rss/articles/CBMiiAFBVV95cUxOZkRES1h1bGJFM0N3UWdkblhRdEw2bm5qM1o4RWo0aWNiX2NwNnd3dUpUTFk5M0dKOFBDSk0taW1iRnhJVm9CckdvNkdvN2c1MjRLNUdTRXluZjhCcjZERXB4bEJfN1pCZkRWMFB2UWRzY25SbzY3UXRFOEI3ZVhFaFE3T1pNSzVU?oc=5" TargetMode="External"/><Relationship Id="rId140" Type="http://schemas.openxmlformats.org/officeDocument/2006/relationships/hyperlink" Target="https://news.google.com/rss/articles/CBMixAJBVV95cUxQOFZVeF9XRFNleFZJLUhSYkoxZUZISUdLUWk2NlBQdUd0V1k5V3h2TGNIREtMc3BjWG1rbnRodkc1alZRS2lUZ1M4cDlkZ2hqX0M3V3N3eTVEZjNKM2JZV1NQSDVwMU1aT3owRjFNQ0NmRWR1LWFiRGg2OE1PVVVYVm9leHJmYmtLdmNZTTR1c3R2WW9ydzFGcFBIYWcySk" TargetMode="External"/><Relationship Id="rId141" Type="http://schemas.openxmlformats.org/officeDocument/2006/relationships/hyperlink" Target="https://news.google.com/rss/articles/CBMimwJBVV95cUxOWFNsdUU2TVVXU2t6djFQQlpqMFpfcWtXWnJHZ3NERzFGa0xzUWFEdlIybnpZNzFnVl9TOWxMa2M4N19GYXl0cW5GZU5nR25hZklFc09nUGtKY2FZSERlUEZyTDAtTHhOa1lBWjJITUl2ejhtTWc1MUxMZFpIMWx0WEp2T2d0VlktNnd0NVZpeE9kaUJ2NXVRNG9UQThRaV" TargetMode="External"/><Relationship Id="rId142" Type="http://schemas.openxmlformats.org/officeDocument/2006/relationships/hyperlink" Target="https://www.gelonghui.com/live/2640082" TargetMode="External"/><Relationship Id="rId143" Type="http://schemas.openxmlformats.org/officeDocument/2006/relationships/hyperlink" Target="https://www.gelonghui.com/live/2640082" TargetMode="External"/><Relationship Id="rId144" Type="http://schemas.openxmlformats.org/officeDocument/2006/relationships/hyperlink" Target="https://news.google.com/rss/articles/CBMiqwFBVV95cUxNTlYyS3BtUXprYnA2SHVkREJoSW5EUmV2UjdFLWtfY0lReW9mNnFfdHV6d3dEaENwUEdTZnFTenJWNklfMjdjaTRQRDl0RzB2SFEwMVdzNXhfeERHSDQ1dTJTVzZKdmlvcl80aDlPYTZfbnA1aWlRWnRzaXUwTmk5bUNZT3hYT1ZnaUVNcllVR3pSSllGdldUWnRoT0FWZz" TargetMode="External"/><Relationship Id="rId145" Type="http://schemas.openxmlformats.org/officeDocument/2006/relationships/hyperlink" Target="https://news.google.com/rss/articles/CBMikwJBVV95cUxOTlgyUnVFakdSSGI2RTlJTjg0X20wWmZ0WGZsaDh1UFJzTlJZZ3F2UEpBcFZFaVA5bGhEQTJfb3RJRmltMVBaOHNYNEdaSFd1NFNET2p4UENMTjJxWmdFM082Vnh3YnJSWi1VYWZRejhCY0FUMm4ybjQyNjJJbU1GQlJFMUNJLTYwaWp2a29MSG9KUUw2WWpiYVR3Qk1GLT" TargetMode="External"/><Relationship Id="rId146" Type="http://schemas.openxmlformats.org/officeDocument/2006/relationships/hyperlink" Target="https://news.google.com/rss/articles/CBMi8AFBVV95cUxNd1hhd0pKTFZzcEEtUHhjWnZFM3BNaldDSjd2eEl0dDF6UlNIcllvSHZLVWZIcHlNc2V6NnZ2NkJLT0ljdkhPVnRjQl9HNzY5TVQ4d0VkeWJhaWQ3cldYLWx4UzhMSkVHZkJScEtDUVVzWTF5eXRnSTBXQ3ZYZ3FJejVrRzNHY3pIcU1hSkw2NUtTbG9pME5aME01REx4Ul" TargetMode="External"/><Relationship Id="rId147" Type="http://schemas.openxmlformats.org/officeDocument/2006/relationships/hyperlink" Target="https://news.google.com/rss/articles/CBMimAJBVV95cUxPXzBrSXlpcnB2aHdJT19lQlI4WWVnMWZLeXNRc2c1ZnUzZ1ZLQ2M0WEVBQkZYTVdkMHVRSzNsNzFCM08tbk8taUthT2dzbzBvUkQ2ci0zb0VkdTc5NUtvV2dyYmVubGlEQldSZm5HMG1qa0NRMGxOUldjdWU3MlRXUnpyMnhwZFhyRU13UEdydDFvbmtLOXJSd2lXY2xlcW" TargetMode="External"/><Relationship Id="rId148" Type="http://schemas.openxmlformats.org/officeDocument/2006/relationships/hyperlink" Target="https://news.google.com/rss/articles/CBMi9AFBVV95cUxNNDFCNDBrMU44dGxGQ2pyOUd1QzVnZnRxOXRoYnlBaEVEdGloSFdUMFBSazJGTnhSOFRKNGZsdUdpZUEwbmxhYUxScDF2Zmstdy0tYlBtS2dHZjZ6ajFQcnd4dG15TWdMUHNzOVhmOGx5MzBqblJGWU5sYjl2NlFQbjlmOWZXSUZsZDF2Rk5yTUN3MTlzV0hrLW1YNGhkWU" TargetMode="External"/><Relationship Id="rId149" Type="http://schemas.openxmlformats.org/officeDocument/2006/relationships/hyperlink" Target="https://news.google.com/rss/articles/CBMisgFBVV95cUxNZlZ0SFNQcHdJcTZpRWtEaDNBQkd0cG1DZWRyQi1SQ0k1WFJMTnpvaWxCYjllMHd4RW1jSWhuYUhEMDhBQTJVRmtMWlZ0YkRxUXJVR3p3OHJ3SldsSXVUVkYtZXUyOGJpdHNLblRxaS1WcV93emZJeDJJaUZybWpoXzBlWm9lSkE2SGl0TDF5LTNRSDVhOWhPVTZPeUxFQ3" TargetMode="External"/><Relationship Id="rId150" Type="http://schemas.openxmlformats.org/officeDocument/2006/relationships/hyperlink" Target="https://news.google.com/rss/articles/CBMiugJBVV95cUxNeUtZeThJWjBFMXUxUGNaSUk3VWhiN0FHTVNMM3R3V0FnVm41MzVZWW1WOFVUbWZsZXYxak1BS2RvdFR6RmFwMEVxOFFWQkJDeDEwNW56bGp6UDNBVmg5d0t3RUNLTnZseUVSbkpVZ3g1Vzd2aElEVVZQcmRuWmlaU1ZOQzBQZHVaYWdWazIwVDgtRXRvdndXMmNLMjVKcE" TargetMode="External"/><Relationship Id="rId151" Type="http://schemas.openxmlformats.org/officeDocument/2006/relationships/hyperlink" Target="https://www.gelonghui.com/live/2643776" TargetMode="External"/><Relationship Id="rId152" Type="http://schemas.openxmlformats.org/officeDocument/2006/relationships/hyperlink" Target="https://news.google.com/rss/articles/CBMimwFBVV95cUxORzdZSjRjYmZrekVmb3l1OWd4VlBnckkxY3N4Q1p0SXR3dDBhclAxMm5iWHBXM09GdFo4Vk9USEJ2U1dpcjdRM2NNNF9oVGdER0x5a3V5QUgwRy1lczZfRmNTRnBUR0x5QjhfS3h3OHh2aUUtVjVkSkVkdDVScXVRcG1yem51RnJoVVVwdVFxQlE1WUJ3ZGV4ZTd6TQ?oc=" TargetMode="External"/><Relationship Id="rId153" Type="http://schemas.openxmlformats.org/officeDocument/2006/relationships/hyperlink" Target="https://news.google.com/rss/articles/CBMi9gJBVV95cUxQTm94UTdzbVRrSFZlQ3FsOHFMa1l1ZVNFS1lqYzhrVHJpR2hCeHdGVzA2UHFWZDA1bmRMVWV1WEF4Wk0yLUdsUnU0T2FaOHFBNlVJNUxwa0hFMzhFcTV3MEo3Uk9XZDMzZ3VsUk9pcVN4dmhCTmVSa05hd0tfcVZFdVR3TWxCNFpFTWhEQVNrSDIwTllpQ1hQTTVGeHdSeW" TargetMode="External"/><Relationship Id="rId154" Type="http://schemas.openxmlformats.org/officeDocument/2006/relationships/hyperlink" Target="https://news.google.com/rss/articles/CBMioAJBVV95cUxQYjIzVC1LUjE0SmRtUldyYS0wdkVfYm0xTXBHbDJ3RVZibFNDMko1S3NmSmVVZER4bGhWMmluS0JpWWw4Z3ZJcDZ4TjR4X05PUHA4NzNzQ1plZTNrSmVhT0Vqa0lpM0lmeDBoYldLLWZ0VzJwUUpuZ3NyWllDUW1BSjg3M2dWYUVTd3NBM20xM0YtdlhISjF6M0RrUVF6U3" TargetMode="External"/><Relationship Id="rId155" Type="http://schemas.openxmlformats.org/officeDocument/2006/relationships/hyperlink" Target="https://news.google.com/rss/articles/CBMiowJBVV95cUxPdlluSE1DZEJuaGxMXzJfM0VKNElFOEhFSU80c1g5TzhpdUhTRk4wUWxMbmlSRGJWblllV2Jja19aRTZiRFVYYlBFUWlLTG9yV3VjcE5mNW9tUlhWUDcyVGo3Y3ZENVhnMFp3R3Mxelc2ZzltVWF0WHJJSEt4SV9CdGpwSkxmTXhad044Mm9DRVhvdTQzaDU0aF9BWk5nSX" TargetMode="External"/><Relationship Id="rId156" Type="http://schemas.openxmlformats.org/officeDocument/2006/relationships/hyperlink" Target="https://news.google.com/rss/articles/CBMi-wFBVV95cUxPRGFiZHRDeGx1VFJlcUFIQUdxdTZFY3FkZVRXa2hSb3hxRFBVUjdYZVVxb2J0eFN6LTVhSmpsUnFnTkktcHdlRVhiOUlTVkJPYVBWRXVNQ09JdzJHZE9sLWRKaWU5LUJlSG9xcWtjYjVzM25IRXc3V2NPd1VTQVlSWG9EdExIR0dWS3RIRjMyZUktb1lpaDE3dUhiZTJ1Uk" TargetMode="External"/><Relationship Id="rId157" Type="http://schemas.openxmlformats.org/officeDocument/2006/relationships/hyperlink" Target="https://tw.tradingview.com/symbols/NYSE-PM/news/" TargetMode="External"/><Relationship Id="rId158" Type="http://schemas.openxmlformats.org/officeDocument/2006/relationships/hyperlink" Target="https://news.google.com/rss/articles/CBMi3gFBVV95cUxNMUdYaHFvSDVTSzZpM1lCd3hvUDNKMk1yQTBDamlmRWVKOXpQNHJ3djZyRWRibllPSy10VThfRjM5cDlEbWJ5VVNkU0Yxa2dXZjBGTnJOQldUd21fd2x0TEVXZ3dOSTJiOHFNSzBMS1BNR2szbzBmZ05DejZ1eGRSS010aWMxOTI5RE9ldkR2YVBuc0tDNkxDZThfbTlVYU" TargetMode="External"/><Relationship Id="rId159" Type="http://schemas.openxmlformats.org/officeDocument/2006/relationships/hyperlink" Target="https://news.google.com/rss/articles/CBMiwgJBVV95cUxQdjRwb2dzSmQxNFVfbWI1T2hFSHFNWWRqTHJldUVWQUQ2YTJSQVAzYjhhUlctY0czWEhwMnZHbjhpVFkzOW94a212RkxEalc1bFgydXVJTjNxbjh3WHdGdmcxcDdsWVNVZVNPMDFNbnpmTFNfakhYTTVRUnBmRGlIeW1LY21RTzYxbzVqLUdkQVViZkczR05Ea2RVdjcwaW" TargetMode="External"/><Relationship Id="rId160" Type="http://schemas.openxmlformats.org/officeDocument/2006/relationships/hyperlink" Target="https://news.google.com/rss/articles/CBMijgJBVV95cUxOeE12LWFkdW9kUjJ2b2lKVWxvQUxuRXlxOTBXUm00S2VSNTdaWG9UU2o3a3BvYUNlU1ZNOHM4M1ZTMnBwdWRFOXQ5SndDWFFhTjdmSjFyT3d1VFJ1V184UmEzNlF4MnZfRkhiU1Q0clNvLXdta2pMcUczMFkwZHduOFYwV3RmcDQzRHFtbEdQTk1rdTZZZlhtS2lCNHBsbm" TargetMode="External"/><Relationship Id="rId161" Type="http://schemas.openxmlformats.org/officeDocument/2006/relationships/hyperlink" Target="https://news.google.com/rss/articles/CBMi5gFBVV95cUxPNGhBenB5YlJmdnlBY2s2TzFzVDYyMGdPZGkxU3lDM0RCN1lKN3R4aVl0a00xbjNnSGJtUmM1dEduNXpTSTB6aTdfUU5Lc0l1VGRVMmREU1FuODBtemFtOWV0cTlsaVRSZS1tWFhlajlKYkptenpnUHcwRkhtcW8tMlFGRW41SzF2OFFUX3ZVZklvV1daSHJjNFY0d0llZW" TargetMode="External"/><Relationship Id="rId162" Type="http://schemas.openxmlformats.org/officeDocument/2006/relationships/hyperlink" Target="https://news.google.com/rss/articles/CBMi4AFBVV95cUxQclp3OWsyREwyTUU5dUpuV3lBdmV3cG4yZ2lPTU5xT1RIcDZZbUd5a3pHREdrR1BwUDhXTlJKYl9mMnhMQ1h0Q18taXhvY3ljaUs0alpQWWVnSGZUSVU2Q2ZkTEpLVUdUdHdxaF9ObUhyX0Y4U0tRRktmNGs1N19hZWZHemxmTDMyZUVPRUJZcTU5OTVLbThReGZfZnYyWD" TargetMode="External"/><Relationship Id="rId163" Type="http://schemas.openxmlformats.org/officeDocument/2006/relationships/hyperlink" Target="https://news.google.com/rss/articles/CBMilwJBVV95cUxOYVd3YTZvRGh0VWExWXYtSGlUVXUwZm5raWN0NWZpZFNZVG9MQmRyX3o1aWRkZ1NKU1VnOUFNWVB5ZHpoLTFkRVJVVk1lWmNuZXRla0FSZkVGUkN3OE4xMkI5TVhwZFBOVllBbmtQWkQ2dWl1anExNmdHY21JQkxrNDBfSXA4M1Ytd3ZYNUVvelJWU3RHT2MwbENISmRVUE" TargetMode="External"/><Relationship Id="rId164" Type="http://schemas.openxmlformats.org/officeDocument/2006/relationships/hyperlink" Target="https://news.google.com/rss/articles/CBMi7AFBVV95cUxOYmxrM2U0NjJHUjQ2cmwxR0tINWtTRFdMbG51MnE2NUg1bjdDb1Z2U0JGS3dFc3laWFU1VFBkMnQxcHEwNVg3ajRFOFg2ZmNUY0FuVktXQlRKNHNQaGxKWWxBb2J3M0NKQVlDd0pXQ2xzM1R0ZlNDb3dMZzF5UFJlTXRqcHpzRl9neGZFWGdPNzJ6bmt6TFA0cHhzN3NGQX" TargetMode="External"/><Relationship Id="rId165" Type="http://schemas.openxmlformats.org/officeDocument/2006/relationships/hyperlink" Target="https://news.google.com/rss/articles/CBMiyAJBVV95cUxOcDJUTm0yX0stT2JtTzM0cm9Sa3JwZEQxYi1lSmNrZUZ0cloyZ0otVVAwTU5TblNBSDNZN3RIVmpXOEp6M3VPN0VLbmo5c21KcndibGNBT1U5V0lHM3p2TDRiSWFUUk9wV28tZFd6ckhBTlp0MWl0c2w1MkhzbDdNRFB2WGZraW9BRC13Z3ZoZE9pU3pjR1FYRFdhbGF3bD" TargetMode="External"/><Relationship Id="rId166" Type="http://schemas.openxmlformats.org/officeDocument/2006/relationships/hyperlink" Target="https://news.google.com/rss/articles/CBMi8AFBVV95cUxQWlphWVdacV96dUhiVFE2ME9QRURGY084cE9CX3kwMDB5aEt2eXdISHlFMGt0a0pmdDNwdXpFQlBIRDYwRGhzc2R5S2lyTUM1NVY3WUx0NUk3MlZRcW5YRHlGXzFVSnJmb0MzaktoODhwTHZTLUM2WUxpZUt1RlBJREdsTU55cWFaZzJZVnBtQ2owMGtPSGRiSmFXQ3F4RF" TargetMode="External"/><Relationship Id="rId167" Type="http://schemas.openxmlformats.org/officeDocument/2006/relationships/hyperlink" Target="https://news.google.com/rss/articles/CBMisAJBVV95cUxOU1VwZFE2WTlQMVlxOG1PWmRUTi1Hdkg3ekUxc1IwcTNRVG4yY2IyMEV3T1VKMVhyVkhvUHN4c3B2T1NaaS02ZlowcjBTZWp6LVlhcjN3YWVrWGlFOGwtMXM4ZFh4N3VvbUlHbGh5el9YOVZxSkNfVjJSVHI5Q2JYUENING1mTXZzaFA1X3QxQy14b2Z2MUNsZTd1MWt4Qk" TargetMode="External"/><Relationship Id="rId168" Type="http://schemas.openxmlformats.org/officeDocument/2006/relationships/hyperlink" Target="https://news.google.com/rss/articles/CBMirwJBVV95cUxQWExhcDJSVk9HOHRjMUFwSUhfUUIyTGVvLWs2NkxGN0lYTXBEQUxjZ0RSZDNwUDZac2p4ZUVoVzNxc0dULUZIWVdMZ1pnWl9kVnZVM1plVk1UaVBIcEpPR2VWaWdRc2pGeXY2OUU5OGRYOVhsWHVMeVVKRmh1aVU2VTRqYldSY1Y1bFp5ekhuaUlQeU5sbGF5TG1wTVJtYz" TargetMode="External"/><Relationship Id="rId169" Type="http://schemas.openxmlformats.org/officeDocument/2006/relationships/hyperlink" Target="https://news.google.com/rss/articles/CBMixgFBVV95cUxOSmNmTTJxYkRQa3J6b2E0cjVJQ1JYLU9pczFZOUlNMDU3emdzX21ibm50a1pNVWU1eDBybjA3VndrVmxjcXhqUG5na0tOc1FMdXlRc3FoMDZQVW9jdTYtUmJTcFZBb3JNYXVyZHk1LWZSdU55VTdEVEE2d1pXMkVHRFc1aWx1aTNPb25QekRUeXZOVl83VHVaTXVIUGVmck" TargetMode="External"/><Relationship Id="rId170" Type="http://schemas.openxmlformats.org/officeDocument/2006/relationships/hyperlink" Target="https://tw.tradingview.com/symbols/NASDAQ-META/news/" TargetMode="External"/><Relationship Id="rId171" Type="http://schemas.openxmlformats.org/officeDocument/2006/relationships/hyperlink" Target="https://news.google.com/rss/articles/CBMi5AFBVV95cUxPMHVSQjVqNTQxYnprWVVkUlQ1eDRieThyVWFTVWtkSnNKQS11MVEzeEF3amtTbm1UOEpDVjdaVklJWWpCalgwdHlmeVQzSzV3LUFOMUdLaDlfSHlMRXNucUFJdmZuNm5FRWxwS1ZZOVdfcUhqZktoVHFkSXpKamNtTW9qLWNrOHc3V0NkNC1USG1EQURjajdfWWR6aDliYj" TargetMode="External"/><Relationship Id="rId172" Type="http://schemas.openxmlformats.org/officeDocument/2006/relationships/hyperlink" Target="https://news.google.com/rss/articles/CBMipgJBVV95cUxNWk9tWGpkZGpoaVVtaVAxSFdTaUZEa0MtYXQxS3I3QTBrYWxrVHFfejJFMTBjajhrWkNoWDgxWU83Ml9HaGdIWGJnZ01SZHV0bWJtTUFTTlVJRDB6U1hRV3ZOamstRjhoMnRmTDNyV2E3djRxcThKQ2p3T1MxbEFmZ25DdlFvNFZqdXRMVnBPbFg5aDJSUmtCOVJFbjBKeG" TargetMode="External"/><Relationship Id="rId173" Type="http://schemas.openxmlformats.org/officeDocument/2006/relationships/hyperlink" Target="https://news.google.com/rss/articles/CBMiVkFVX3lxTE80dDFqY2VUeHdiSXR4T1ZiWTVaLXBZQTFKT3AwMFEyM3VJbFdpanZVUXZ2c3dtZUFiQkVDcXptUng4YUMxWlJwcm1iTHNnVFJpcERrWk5n0gFWQVVfeXFMTzR0MWpjZVR4d2JJdHhPVmJZNVotcFlBMUpPcDAwUTIzdUlsV2lqdlVRdnZzd21lQWJCRUNxem1SeDhhQzFaUn" TargetMode="External"/><Relationship Id="rId174" Type="http://schemas.openxmlformats.org/officeDocument/2006/relationships/hyperlink" Target="https://news.google.com/rss/articles/CBMi2AFBVV95cUxOWUVDQ2ZsYTk4Y2VmSkMtaWJudndkeXp1LXYwSlVUemRVaW5wYzA2S01GT2tzWWdvQjFybWxOVjV4QjBOUi1IV21sSU12SURnX3JBYXdDbVBOZk9qVFNWRlkzU1hIUEF0c2pPZWFNeVFSd1lvdkwxSXFpajY0eFl1bTlvSjhnQ3ZTUmJrcnp3TGhNLWUzV01lZkRZZG5ybm" TargetMode="External"/><Relationship Id="rId175" Type="http://schemas.openxmlformats.org/officeDocument/2006/relationships/hyperlink" Target="https://news.google.com/rss/articles/CBMi2gFBVV95cUxOM1UyUFhsenlXTXN1WlZ0TGNORG0tcThNQWFwMmxsU3BlUzRlRmh3Z0diTnVFR0xTZkN1VzVHWFZwNDV1aTA1TTc3NHBwd1ZtV254VUxJR2tGaldvYVZ3a2ZYcG9KWlFzdzVKOElwSDhxdUlJeWxUTlFBbWZqaEYteFJxNXgxaDROQUp2eGNEbHlNQ1ZuMS1JVHo2NmM0NX" TargetMode="External"/><Relationship Id="rId176" Type="http://schemas.openxmlformats.org/officeDocument/2006/relationships/hyperlink" Target="https://news.google.com/rss/articles/CBMi2AJBVV95cUxPelV1OEFrNUNoeGJ4MUhoRXlheDNDVzlfV0Zjc0VWX3hBT2xMNDJ1TWVwTVczVF84MElXeFVmRjdIWXVJQjZfVjBWMmJ2Tlpyb0oycFZtc3djR3kwTGV6MnRrVGhwR05GTzlZb2dYUUtLOVpVbFhESzZsVFNrQkVycXhPMXJTRTV6d0FFQlVwUkxoVUVJRFo1cVIwRzVUZk" TargetMode="External"/><Relationship Id="rId177" Type="http://schemas.openxmlformats.org/officeDocument/2006/relationships/hyperlink" Target="https://news.google.com/rss/articles/CBMi5AFBVV95cUxNSDZGalBMR0Y0SmFsalJIRnMxenFsdWQ1VmJwZWxtc3hBWVNoaGozOEFLel9SRmZyNmlQNlJraS1aSVAyT2dJLVpjbFlKOHE3RkVoYzVOb0tqd08wMUxFdUtzczZ3NHU5aEt1NllJY1VwNFE2aUUtVjNCWWZzU1B0SEdmbkwzX1RlN3QycXJ0VE9vTGxxUTJtUHotdHptQV" TargetMode="External"/><Relationship Id="rId178" Type="http://schemas.openxmlformats.org/officeDocument/2006/relationships/hyperlink" Target="https://news.google.com/rss/articles/CBMirAJBVV95cUxOMzJUY0o3dnZHbk9JVzNOdE1oTVRyZUE2U2tyQXFIVjU4WkdDb3BlQmJZNXcyNEF1S0dyU2VRYVBJME5ocVZobHhDOUFHVXZwTnQtdFN0RWpDdmU4NkxRV3MxNE5iWExxWkdpRGFmdDlpN0M0QmFHdlJjMjJ1elpGMkJCYXdrMmZzNm9TZzg2WHVxVEthdmVtRklyQVI2Q3" TargetMode="External"/><Relationship Id="rId179" Type="http://schemas.openxmlformats.org/officeDocument/2006/relationships/hyperlink" Target="https://news.google.com/rss/articles/CBMiwwFBVV95cUxNV3RhSFJyckF3LUpsV2dvRnc4Vy04OFp6RU5sVTZUOE1FZkdJVGozc2FUcVNiWHk0aW91c2xtSmVNeEI3eGc5OTEtcFhTSmN1LTMzbEUxOHJFY3pmdTBTMzc2Z01ycW04d3E0NTU0WVlQU2pSVE9tTDBJamVDd3dVR1o1RHpwSWdaRlZaLUR0Z0ktVmFGSzhiaHFxZmEwSW" TargetMode="External"/><Relationship Id="rId180" Type="http://schemas.openxmlformats.org/officeDocument/2006/relationships/hyperlink" Target="https://news.google.com/rss/articles/CBMiwgFBVV95cUxPUWZST01kWkl2RDl4UXpscGVYLVBXWUR4bEZ0SUp2V0I0WHM3NFMyNlN0U1FYQ3lKcmNKbmhiTURZNFdTSU5ITkZQRnZuU1ZINlAzd3J0MzZBRUtobnNGbXVaSWV6clhxY2dYWVBGeVNULTBBS3JXZDBjSkZUVGYwVndwSUh1ZVpuazgwVmlubFdkclpWUk0xNG9LdW1rUE" TargetMode="External"/><Relationship Id="rId181" Type="http://schemas.openxmlformats.org/officeDocument/2006/relationships/hyperlink" Target="https://news.google.com/rss/articles/CBMikwJBVV95cUxNa1c0ZVZoNlY1QnRqOXprOXp1YmZkRHg2Y1hLZGV1eDVrRV96S3Y2OXdVTk1QUk1zb2N3UTVlZnZEOEotczZ0SWZYdzV4UzJibG16N0NxVy1SdU9FUHVkOHpEd0NhV09lYkR6WXNsSTA0a3JzYTFEM3J6WjhFbjJnZUl5Q1NTYlZsNkJMcHRyMkM3LTRhVnQ2U0w3VWpsTT" TargetMode="External"/><Relationship Id="rId182" Type="http://schemas.openxmlformats.org/officeDocument/2006/relationships/hyperlink" Target="https://news.google.com/rss/articles/CBMipAJBVV95cUxNS2VKaXpndEc4YkFueHFfbVp4V1RTek85SkNkeXpwcU1fa05uQ3hHX19iUVVrNUFPdFRoMVotZ3RaNFNVZk5IdTZHSGs2TW96YVFVT3k5LWNaZjBzLTZUSnkxSUdLVTZPMDdjQVZIUEZLcnZ3UEdGQUo4MDNwRzhfbTFxVUQ5S2pkdmpoaTNqTmRuV3hkS01FYkZaZGNIY3" TargetMode="External"/><Relationship Id="rId183" Type="http://schemas.openxmlformats.org/officeDocument/2006/relationships/hyperlink" Target="https://news.google.com/rss/articles/CBMilwJBVV95cUxQZnVWcy1IMDNhU0NZemFaOGltMm1IYzlzTElMUXlfcDM0S2FWa3NrMG5sVW9RLUkxUVJFWEFpUlZRR24tU0drbktoMkt6QXBwM2JtTWV6d0ZOSEZqUThWN1RCZXA2dFNRdUNQUm9EdE5kTk1XR2RqOHJVWTk4bU1SdGRKb0s3dHFLandZUE1mVy1FWWVrTFpXdXRMUzViY2" TargetMode="External"/><Relationship Id="rId184" Type="http://schemas.openxmlformats.org/officeDocument/2006/relationships/hyperlink" Target="https://news.google.com/rss/articles/CBMi6AFBVV95cUxQT1cxOU5leHdTNXlCTkJWc25HR25IS3FhUkVGYzdZTnZQUk84WnBZcUZlUTZqWmY3QUJUTjlkUnhHcXFzM2VMM0h3aHFzeE5tY2VGT2lxR0h3OWk1TU1IQU1INHVXWE9kQjA0SlBUZVBFbjMzS0trUUk1ZnJXWjhLVnZRRUJZT04zRnFTN3JvRTNDNnNFcldKNmstZy1xWE" TargetMode="External"/><Relationship Id="rId185" Type="http://schemas.openxmlformats.org/officeDocument/2006/relationships/hyperlink" Target="https://news.google.com/rss/articles/CBMirwFBVV95cUxOS0xETjdxOXo5T3ZPQnppQVBGQVpPWlVoTXpTVS12elpDdTZBMTBnTGlxbjlqcFE5TVRGdS0xVE5zZjU3b2x1aXlnaENGdmU4U3RFUHBpako2VmNuYjNmUmR6dnlpQ015VmZ0dHR5OC1iV293N0R3cG5GT2wwdVBISmVPRk9wSVBvRE8wQjdMRzR1djdBQWNrSzB6ZHkzdX" TargetMode="External"/><Relationship Id="rId186" Type="http://schemas.openxmlformats.org/officeDocument/2006/relationships/hyperlink" Target="https://news.google.com/rss/articles/CBMiygJBVV95cUxPZWdvMkRhODI1U2t2ZEFNX3VHOEk3MGxRblNhM3F5bGJaR2F2RmFXY2FUMTZ1ZnlQQXZZcWtsbF80TWJrNlZZOV9JYlZMWmt0LTJJdmg3NGFGUEwtWUNjcDBfSlBHYUtsalhxYVdybWJnbmtyQ1FYYm1QZWQzbm1JRnd0R1d3STZWY05tOXR6S1VXMWNaUWp6UmxJTS13Qy" TargetMode="External"/><Relationship Id="rId187" Type="http://schemas.openxmlformats.org/officeDocument/2006/relationships/hyperlink" Target="https://news.google.com/rss/articles/CBMihAJBVV95cUxNSm02VjZoNHJjZHZTRmk3ZzlWX2hqWlE5bVhNYW5qX3ZURXVpam9VbW8xU3RTZzZOcUJxTHVET0F1VHdKQlhNcmNaaElfMjZwUGo5aUNZdnFacW83dzZYWWN1T0hHd1ZmX3hVLUhxZXkySEMxZWZVZm1IQ0VrZC10V29lbDBPRDlHT2NSRnl0Y1Z0akNjamNENnVTOEdOcX" TargetMode="External"/><Relationship Id="rId188" Type="http://schemas.openxmlformats.org/officeDocument/2006/relationships/hyperlink" Target="https://news.google.com/rss/articles/CBMihwJBVV95cUxQMERnWTlnUDlWR1AxZ1dKWEszbFBCUHRJdHVleExPS0tsd3pJa1NoRXlCMEV4aENxVDNoZUMxaDlpQVBOQnRiWkU2OVhJWHBleUdINDNkdVdsOFlJanRwUmpESC04V2xra2FPenliQ1M1OUU4XzR5UEx3NU1yT210WUVRTXB6cUxlQ0F5ZDZzMVZ0LWJhM1E2SGxrbFZyd0" TargetMode="External"/><Relationship Id="rId189" Type="http://schemas.openxmlformats.org/officeDocument/2006/relationships/hyperlink" Target="https://news.google.com/rss/articles/CBMi8AFBVV95cUxNcmxMR3EyTkx3WnhQX0R2T2hoaDlib2xBZktLOXk5c1NpUklQVWRkTXRkU0wzNlByMmFISnpKZURSMUJWc0V6YXoybDh0eWV3OVZQQmxycC1wdE11VVh5UW5uWGJ5djFvTi0yS1pmb21vRzZqbU1iNjVJMUxSWjJleUxKbUNCa3c5TUZOX2g2M1dpbWQxODNVRDRQMVdFWU" TargetMode="External"/><Relationship Id="rId190" Type="http://schemas.openxmlformats.org/officeDocument/2006/relationships/hyperlink" Target="https://news.google.com/rss/articles/CBMi8wFBVV95cUxOMF90N0d3aldobXVlcTBHOVQ2bVNlTjJzblJXSmNYUGNNdlJ1anJ0dkVWYU5oNFBQRHZZSWpBRzRKVGZQZ0x2NkJLSWNfdEgxakJVcGl1RXhGZHZkaW9odUMwMEcwVko1UV9laTJ6Z2pGcWtnRzl2QVJNaGx1cUZUMl8tZlQ5N0VOMnpvY2J1LUVLNFlmWmJfZFVhamJYaS" TargetMode="External"/><Relationship Id="rId191" Type="http://schemas.openxmlformats.org/officeDocument/2006/relationships/hyperlink" Target="https://news.google.com/rss/articles/CBMivAFBVV95cUxNX1A4SzFfMEZfODdMZ3dMRlB6bEdQRHZma3M2QWY1TXpUdldxTjRnR1MzV2hDMTh6aUxRNUYxT3hUVE11bEhwbjNLZFlnT0RKb0lPV21sdDdqdVNoNHBmaTBkNlJvUU9fN005d0UwQ2NLMVdFTTd1MVhjM1p6Q252TXZEa29yeUp6LWhxbFF4YVMxX1o2b3JGelo1akF1Zk" TargetMode="External"/><Relationship Id="rId192" Type="http://schemas.openxmlformats.org/officeDocument/2006/relationships/hyperlink" Target="https://news.google.com/rss/articles/CBMilwFBVV95cUxNQ2VtZHlqdVdnbVZFM0pZTGFybmhNakV5S193VWpRMWF2MWdHa1AwRVRlMHhTb3RoemlRa0lNSElfMUF3YU11WU1ZdlJTc2F3NDhOaTBLZkMtVXJlTFNBdnc0Vll5OURNOGNycDZOeUpSNEVCcVBzQVJKYTZ1YUdnYTZoa1ItT0RFRGVheTA1T2NMRkVyYjMw?oc=5" TargetMode="External"/><Relationship Id="rId193" Type="http://schemas.openxmlformats.org/officeDocument/2006/relationships/hyperlink" Target="https://news.google.com/rss/articles/CBMimgJBVV95cUxPZXA3WHpJeWVsMUQtTmY4bFpGaHZJZG5nbkh3LU5rQ2NxYkJ5a1Q3empxaEtSaWtkSW4zRnVEejAybldxZm5NWndPMnhvNXBoQ1RncFNpa3UzRHEzZUl4NG5ab2xRUW1ZOEo4NjJtdXNwb3JOSldfc0IyYnJTZUt3NkpJbW9ueW9SaE5JYkdSVDBPTEl6bTZraEVadW5HNU" TargetMode="External"/><Relationship Id="rId194" Type="http://schemas.openxmlformats.org/officeDocument/2006/relationships/hyperlink" Target="https://news.google.com/rss/articles/CBMivAFBVV95cUxQd3k2dURMNzRXNkgzS25PUy0tRkJ6UWlYUVdSNDhhcHdkbGJuVENCTmtsVURPX0ZnVlpQZ2l2MzhiT3Zrdmg2bjBQcm5LRFhmbGlpUHRVM1BfNFliR2pzTlQtaXh0WnQ0LTRwTnZBY05fQXUtejB3ZVpqb3NoTXpDZllJbEIzWUlxVG5kb1YwNEd3ZGpKMjJjWHlhN1YxX0" TargetMode="External"/><Relationship Id="rId195" Type="http://schemas.openxmlformats.org/officeDocument/2006/relationships/hyperlink" Target="https://news.google.com/rss/articles/CBMi2AFBVV95cUxQSGtqMHRpcmY1UWVaczlyVThzd194ZXB0cC1rZUpheEZ5QTdRcjZUYjNXTjUtVmRiQjZ0Rk8xM3VaZTREMHFVRHVwMjdZOE4wZkQ3U1d3Z1JEcFgzWlNkQnZyNzc5UkZ0TkpXYkRsOHBuVGRMaFBudXF6MlBLYUpPcUxlU3R6Yno0bW5Pd2lFMkVPNGJHU1dNbzVWR2hTS0" TargetMode="External"/><Relationship Id="rId196" Type="http://schemas.openxmlformats.org/officeDocument/2006/relationships/hyperlink" Target="https://tw.tradingview.com/symbols/NASDAQ-FSLR/news/" TargetMode="External"/><Relationship Id="rId197" Type="http://schemas.openxmlformats.org/officeDocument/2006/relationships/hyperlink" Target="https://news.google.com/rss/articles/CBMiowFBVV95cUxOLUw5Q0pUMS0waFlBSmFVcnpTNDNQQlByM0pOUWVtaGc3ekc3MnRVUkhPQjdlaDZxNUpIZ2R4TzFRN0ZGQ2NpOEdIR2ZNM3Nkc2FSMXZMaWN0MlctbzU4WlRSaFZvVm5jckp0N2tBcVJOb29PTDZiSGg0RURVZmhMN3h4NjVFeFYzQkM2UlREc3VPMGpjWEdMbUFKNUFlNG" TargetMode="External"/><Relationship Id="rId198" Type="http://schemas.openxmlformats.org/officeDocument/2006/relationships/hyperlink" Target="https://news.google.com/rss/articles/CBMikgJBVV95cUxNSVV0aWMyaE5xWEs1RzZiejdNYW9XWXRiZFRYVjkzRnJMU0NzVVctc1JlS0VhRk9zemhKNTRWdXk4WkJOd3RuV1doSG5QQUhfY003TzNTa2lxUTRBMEFRN3JleWVzOXpwUWxGbDNQNUstWG9WX2V5MHRLZUo4Z2pZbkRzaVd3WmQwcDVYTzlqMzBCb2stQUVfNXJvYXpBaG" TargetMode="External"/><Relationship Id="rId199" Type="http://schemas.openxmlformats.org/officeDocument/2006/relationships/hyperlink" Target="https://tw.tradingview.com/symbols/NYSE-F/news/" TargetMode="External"/><Relationship Id="rId200" Type="http://schemas.openxmlformats.org/officeDocument/2006/relationships/hyperlink" Target="https://news.google.com/rss/articles/CBMivwFBVV95cUxPQTF5YmpWOXI5bmRMdy1Gd1l0cXZSODJoT3Q3STJYUkxQRV9qYm9JSEpUWk9hODQzYWdDeGczdk1XeGxlaXZNSU9naFVqMGFMZEcyVXlqV1ZmXzJnSE9TeEFMZ0VxXzZCZzBCQ2QtSWxLOERGYXZiRGRZcGhMNzViTC1oSld4WmQ0cjQ4d3JzOXZ0Z2IwVjhYOTRkUVFwRX" TargetMode="External"/><Relationship Id="rId201" Type="http://schemas.openxmlformats.org/officeDocument/2006/relationships/hyperlink" Target="https://news.google.com/rss/articles/CBMikwFBVV95cUxPZmVQN0llTEJsUWQxMXF4ZWQ1MXAyOGZXUzdEc0hkcUMyTEVZZF9tMjZIZkFwY0h4dDZrVFhEd0RxWW5lZWkweGN4NnhaT2pabkl5MFNyd3pUdnJLZzNwbVRwZjg0V2JGa1NwLVp5UXBBNHhYcmt3ODhiSzR5RklVX0VoMU1WTVlXQU9FQUJEejk2SzQ?oc=5" TargetMode="External"/><Relationship Id="rId202" Type="http://schemas.openxmlformats.org/officeDocument/2006/relationships/hyperlink" Target="https://news.google.com/rss/articles/CBMi2gFBVV95cUxPNlJNekZTa2luazNyMHBKXzdnYmJDdHc0LVRnWE5CaHNYcnpXRXB1ZUdPUGktN0xrT1plLVdfb1RJX3E2SzRkM1RLU0E2M0Vmc2pBSzRqcFFucFc0MHJDQTc4YW5mLV9nbU9PQjMyVTJBS2lCRG1nZ1ZaaWVDcEtBR0s2QTBTUFdRN2ZYMXRWOG5CUS1XNVZoYTBEd0M4Ul" TargetMode="External"/><Relationship Id="rId203" Type="http://schemas.openxmlformats.org/officeDocument/2006/relationships/hyperlink" Target="https://www.gelonghui.com/live/2701987" TargetMode="External"/><Relationship Id="rId204" Type="http://schemas.openxmlformats.org/officeDocument/2006/relationships/hyperlink" Target="https://news.google.com/rss/articles/CBMiwgFBVV95cUxNQ0I4VVY3Z0sweHFPTEVjd1NVakpmYy1sdFhYMGJnSnNrVFF5YVQzX2V0akhEeFRwSFo2YWZaYS1iR3UxYzBwUEl5NWc1UHczQ0FGNzdOZGdPUmY1Zm4xVmYyLUpsS1RWX2RQTUtyRzBuMEdOTndyQ0ZLaEo1bVRCMUdWeVhyUzBWZnR2SnF6QnZHUHVOLXhEN1JaNkVfaH" TargetMode="External"/><Relationship Id="rId205" Type="http://schemas.openxmlformats.org/officeDocument/2006/relationships/hyperlink" Target="https://news.google.com/rss/articles/CBMiqgJBVV95cUxPcGNYcU8wT01NLVo3ZVZTYnNvendmaEo1dWpZUndaZWlKZW5rSnBQTlh6bEJJTUpJdmFTME9zNFVnMXFMcDdDalFJZUZFYS00bl83NVVGV2Jpa2xxb05BSmhSaHRWcm55YmpRaGN6YkZ2ZmNHdndaVVU5TVNnZXJWOXdfMmJXTFlBVmZ6WnRINFVtaXdFQ1RRVnQzZk1DbV" TargetMode="External"/><Relationship Id="rId206" Type="http://schemas.openxmlformats.org/officeDocument/2006/relationships/hyperlink" Target="https://news.google.com/rss/articles/CBMiqgJBVV95cUxQM2t0aVlGRzhscTExNHhpcUlqSk1aVzhPZ19mVEVDU29jSFJEUkpKMHY0Qnc4V2lvWjA0WUwwUTA5U0VYbDVsUWN5RHFwVW11TngybTBwOXJfSFVCemFzVTRDLUh2b0xteGJPU0VPaTYtVEpNREVFNkNiWEw0V0ZXc3dqZEgxT3RGUGxyd0JUVmsybkE5d1dPcDByTGFEY0" TargetMode="External"/><Relationship Id="rId207" Type="http://schemas.openxmlformats.org/officeDocument/2006/relationships/hyperlink" Target="https://news.google.com/rss/articles/CBMitwJBVV95cUxOQmVDYlVaQXpxNkJyS3FkQlJtcTEwR25iWU1CRGJiRnJjOEd0ekdQNnNYYWphUDdXVXo1MjFEYVVZVE9nYTdDekwzVXllU2VQVmRtMjM4d3dxcGQzQlJEQXV4cHZsSVBGWFA0cWZWYUZVcGlVV2VxOTU5bDRONDZxUzVScUFERDlxYkV2Z2VhQ2o4UER1UWEyTVM0NkJ6Zl" TargetMode="External"/><Relationship Id="rId208" Type="http://schemas.openxmlformats.org/officeDocument/2006/relationships/hyperlink" Target="https://news.google.com/rss/articles/CBMi1wFBVV95cUxOOTFyNmtzU3JRVXM3WUdNZVhTZ3lqR1l1NW5BV2I2SzU5M1JuUzY2NVVQTkxWWF8xMTM4RlN2UE8wczhIWU1XaWIyRzFsZUFqdnh0NXN1cElSUnlock5jeUMwZzJGUWJpVFZQcWhQM0pEN1NqcTVIcDVZTGpkNy13XzdGTFhvbjNKX3ZIWl9CZkZmUzJyb0dwWG1XZ3FURE" TargetMode="External"/><Relationship Id="rId209" Type="http://schemas.openxmlformats.org/officeDocument/2006/relationships/hyperlink" Target="https://news.google.com/rss/articles/CBMitgFBVV95cUxNYV9TMTNHN2VLQzVQcUZrWG5TRU5qOXg0SlhfbkZKS3VxUG8wZllld0wtenFTdUE3aXh1eUV1QmJhYl9FbkxxYm1oMmduMXAtem9VMFJPQkQza0d4dUdNald5ellrOXVOeEtxVERQM2dYdFpsajVnLUJpUmNiSFFBc3lUOUtHbWFueERiRkJIcmFZREJzMjdzUVFndFNCeF" TargetMode="External"/><Relationship Id="rId210" Type="http://schemas.openxmlformats.org/officeDocument/2006/relationships/hyperlink" Target="https://news.google.com/rss/articles/CBMi_wFBVV95cUxNYlU2LTlwX3dBdkNhREZtZzBQOGpncEFzZlFIT3VvNGVzSl92WUN3UkhHcE52ZndBR25WLXAwY0ZDcXNaamNWSFlSS0NDclprNGZjbFZuLWV2NGFuR2ZpYUFabF9tdW5Uci1DYU5nNG9ORnRoVUZvRTJtd2dmOV96enNLVllJZHpsZ3d1QkM4eVdtdVpmTG0wZkhULTlrM0" TargetMode="External"/><Relationship Id="rId211" Type="http://schemas.openxmlformats.org/officeDocument/2006/relationships/hyperlink" Target="https://news.google.com/rss/articles/CBMipwJBVV95cUxPWUwxNXZ2ZlBnRVhCZ2VmODJGMzVTcmZlbjBESF9GOU1NMWQtYnp6bHZ6N1NHWVpOc3RvSktvWmM1bXNlSElGVE9FeEpqbnpsYnFwRlBzRTR0VWVuUGJfajdTYVJjVEIzd0dIUTVuaWstMm5uaHFMaEpyTnNybEtqSkpqNVNjajF0TEUtUGRPNjYzT1d2NlZDblhnR0VsVU" TargetMode="External"/><Relationship Id="rId212" Type="http://schemas.openxmlformats.org/officeDocument/2006/relationships/hyperlink" Target="https://news.google.com/rss/articles/CBMimwJBVV95cUxQUDdhYy1GanNaTG9sbXJyc0VPc1J5X2FaSjNyVl8xdjJBVHFpUkpVbktTbk1FUEd3Y015djNaUUhQVDNJUnR2Y3hKeW5mSUpLc2NaYTlGUU53N0JKOWUzRm1laWV0cUUzNGZVcXB5RUpLZ0s5ZkNtdFYteEZTQm1rOEUzNGNCRGJwRE1Vck9xSVF0REpnbVZkTVEwZTNLRG" TargetMode="External"/><Relationship Id="rId213" Type="http://schemas.openxmlformats.org/officeDocument/2006/relationships/hyperlink" Target="https://news.google.com/rss/articles/CBMiywFBVV95cUxQeUpFWjVVUVFSRmtRSWZXZDFwWnl3cUhmRkZBZExyYlBJbWJqc0U1b1h4WlRhWHRTUjBLOE9DYkRuelRWSTUtc2xPVTdRdFFCeEJtWjc0ejdhWk9QRC1PNVhNYWxXVWNhdEFnbGtvZkRzMjI1YlZXNFE2ZUhxeG13YzFkZGRDb1ByaUg5UUdTRVdVdWdvTktLVVVfNkY5Vj" TargetMode="External"/><Relationship Id="rId214" Type="http://schemas.openxmlformats.org/officeDocument/2006/relationships/hyperlink" Target="https://news.google.com/rss/articles/CBMiwAJBVV95cUxQTjUzWXI1NG56cGNKeUlrN182M29zSUVrY0dHcXpPYmRvM2JiYzgtVURWTV93UVNPbW04OWdUZjZ0T1YzUGM4YXRHZUxlQ3k0ektDNGR0VTVKUG9xOThaU21uVDdlREpjcE5SQkpMMnVtRXV0TGt3VS1hUmNmQUxETXY2dS1BV2xIS0cxVC03RzEwRXNEeEp1OWpIUUl4WV" TargetMode="External"/><Relationship Id="rId215" Type="http://schemas.openxmlformats.org/officeDocument/2006/relationships/hyperlink" Target="https://news.google.com/rss/articles/CBMiyAFBVV95cUxPWkg2RVB4TmhnMW43a3FCYmNNcTA0NFZVdFFLTTk5RzBEM3VNRWxpQTlBeFJmR1V5SmpsWEJPcjByaHptbm92RnpobEFmRzR0ZWxsRnhxdWdhcGxaeVpxTEkyNFR6aUtZd1lpblhKS2JTU3ExaTFBN1M2MWhCVVM1b1RNVnNHT2lpc3g5Qm1Fc2tISzMzd1M5cWMzc3cwZy" TargetMode="External"/><Relationship Id="rId216" Type="http://schemas.openxmlformats.org/officeDocument/2006/relationships/hyperlink" Target="https://news.google.com/rss/articles/CBMirAFBVV95cUxQU1ZoNi1QRmswZjFEXzBXcGxCOU9aTTh2UllSSHFoYzVHc3d3cDZIZXVKMDNJdnh3TFh1Ul9wYXZIb1dsWkNNbUUzWkdGaHQxdUtrZk1sNWxoYzhPWWt1dE04ZWtyM0FlUkc2dmJDOGNoLWVObmdGZ1FkSEgxVzJFd2NpVEJWZXhGNG1uWWhObzBoRnFIYUowSHpvYUhkR3" TargetMode="External"/><Relationship Id="rId217" Type="http://schemas.openxmlformats.org/officeDocument/2006/relationships/hyperlink" Target="https://news.google.com/rss/articles/CBMigwFBVV95cUxNZjlzb3hZUDZ5dnFPTHppR3hOS0dtc3haUGJVRVM5eUFfN1dYenlCNkZIcHR5azl3eHdqTUs4SDI3dFRnYUJfSU10Yjd4c1FmNHprNWJ0N3dGZngxd3lhQ0paMko5X25tMWllcjlKX3VoX25hODVfUm9uRE5kSC1iNkN3RQ?oc=5" TargetMode="External"/><Relationship Id="rId218" Type="http://schemas.openxmlformats.org/officeDocument/2006/relationships/hyperlink" Target="https://news.google.com/rss/articles/CBMigwFBVV95cUxNZjlzb3hZUDZ5dnFPTHppR3hOS0dtc3haUGJVRVM5eUFfN1dYenlCNkZIcHR5azl3eHdqTUs4SDI3dFRnYUJfSU10Yjd4c1FmNHprNWJ0N3dGZngxd3lhQ0paMko5X25tMWllcjlKX3VoX25hODVfUm9uRE5kSC1iNkN3RQ?oc=5" TargetMode="External"/><Relationship Id="rId219" Type="http://schemas.openxmlformats.org/officeDocument/2006/relationships/hyperlink" Target="https://news.google.com/rss/articles/CBMi-AFBVV95cUxOR1FjYm1fS2xld2hJZFlZVGJMaFd4OXJUajJsX0xYZEwtcDZEZS1EUkNjdi1qZUtQQTNyRVozUVR3TkNYbHU4RV9GRTdtbTFPMEZlQV9HbUdSb01MVmRwdVJBRUI2VkVQZm9GMlRSalJsZWF0cXppUzJnY2pfNlpmcVdsYnZHWVhnOFBhekdFZGVoOU56b1QwZ3JZeGd5UF" TargetMode="External"/><Relationship Id="rId220" Type="http://schemas.openxmlformats.org/officeDocument/2006/relationships/hyperlink" Target="https://tw.tradingview.com/symbols/NYSE-DAL/news/" TargetMode="External"/><Relationship Id="rId221" Type="http://schemas.openxmlformats.org/officeDocument/2006/relationships/hyperlink" Target="https://tw.tradingview.com/symbols/NASDAQ-CSGP/news/" TargetMode="External"/><Relationship Id="rId222" Type="http://schemas.openxmlformats.org/officeDocument/2006/relationships/hyperlink" Target="https://news.google.com/rss/articles/CBMivgFBVV95cUxNNnZHQ3NLMlRkcUo2ZzYzQnROUU9wWnFWRlVXOWJGN0VpNlVVN3VYZmlQZEY3V09yaXpJbUU4OXdQUjA2RmROTDJBZ1FwV1I3bkpoTlZ1ckI2WGVMX2hOZnJ5aUFqenJwNHRGeHlwSW9RZnhJb3JaUEsxN2E2eXYyOFZSNDI3MU1fdDJCZVdWY2hFMjlQYnp6amZ4SGRNZH" TargetMode="External"/><Relationship Id="rId223" Type="http://schemas.openxmlformats.org/officeDocument/2006/relationships/hyperlink" Target="https://news.google.com/rss/articles/CBMiowFBVV95cUxQczMxenBhWTV5Xzg4RmY5bFNzNnI5ZTdGWXhQY0t4ck9rNm1xbVU5SnpWbzhIRWFuRTlPVC1GY0QxUEVYenFMUl9mX2lQQjNSRHN5cTZCcUxLVkxJTi1vNjVNVEVzZ3k0bjRkazNyZUstWV9NdzZUTU1BTERTcmdxNHlmQUhhV2lyVW00al96dVU0YkRFWl9hQ1YwRGRLMW" TargetMode="External"/><Relationship Id="rId224" Type="http://schemas.openxmlformats.org/officeDocument/2006/relationships/hyperlink" Target="https://news.google.com/rss/articles/CBMiywFBVV95cUxPRVM0cEZMZk9PbGROZEpzSk9CVGFLU2ZMWUE2UmpVWTBNZXZZei13STJZZlZqYjh2NHdhRVJBNDhaaG1Wd1JOdnhLb292MlNscmhPM1lFczljdWduQ3VyMEVTUnNMSkdSLXZFQ2RJZ1VOZnk2c0stTXFHbXl3MlR5MUVrVmZPeDN5R29WSnhVZndBRkpMZks3cHJMek1Wdk" TargetMode="External"/><Relationship Id="rId225" Type="http://schemas.openxmlformats.org/officeDocument/2006/relationships/hyperlink" Target="https://news.google.com/rss/articles/CBMirAFBVV95cUxOVnk2YUNQZkkzTTZtbEdZNWktQWhmdUNYcmhUWDNkWTk1bkQ0N21GR2hYRjYweWN6ejQwOW9HYzV4dUR5MmFpWFplYWpkLWdfd2FXQS1wOEd5TGVHXzlTWkZBRzV1bnFpajE3QXRndFBSR2pwaXY3b0VLb2xjOGlIRFFqdW5ZZFhGc3p1cWFXbHY1RXNrQ280ZTBrT2kzbW" TargetMode="External"/><Relationship Id="rId226" Type="http://schemas.openxmlformats.org/officeDocument/2006/relationships/hyperlink" Target="https://news.google.com/rss/articles/CBMihwFBVV95cUxOdUFSYmo0OHNLcFF1VFZITTNhZEtkQUJ4SF9qa2Y1VWUyTGJnb2NyVnRQbmZuQXJyYWhGZEVpNjhLdnU0V2lvejFfZVhfX3FETnVvQmhBczVYSVduanRQTGp5bmlHZy16VUl1TjZBa3FHaWNrbUxvYmlXSUw3UzhoNDFfNXhtTTQ?oc=5" TargetMode="External"/><Relationship Id="rId227" Type="http://schemas.openxmlformats.org/officeDocument/2006/relationships/hyperlink" Target="https://news.google.com/rss/articles/CBMiygFBVV95cUxPQ3ZBS1Y2RDlwQWpEbEEtakRYbk0yVzJ5TjItSktiN0E1OVYzQjRTLTh6ZkxFWXZyLUJPbVVONy02akI2ZXZHeGZQUk5zZGdOTVdoWlJyQ0dCb2ZhTkFpaV9VZmlQeTdWMlFQREo2b0cyOExBcEYyQkhYVDM5RENFNE9MUGUtM1VvZmNOS0owaEpZVDVuTEtsNGMtd3RnSk" TargetMode="External"/><Relationship Id="rId228" Type="http://schemas.openxmlformats.org/officeDocument/2006/relationships/hyperlink" Target="https://news.google.com/rss/articles/CBMi7gFBVV95cUxOWFAtVXEzbGtYc085N3FfbFJLNFVrRk1BdXdvaXE2RjdpUkZINkdJeEMtUHJzbmhJRlJBbWpsMThrRnM5NVdiVkFoZlRqa3pidm9NTEEwUUJNVk9RT1dkeUJYeVdMcVlHM084Uk9RVl9mUTFkdnNBbFJNVzRqNjlFeFpRcjQ4Ykg3dTNTQmEwOHJELWpCVktuUE8zem1YRn" TargetMode="External"/><Relationship Id="rId229" Type="http://schemas.openxmlformats.org/officeDocument/2006/relationships/hyperlink" Target="https://news.google.com/rss/articles/CBMihgFBVV95cUxOWlU3MmpCaE01eGNlN2wzandqZjNIQlpQdXBaUFRweTVEM3RJZi1pcHE4VWs3cjZsNnh1b3cxX1FJTkJZRU9PZmNKdUJ6RXdVMThrQXpDM09ScktoUVJtc2V6dW1iNHlOTkVTT201VFRNS0JQbDBBVlFicUROYXFiUzJpdUpBZw?oc=5" TargetMode="External"/><Relationship Id="rId230" Type="http://schemas.openxmlformats.org/officeDocument/2006/relationships/hyperlink" Target="https://news.google.com/rss/articles/CBMidEFVX3lxTFBLTXBWUDVyaXFnR1c0LUh4M25EYXFzUGVoYlRPYWQyZjF5alVSd2ZoaDZFcVdGaDhvRjk4d0wwRmhRSTktbzBXWER5eFJOZkMtT2tRay1qMldfRk1CM0cwTkxHa2psbzEtM1E2M29ERzlocWZS?oc=5" TargetMode="External"/><Relationship Id="rId231" Type="http://schemas.openxmlformats.org/officeDocument/2006/relationships/hyperlink" Target="https://www.gelonghui.com/live/2643055" TargetMode="External"/><Relationship Id="rId232" Type="http://schemas.openxmlformats.org/officeDocument/2006/relationships/hyperlink" Target="https://news.google.com/rss/articles/CBMipwFBVV95cUxNZlg3Sk15d0JVV1JmNzhFX19ObzYyZzZKYUZ4TFpkRFF6YnN4T2lzYzNsdl80YXIwb21ObWdDNVdkcU5HcGNKNWZlSm5PSGw3MlJyUGI1aDhVbi1yNndwMDhhdFFDeU1Ta0h5aTJUVXMxdnJIYkJRYkYwcjQ4Y1JtQVlEWVdxZTBNU2hVNE01X3NGQTFKcVJnYjdPNjM5Q2" TargetMode="External"/><Relationship Id="rId233" Type="http://schemas.openxmlformats.org/officeDocument/2006/relationships/hyperlink" Target="https://news.google.com/rss/articles/CBMiwgFBVV95cUxNTG40SlVsWjA5cmh1TDRGbFNza2pqYjJZNjJfNDdKV0VkQTU5VUNGR21tWXQ5cEo4ZEVybU5aWGhLeE1MUlNkMWM4SkRjT0FiQ3BIX3hrRVZDTUh6ald1U1RPZ1V3aUZzenpDQU96X3RVUW5CZ29laldwWnRLNWNEeS1ZejMwX3l2RWVEeDEzWW1Cb25IOHM0b05nVHBSbG" TargetMode="External"/><Relationship Id="rId234" Type="http://schemas.openxmlformats.org/officeDocument/2006/relationships/hyperlink" Target="https://news.google.com/rss/articles/CBMimAFBVV95cUxOUDZwVUpsY25wdGMtSGZCZXc4bmp2eE5raktyLTNHWGh2bnVCcERVT0hwMVFzT2ktLTk4bFpqLXh4aUF5a3Q0ektCZGhIMU1nZE1hdnRCVVQyMDVKb2hCVjJhLXAyR0xEazFvMjRjdzRLT3Z1NHRpdHJpTGdWMF84TTRhY1NxZGIwWmZBSnctYVdVeUJ3azhTag?oc=5" TargetMode="External"/><Relationship Id="rId235" Type="http://schemas.openxmlformats.org/officeDocument/2006/relationships/hyperlink" Target="https://news.google.com/rss/articles/CBMiqgFBVV95cUxPUzhUWXczbjFiZUR5RmhSdnhTZnkxWUlWUS01MHVsZnZ5T1ZkYS1Ma0RHSHlna055eVlNb0lsNG5uQzEwMHNPN1VOa2pfd092anlWN3JtOXF3YUpwajBLclFPVnJ0cFJVWllnOUN2S2Y1TEp4SzRiaGRhNWFIR0xWci1aaGxwNnpMNEZDMzlzQ3V2NWVQYzBER19WVHBkc3" TargetMode="External"/><Relationship Id="rId236" Type="http://schemas.openxmlformats.org/officeDocument/2006/relationships/hyperlink" Target="https://news.google.com/rss/articles/CBMidkFVX3lxTE8yLU9FSE9oNDlKOFlmck9qOEFmdmM1QWpjamJvTEtZT0JQdG1FTDcta0E2Zm84NTVqZmVoYVFxQTR6TGtHMTN1UEFfUEVkNWFsNVJ5NmxYamJFQWt6QUdxb1VVTno1Q3lsNWhUbkdaaGJEZ0J3a2c?oc=5" TargetMode="External"/><Relationship Id="rId237" Type="http://schemas.openxmlformats.org/officeDocument/2006/relationships/hyperlink" Target="https://news.google.com/rss/articles/CBMiVEFVX3lxTE9mQlB1M3g3OGZRMHNSOGtjLTEtOXc1bmd5LTBHTU0yVG85VjF1enFyVFROSXNQLWpXclA4c09haGxqU2o1eTRhd0xSNUVxQ0FTdDdrag?oc=5" TargetMode="External"/><Relationship Id="rId238" Type="http://schemas.openxmlformats.org/officeDocument/2006/relationships/hyperlink" Target="https://news.google.com/rss/articles/CBMitwFBVV95cUxNVDR5c19SZXVuTFlhNFFrZXZNQVpfbEVFUVQ1SGhDNi1HSmhxeUx2akJReU0xdDA2S1FCbGx3LUxIbHM2dE5WeXIxVnVfRlJoX2dVVnhkcDFNVHJCQVZGSDJDbDVLTmpvUmJsY2R0bnN6aUh2ZG9FSXpseThUeUZWX1poZURLYUFlNHFUZG1weVotanBEdllpaU8wM2l6d0" TargetMode="External"/><Relationship Id="rId239" Type="http://schemas.openxmlformats.org/officeDocument/2006/relationships/hyperlink" Target="https://news.google.com/rss/articles/CBMingFBVV95cUxNWUdmRGViUHM0ZExHZXdpUEtzN2RsaEoxQnB6aENkZ0lXOEZUN2pSSk1ZeE1zQjBBRThtcE5XR3UwX0FKQ21WbW44eG9XQmkwd1RxYk5Gd0dDaUk0N1lhX05hYUFON2NRUURTa2g3RFppYUhiUGt2ZFE3aGVzVm9mVEg1amFhRzRuUW1PaGxuRktoS0Jlc2ZEWm1aaWNhUQ" TargetMode="External"/><Relationship Id="rId240" Type="http://schemas.openxmlformats.org/officeDocument/2006/relationships/hyperlink" Target="https://news.google.com/rss/articles/CBMimgFBVV95cUxNRzNBZGlDWXFXZWpvU2s3UDRPQjJhWU8tRzNsWV80TU5tZk8ycy1zWW9zUkt0ekRZZkk0czBwaDAtaVRyVUd2T0FJZTdEV3U4ZGJoS2ptamgweFdjUHV4ZkFzbWRkMWpIN2NzU2w4Z0lOS0d3N3BybDBPUWRkUTZ4RUZnbGo4SW1ZMnFiSVVKYXluaHAtb09URjRn?oc=5" TargetMode="External"/><Relationship Id="rId241" Type="http://schemas.openxmlformats.org/officeDocument/2006/relationships/hyperlink" Target="https://news.google.com/rss/articles/CBMiqwFBVV95cUxPbFFrdWhHeGFVV2FvY0JVLW1Ub0JTNlBIQ0Y1SHQ0QzlFbGwyTExpMExURnA1bENfT2xKSXZjU2Y1bTBJYVVTc3NXSzdRVEZaVXE5VEV1bFVNSk5tSWRmQ0g2TndibHYwX0FnOVRzeUIzYWk1ZnNVaVN4R0IyX25fMmVkVHBsZ1hXeWltTkhTeFV6Q2gzZW5lYlFfNUlSen" TargetMode="External"/><Relationship Id="rId242" Type="http://schemas.openxmlformats.org/officeDocument/2006/relationships/hyperlink" Target="https://news.google.com/rss/articles/CBMiVkFVX3lxTFAtR1ZSZzNDaGdvcENfWEduczlVSzM4OG5Rck9yYlRZZjFLVzU0WmpMTEpkZURldHQ3V08xcVV0MjBLbkZsOEpKMzIwLTVpWnZDOHNFeF9R?oc=5" TargetMode="External"/><Relationship Id="rId243" Type="http://schemas.openxmlformats.org/officeDocument/2006/relationships/hyperlink" Target="https://news.google.com/rss/articles/CBMiqwFBVV95cUxPZ09LRjItT1Fjdjd2Vlh5dnh6dFk5Zzgtelc2Q1JwYlBzalNkbHZuUDlmWEE2T1FJOXBYNW9Kc2Q2ZG5pNGg1V0lFMXB2NzhwdDRDTTI2c3ZoZ1BOeGRFZWdVVElJSERWS3RzMm96OXNIcElKR29kRmpTSzJBSGJkNkRhWTFZMUNTV3lyNVNYbUlmX2JMcmpVaGxfV3AwMz" TargetMode="External"/><Relationship Id="rId244" Type="http://schemas.openxmlformats.org/officeDocument/2006/relationships/hyperlink" Target="https://news.google.com/rss/articles/CBMiyAFBVV95cUxOVWc5U1JNZ1daQ0JocDl1UjJCSmJRQUhPTFlzXzBjNHY2eFM0Mm5xZG5OUGdwT1FkeEdPbjRjako0XzZDZkRzVUNVSkdLdnZwYTJQQlNxSUhlU0phMHNDQXNycThvS3MyS2NjRWtKRUs1d0NGbzI1Vy1CcTVwOU9kUk5oZERBeE8wT2FtVWxkMGk0TFoxVlA4Nk82ZGE4T0" TargetMode="External"/><Relationship Id="rId245" Type="http://schemas.openxmlformats.org/officeDocument/2006/relationships/hyperlink" Target="https://news.google.com/rss/articles/CBMisgFBVV95cUxPdEJkWjFLamxlc3RXc2VWVHN6ekFEMVFYZWhJMkdrbTRIV2s4bTFac3pwWlVwZmJFR0MyWmZSVk1JMlFfVVJzZ0JPWEg1OUFzYXBwOXBrM0hobXNxd2pWTUJmMHh5NWhkb1prbDV2ZnotblpTOHNScUNaemVLZC0wSVMyMUs1dHlIX2tpR0F1MllJelNSb01Wc2FVU1J0SX" TargetMode="External"/><Relationship Id="rId246" Type="http://schemas.openxmlformats.org/officeDocument/2006/relationships/hyperlink" Target="https://news.google.com/rss/articles/CBMiigFBVV95cUxNSlBGYlFVdG1ybmJ3N2VPRmZyaWYwSUI3V3dhdzA4WDZrN3FNNGt3VVNYMzNzblNoWU1KUEhhMUNRaEtHRWtnUjlsOWIxWFRMTzdULXZXREZ6QkxmS2tnZUd2Wng1eU5faWlIUjY3UjFXVWhqYXJjV1FlNExaMGd1dWZTdVpVWUxsZ0E?oc=5" TargetMode="External"/><Relationship Id="rId247" Type="http://schemas.openxmlformats.org/officeDocument/2006/relationships/hyperlink" Target="https://news.google.com/rss/articles/CBMiVEFVX3lxTE5kQ1hCaENxcmpnTDV4R2ZneFV5MVplOHBlQTV3ME9IdHNfNk5NMlM1XzFUd01yYzFxSkdKczllMFhoQ3dYWE85UXljOVFKcmFfWDBaNQ?oc=5" TargetMode="External"/><Relationship Id="rId248" Type="http://schemas.openxmlformats.org/officeDocument/2006/relationships/hyperlink" Target="https://news.google.com/rss/articles/CBMilgFBVV95cUxQQjJiTUx2SFhpVlV6VHF0OVU2aHVRd3pLVVRINXEwVnIzckNVLWkwSExDU0cwSkE2MVdJR21uUFdqWWsyaHV1dUVTZ1BQNmxXWmNMaVlOSjN6OEhya1c4Q0dtRm1XWUNsVWJ2enFRMk0tTlBSUjdwazhQcVFkN0Z2am1Lb3FaeXhSeGYzNWNWOUI4WGZVWFHSAVZBVV95cU" TargetMode="External"/><Relationship Id="rId249" Type="http://schemas.openxmlformats.org/officeDocument/2006/relationships/hyperlink" Target="https://news.google.com/rss/articles/CBMixgFBVV95cUxQU3RCbm5Pbk5IZHVmNHRlWUpUZTFNTUJnOGluam5GZ3RDX3JpcFFkMWpfcmFFaDJuOHVhUGN3Ui1WeU9hc2pBbHU2eUtRLUtJM3d3SWJKTEYwbzlDbE1kNk52eERvWS1JMTJxUjJzSG1oV3V3YkJHWkJzUzVocEQzOTB6REQtQ1E4Nk0zRGFjWVJpMk9BTFlnQjV2dzVsSz" TargetMode="External"/><Relationship Id="rId250" Type="http://schemas.openxmlformats.org/officeDocument/2006/relationships/hyperlink" Target="https://news.google.com/rss/articles/CBMilgFBVV95cUxQX2xINGhwRFd1aFh0UXNSbmh5R3JqcGpQTUVJRl8wRWNQUjhFRnJoZFp0XzFTUTAzQ3RqcGtGWGotYTNlWnZTU2JhUVVVX1AwYzdWUzJwQVppWlF6a0pmTzcyWW1CdWtJRDVnZFdfaWtDZS1acm16NjY1LUR2Wl9Zb1Yyd0FZbW90dmJuRHZXMTdfbTFqVXc?oc=5" TargetMode="External"/><Relationship Id="rId251" Type="http://schemas.openxmlformats.org/officeDocument/2006/relationships/hyperlink" Target="https://news.google.com/rss/articles/CBMinAFBVV95cUxQOWE0RTVZdjhXU0V6TjRLRFVoUXRBWEI4YVRhcTAwZnNxUkhnYmFQTmw2SHlaTnQzUTlOTWpxOVBCcXVaUkR1bUpFNUdfNzBRaW95RThnbW92RVpOdElJZGpUTVBMcmFuMVMtWHBkR253aGhITDExYkl4bDJNSlQ2amNkZEluaURneW03dkdVNUh2dFF4ZldLWEJHc2Q?oc" TargetMode="External"/><Relationship Id="rId252" Type="http://schemas.openxmlformats.org/officeDocument/2006/relationships/hyperlink" Target="https://news.google.com/rss/articles/CBMirwFBVV95cUxNQWMxNWw1aW1sYnpqcWk5ckJCZktPcF9ycnJOaTUzT2xETi1memFzVXdkMEU3a1BZQll5N01fVl9PS3duS2pMYmxpbzlrMm9xaVNxZ3ZKLTYwb3g0NWE1MTJyWXAxclFYMDhrYmQxYUVFa1Q5N1kxbE5BQy1sV2pHOEdLdndWaGh6RWJIMkpxRkJYT1hRdWlKS2tXQXJydD" TargetMode="External"/><Relationship Id="rId253" Type="http://schemas.openxmlformats.org/officeDocument/2006/relationships/hyperlink" Target="https://news.google.com/rss/articles/CBMigAFBVV95cUxQblVxbW56cVdrQ3FaWWRTTDZueGtsWE90YURua2FyTU1uVXNCOW5pM1ZLZ2FaTDdoNTN0REJBdjU1N2trbEpFbWxxbmh6ejJ5NFRmUDJQSmtndnZYQ3pHdjRRSjJYSVNmMTNxWFR1UWVhSi1kREIzcHNHUng5SHdtONIBiAFBVV95cUxQR3g3a0sxNUVSa0t2M0tyTnBKbz" TargetMode="External"/><Relationship Id="rId254" Type="http://schemas.openxmlformats.org/officeDocument/2006/relationships/hyperlink" Target="https://news.google.com/rss/articles/CBMikwFBVV95cUxNc25oZ05la2kzMDh6RTM2cUdOQWNTWTlRYTJrc1I2WkhPRVlIcXkzTEF3S2lZX2xaaXJUSDd2eU5ZalI3NGNSVzdsMlVfNm14QTNmTnY4N1c5dDdINFhjelNxeGRNOUxkWTJGTGFHZFBtOUJ4WG1NOVNGUmJ1eHZPWEJWYS1oUGtGSXBvVmYySkxSRE0?oc=5" TargetMode="External"/><Relationship Id="rId255" Type="http://schemas.openxmlformats.org/officeDocument/2006/relationships/hyperlink" Target="https://news.google.com/rss/articles/CBMi1wFBVV95cUxQYks2S2xRUDV1SDNjTVVLNFIxR1JFeGp4NHpqekh2bV83cHhNcXFtVDhja2Y3UTgzeTczNk9wZ2dlTlFoRlZEQjNLWElWZ0hsTERPck1kNm1zaG9BTG1YRVpqaU9QODZTb3RCNTdKMVJmYWR0U0Ric3lKV0NaMENiUVRBb0djZTkxYkRPMnNXaktPTm9YbmItZG9qTHgyS0" TargetMode="External"/><Relationship Id="rId256" Type="http://schemas.openxmlformats.org/officeDocument/2006/relationships/hyperlink" Target="https://news.google.com/rss/articles/CBMivwFBVV95cUxOM04tamJVM0lINldJeEdvdDNHbTMxM2NMY0FzZjlGbWQzRVRjWGMweU9WM1NFeXU2U0NwdDdxZ1JOSVVUM0tjZVlkQTZvbE41VGlOT2FVbVJrRjN4Wk1ldW1od2tBcUR2T1ZKR244TjQwdWtHTm5qVFRyOFdzSGVGWVNtbFUwdHVZdl9Fak9SR1JlUWN0VUNXdFZPajZuTG" TargetMode="External"/><Relationship Id="rId257" Type="http://schemas.openxmlformats.org/officeDocument/2006/relationships/hyperlink" Target="https://news.google.com/rss/articles/CBMioAFBVV95cUxPOU9QdWY4TXZkUW1TTklzWVRQbDVlSGlZRkxhNDBWR0drM3d4Sk5pdkhFemYtM0ZZaXFvMlVQeGpfRDFhQ1ZTZXhTOHZGOEtBNWRZRG5fdklkRG5GTDBLeGpoVDdXbC01dGs1dnNiZU1sRTZwMzExeEZZd1pTeTRkYmktTzFFOU5jOG5oX3VEdkJmNVphSWxjMmF1ZEhUcG" TargetMode="External"/><Relationship Id="rId258" Type="http://schemas.openxmlformats.org/officeDocument/2006/relationships/hyperlink" Target="https://news.google.com/rss/articles/CBMitAFBVV95cUxNMEpVOWZranlNWUZ3dkdLRFp6WHpFOHdPdkszVGpmY3ExLVozUzh0TmdMcVlfVDNlenpjWjRqbDBobVNPZ2VaOUpndWhIWHlmMTQ2YkhHZU9OQVk0OGRwTXRhdV9YODZpNDNtZjJMbDgzdUJic3h5Vi10eDdXZ0ZfLVFwZzU4aXd4NVdmc3R4MDN5VVdlTFlLUzZqZkVwcH" TargetMode="External"/><Relationship Id="rId259" Type="http://schemas.openxmlformats.org/officeDocument/2006/relationships/hyperlink" Target="https://news.google.com/rss/articles/CBMipwFBVV95cUxQakVGc0lZV2l1T01tVEwwUm9DRUJPbVVBeXR2dC13Zi1SWkNYTEtobWVDd3FCZndOSC1JR2pPWmptbUd1SXdEcm9vaWdzMFFGS2dHeGc0blNxbG9nYVZaczl2c0sxYmhQTzB6VldCSkxwOFJUeW1jcnBFYk1yRHpyOTNCZFVQZEVuUkpMekR6V1dLbXhUMmhMZ3pBQkRaUE" TargetMode="External"/><Relationship Id="rId260" Type="http://schemas.openxmlformats.org/officeDocument/2006/relationships/hyperlink" Target="https://news.google.com/rss/articles/CBMitAFBVV95cUxNMEpVOWZranlNWUZ3dkdLRFp6WHpFOHdPdkszVGpmY3ExLVozUzh0TmdMcVlfVDNlenpjWjRqbDBobVNPZ2VaOUpndWhIWHlmMTQ2YkhHZU9OQVk0OGRwTXRhdV9YODZpNDNtZjJMbDgzdUJic3h5Vi10eDdXZ0ZfLVFwZzU4aXd4NVdmc3R4MDN5VVdlTFlLUzZqZkVwcH" TargetMode="External"/><Relationship Id="rId261" Type="http://schemas.openxmlformats.org/officeDocument/2006/relationships/hyperlink" Target="https://news.google.com/rss/articles/CBMi5wFBVV95cUxPMGVVNVRSaldHUXlHOFNEZ0c4d0RFYnZnaGd2Y21id05GMk9Wb0E1OHJZTW42UHRITU9PR05yOHFuMG9fVl85UThtSkRwTFFWNjhBc0VVSnpzTG9VMnR2b2dvWlhTc1FjbnkzRFQ5aGRfQl95a0pOOTZ5dXBxWE9TNjF4TzZHbU4tVUN1QTVzRWZUM1BIQ0lsZXR4Wkd4WE" TargetMode="External"/><Relationship Id="rId262" Type="http://schemas.openxmlformats.org/officeDocument/2006/relationships/hyperlink" Target="https://news.google.com/rss/articles/CBMinAFBVV95cUxOcVlBMUdJMHNyVGhEVk93ckFOdWZyNTZpZTFselF3dnJXMnlpeFFJMjNKNUtmcWpKR2JNeGFKLW9RWTd6c05uYjA3bUNQUTc1b2pMYVcweTV2MFRyTTNvS1NVZHNxNHB1WV91OUp3NXMxSFgwbUZPNXNOZk5HU1M4R0g1WGZRMnNIM1dGWVJWX2syM2F6d1k0bGQ2NlE?oc" TargetMode="External"/><Relationship Id="rId263" Type="http://schemas.openxmlformats.org/officeDocument/2006/relationships/hyperlink" Target="https://news.google.com/rss/articles/CBMimAFBVV95cUxObFQ2MVVNYklFWnVXcW1vM3lEQndhYkFwUzJpUWtTeUN5RWIxUzlGWnkyTmNDYV9mbWZzNDFXYnlyMkVTMHlZcld2d1MwQzJCRUw3WUE3ZDVjZV84UTU5Zm9uQmo1RzBSbmo0Vm9rNFhwbENxeXlVa3IwRmJ0SUxPcUlzbFNlY1hCdGtpWjhGUE1nelJKNWFfSQ?oc=5" TargetMode="External"/><Relationship Id="rId264" Type="http://schemas.openxmlformats.org/officeDocument/2006/relationships/hyperlink" Target="https://news.google.com/rss/articles/CBMipAFBVV95cUxNSWp4NmVhejh4bG5ZYXRVOFVaZ1g2VXVGYWZXUlZETTdGdVJ2NDdPRlMybkhVSEZrbk1tTHFMTzFVdEs2cE1qMzFZdml4cDNBTXFvaXJTTm5wSVpSd3ZVZHFkVWdGN3lTSkpZN0x4NzQyc05UX0h0Qmk1UXdabVpVeEtHMVlSTF9VcGNyZl9mdmRnWjJBLWJ3WFowNk45R0" TargetMode="External"/><Relationship Id="rId265" Type="http://schemas.openxmlformats.org/officeDocument/2006/relationships/hyperlink" Target="https://news.google.com/rss/articles/CBMikAFBVV95cUxNYzRxS3dnUk9NS1JSNzJEOW9kRDVJdUFWTTlmWEdtYUlTeGdUU3ZrTHU5R0ZXLXZkRDVqbGdLb1lWZUJvb1BqcDRqelNCeElMSnk0eVpWcmM3UXJSZHhRYWxlRE1Gb1E1cFZFOWZBR01tZGFEZUlOSk56MW1iaDVXMkVfNUgzeHZQY29kbXdsSng?oc=5" TargetMode="External"/><Relationship Id="rId266" Type="http://schemas.openxmlformats.org/officeDocument/2006/relationships/hyperlink" Target="https://news.google.com/rss/articles/CBMiqwFBVV95cUxQZTYtVnBkNGg5RTBvR0k0dVBwOVVBaFpwUFBCZGppMmh3dDU3b0didkdpRXZYWGZuaDVmNElhUnAyQUR0bnNMY2stYk5zd2ROV1FNQ2paYUVEWUxOT2w4WlNRdUJyVWxlemtTV0NuZkhtVkFCQkI1WF9FbmxqV1lHSnRUQUhPZnJZamYtZmNVZ3N4d1lzOE5YY3FaQkhCZH" TargetMode="External"/><Relationship Id="rId267" Type="http://schemas.openxmlformats.org/officeDocument/2006/relationships/hyperlink" Target="https://news.google.com/rss/articles/CBMioAFBVV95cUxNSDJzV0M4bU85QU0ySDhqV0F2YTI5U2wxdnJ3YXN4bkY5eVl1VUQxS3lMd0w2OTV4S19VdjBWTUEwWVZEc19haDJNaDh5T2dZVF9qUVljS01IVXpYNndvQ3hQak1UeTU5Y1o4OUVqTGVLUHZQb2FEcTgtR2JPM1dVcjgxZWwtVFFVdFJmN3hIdHk1dWxWVEZfYklLd2pjWU" TargetMode="External"/><Relationship Id="rId268" Type="http://schemas.openxmlformats.org/officeDocument/2006/relationships/hyperlink" Target="https://news.google.com/rss/articles/CBMilwFBVV95cUxOWHN6U2Vwdl9tNGFVRHFjS0Z1cG5ocXk0bTNOQ2lSS1hPU3h4am1wSHdnTXVjM0RRVVZac21CdEVvd3BXbXIwbGtoT245RWlZOURPMGkzcGhudC1iTkJHaDdLeGpPRTNId1IzUjZYUXVmVFVMWkJYZ2tBOGpZRHpwVlAxc01WQnVDZVVKUVc1VDVPVXVQUHkw?oc=5" TargetMode="External"/><Relationship Id="rId269" Type="http://schemas.openxmlformats.org/officeDocument/2006/relationships/hyperlink" Target="https://news.google.com/rss/articles/CBMilwFBVV95cUxQam9qUlRFMDNUX1duNG40dDlEWTBpeHZwRXpVWFlTRjdwXzF2RzRSRFRXRmEwOTlPUE9DQ3lLQ0NjYnl0aTMydmtTWXBoUW1QenBqS0pkWFZOS29xSkNacGJlMkp6Wl90ZWlOeWVMU3ZoSWFsY0t1OFlkbGJLbktybzgwb3AzZ0tCNV9yVkljSndNSTdmMTdR?oc=5" TargetMode="External"/><Relationship Id="rId270" Type="http://schemas.openxmlformats.org/officeDocument/2006/relationships/hyperlink" Target="https://tw.tradingview.com/symbols/NASDAQ-MAR/news/" TargetMode="External"/><Relationship Id="rId271" Type="http://schemas.openxmlformats.org/officeDocument/2006/relationships/hyperlink" Target="https://tw.tradingview.com/symbols/NASDAQ-BKNG/news/" TargetMode="External"/><Relationship Id="rId272" Type="http://schemas.openxmlformats.org/officeDocument/2006/relationships/hyperlink" Target="https://tw.tradingview.com/symbols/NASDAQ-EXPE/news/" TargetMode="External"/><Relationship Id="rId273" Type="http://schemas.openxmlformats.org/officeDocument/2006/relationships/hyperlink" Target="https://news.google.com/rss/articles/CBMiwAFBVV95cUxQTDY2cGxiOTFDVUpSZVdKNUFYUWdDa3ZKTndkQ3JFaUxYd2ZMb2pUcnVJM2J3emxuTE1wMHNKdndvRlFDTEtKWXNpbGs3Yk9BWVVkdDJWLVk5dHBhbTBBWER6UFdkY3RHWnd6MmtOZUcyYUdnVDN4UGNXWnpPQnNOVVR4ZVNqX3lsdDJuZ2FPZkhXLXQ3dHNQekFDYWkyOT" TargetMode="External"/><Relationship Id="rId274" Type="http://schemas.openxmlformats.org/officeDocument/2006/relationships/hyperlink" Target="https://news.google.com/rss/articles/CBMinAFBVV95cUxORmpmYzNtREFBc2xnZURoNGYxcm5rZExJX2FUa2d0WmU5akU1TjI2c04xU1ZSZnBkRDQwTVlxMkRrZ1NCbEs4YWJuMUZRbWRsSjlIamhENzJDUkp1TnVMOUtNYkdfMDN3MEtQTG9wbUJkUHBqUjJ0WFRfalFqMXFwbWpLRkVWZVZjajJMS1k3VURWbFh0RWttVEdtTXY?oc" TargetMode="External"/><Relationship Id="rId275" Type="http://schemas.openxmlformats.org/officeDocument/2006/relationships/hyperlink" Target="https://news.google.com/rss/articles/CBMi7AFBVV95cUxQMTB1NmNRUjk4UVJQal9UU0QtVTNoZEVIU1Z4V0NMS1YtY2tYc19YRWZQdUpmbFl3WmVnbFhJekFxZDB0U3JSTS1hMjdRTkwzYmxFak9MUlVJY2hRZDhkTkJiSExmdllKZDJ0Ri1FbjFHOEJwNHExN1lKZUlXbnBIM01UU1FXRlRQWERLbjRJTXoyd3dvV0wwM1pJNHR5WX" TargetMode="External"/><Relationship Id="rId276" Type="http://schemas.openxmlformats.org/officeDocument/2006/relationships/hyperlink" Target="https://news.google.com/rss/articles/CBMi2gFBVV95cUxPbS1rWDVwMExxOHVRaU5Gbk11NmVZT3FzcnFoMFJ3MDQzSmVYLS1UZnlTV3A1bVBpQXltTldjNV9Wd2xoUC0wWkhYdTVwMU9Za3N3V3U4X0FYb3g3WHFCMjRvUVg4RXBFS1ZLZXJUM3FYZThPUXQ3bmdLbGZNZ0M4WWRMRVJqZUpQd2o5LVJvSVlSZFhuMVJ4WDkzYnhiM0" TargetMode="External"/><Relationship Id="rId277" Type="http://schemas.openxmlformats.org/officeDocument/2006/relationships/hyperlink" Target="https://news.google.com/rss/articles/CBMiiwFBVV95cUxObk1yRHQ4ZlRjQXRPZy1ralZuYkxkZlEwdWVrQzV3ZkJKeXg1OHNVLTlHQU1MRUtvTnZxNGpNVmRrQ0tSZVlDR2luUmFRcGgwWkpVaTR2ekp0RHk0U1dSQWhyWm5abjBMSm43dFlBYTBUSXNTeUwzanYta2w2cmdhYVpDMEhaLTZaM0pB?oc=5" TargetMode="External"/><Relationship Id="rId278" Type="http://schemas.openxmlformats.org/officeDocument/2006/relationships/hyperlink" Target="https://news.google.com/rss/articles/CBMioAFBVV95cUxPTjJnMzBOdnpWNDRxazl0ako0czBYd0tJNFNRcFhGZ1kzdVU1VXVaaFBDZ1VMRGZJa3VWTVNkRnZwVVBCT1hnSVNOdkhYcHVVRTZCeUxuX2k0aVZHTkVVX2xGelJHRVJjUGV6aXlLS29CMjR1cWY0QVJHbU9oZU1PaFJJU1BURUhqZXl3bm8xUWlwZEdOS0dEY3pxUnJyc0" TargetMode="External"/><Relationship Id="rId279" Type="http://schemas.openxmlformats.org/officeDocument/2006/relationships/hyperlink" Target="https://news.google.com/rss/articles/CBMidEFVX3lxTE82V216N2tCQWdIODB5eHYtam5veVMyaVZaZWNoQmNEaHZZNmNXYnlycEtrWTRNLWdlRDlRVFNxeWtVaDVzVGFQQWZDa0w3MnRCd3ZsSEZ5RS1SQlJDR3JyeW41TnFhWEFSZXBUREZpdVFyc0dv?oc=5" TargetMode="External"/><Relationship Id="rId280" Type="http://schemas.openxmlformats.org/officeDocument/2006/relationships/hyperlink" Target="https://news.google.com/rss/articles/CBMiowFBVV95cUxPVjVOWWRkc2pSc3RLOFBTUGFCb2Qxb2tfa3JubDAtekdiYlVwWTZmdjlMQXprNWhOQklxOF9lZWJTQ29QS3hqcHVQQmw0TTI0MFlxOTRXMGV4UlZ6dWE4cHZiS3A0QUNka1IyclRWV081eDdhOWVaemtBREdMcWFLbVJzTmFOS1oya2p5djhWa0k2RVpJLVI4bzdvNUFZNE" TargetMode="External"/><Relationship Id="rId281" Type="http://schemas.openxmlformats.org/officeDocument/2006/relationships/hyperlink" Target="https://news.google.com/rss/articles/CBMimgFBVV95cUxOVGdDS2t0RmJmaWZic19KTjQzeHRqY3VRbzJ5NF9QQmdDbVN0QW14OW9UdmZzc3RyYV95bDdiVV9RNjl3cHdhS3FoU2dnWU5JQ2VqZ2NkQWllRHVJa0lDNkg3bkxfUUp4WlFIV2MxX2tXVDN6RzM2Q3VENXVMRWlGVThzQl9jTkdiLXgyeXNOcl9ZSlljWVgtWWx3?oc=5" TargetMode="External"/><Relationship Id="rId282" Type="http://schemas.openxmlformats.org/officeDocument/2006/relationships/hyperlink" Target="https://news.google.com/rss/articles/CBMi1gFBVV95cUxOelRLOV9rME5HRm9LeWNQd3VOTVdlRGc2TU9KZWJRNEZ1Yy1YNXJCT0V2X1g4d0tFc0dVMkR5N1Z6ZWZPQzk5cmY2OXdyaVNoT0VTTFB3Z05kYzFPbC03cHBnQmVLajd4YkFPeEhwREptZUdMOHE4ZWRMeUozOGg1X2V3dlNoN1BCZnJtUnRCaTNtZ21yYjZaOVRSQXF6QV" TargetMode="External"/><Relationship Id="rId283" Type="http://schemas.openxmlformats.org/officeDocument/2006/relationships/hyperlink" Target="https://news.google.com/rss/articles/CBMipAFBVV95cUxNaExLT2dpV25lSlRORWdnUzBNMExQYkRaNkQtWUlHdGlUbHNIa0JYN1JSdjJzMDJHYWVzNUE2Snp0NDQ5QzJxYVZrb3FMLWJDbWVFRTZfd0Z1aF9LMlQ3aHRKT3p0WW9jWnlZdVZwNGg4QXNOc1NVNVVfa2VXb2FyMlhiMFZja1JMcHpnVTktWnNhNU1qT1cySTNFNE9OT2" TargetMode="External"/><Relationship Id="rId284" Type="http://schemas.openxmlformats.org/officeDocument/2006/relationships/hyperlink" Target="https://news.google.com/rss/articles/CBMiXEFVX3lxTE1aM0hBQW9xTklaLVZXRkxvUHpJa1Jlbkg5blZtQ29jMnItVHJiNkNqVlhuZ1VZTDk2dTNIcHk4WWNxU2l5akpxS21iWXBacEpKWXozQlUtNXAwVzRT?oc=5" TargetMode="External"/><Relationship Id="rId285" Type="http://schemas.openxmlformats.org/officeDocument/2006/relationships/hyperlink" Target="https://news.google.com/rss/articles/CBMigwFBVV95cUxQU1FjcFVjandEZ3dKQmpUaTlCMUhHbFQxNzFCWmJab1E3QVJ6am1hdVR5czduZmhlV3BqVEhqcWxvbk9LMy1CRmNXRHJzcTlrdGZWWHlndWZkbjdpc1VUdVF1T1ZSbHZTbjlURzBFenl6aF9DU0RaVDh6ZVlSSGZ0ajc3SQ?oc=5" TargetMode="External"/><Relationship Id="rId286" Type="http://schemas.openxmlformats.org/officeDocument/2006/relationships/hyperlink" Target="https://news.google.com/rss/articles/CBMimAFBVV95cUxQVlBDeEk0Y3F4N1hGRUdXNTZrY2Q4RlpBRWVOczFCNGtBTDNaaXF3SGN1RlM1MVVseHg2ZG5kQ3NsZ1VJTUdlNDB4QThXaVU3YUtQOFNUbGVtM1VDaC0wVjEzekM1VTBMdHZkbUtXZnZsNVF3NjJlYU4tdEdYcXZwaVlYb0x5azB6dGUya0JLNnJvTjhSQndvTg?oc=5" TargetMode="External"/><Relationship Id="rId287" Type="http://schemas.openxmlformats.org/officeDocument/2006/relationships/hyperlink" Target="https://news.google.com/rss/articles/CBMipwFBVV95cUxPbGp0eGhTa0MxbzNCYW55SWdrQXd1Q0tFRUZaMUlUcUJGeE90WEM3WGhRekI1enQtSFhuR2dERTgtRWpZX1FhVHhCOVdWUlhRLS1qT0ZkNXhaWkxfd0VjMHlnZk85YUpOX0x6cndpdVNTbVNqbnRiY3ozVVJqLUlja0YxSjhhZHVzTUlXUzcyN1l3MFZwX1VuVGhRZHdkRk" TargetMode="External"/><Relationship Id="rId288" Type="http://schemas.openxmlformats.org/officeDocument/2006/relationships/hyperlink" Target="https://news.google.com/rss/articles/CBMiqwFBVV95cUxQcURrUk1wTkV6eXlGZEpBNF83SW1DX3ZWLW1FNDZBaTl5bkE0ZlBtYjBSZFJTNzBRN0x6RzJZdDVGOXZYNzJLT1Uta1NVamdrT0ZIZTVWWXNjb3o4elg0TGZ5MUVkMkVVUWV6YU1HLUNnTHQ3M2x5RDdVT0tFVWduaWlLV0htd2g4TWV3c0VjajZueHk3TTdNaHVybHZLRT" TargetMode="External"/><Relationship Id="rId289" Type="http://schemas.openxmlformats.org/officeDocument/2006/relationships/hyperlink" Target="https://news.google.com/rss/articles/CBMizgFBVV95cUxNOGltbWhhUGZfR3J6TlFBcEFOYmE5MUczcmtaVGI5VzFRZWVGUGZKQ1dQUmdRbTQ2ZGQzQWhIMW1GN3EzcnV4WnF0Y2ZIU0FLTXBhWGhydkc2bzc0c2tZMXg3YlhiVVZFbF9WQVFiUHBIUG5fazg4ZnY0VjNqTTZzNkNUbkhSVTZJWVBLQWh4YjNEQ2xvcThJVXpldGMzU3" TargetMode="External"/><Relationship Id="rId290" Type="http://schemas.openxmlformats.org/officeDocument/2006/relationships/hyperlink" Target="https://news.google.com/rss/articles/CBMitgFBVV95cUxNMFZkVXphOTJERDY5dkg3UXltQmZZNHhJSVQ5YmFXZnAxNmw4aElYZ1JlMWpZZUxCdjh4ejV4T01qSm5jYlhESjRNc1lVaFhwWGM2Nk5Bbl9tMjhqNWhGUWNWTjBnY19YRUtIS0lYX2pfZ0xZT2hvYjRlZlhoZUk3NmpjVEx2RTVvWGFkSlBXSnhoOUZhZmZOUklieU0yVk" TargetMode="External"/><Relationship Id="rId291" Type="http://schemas.openxmlformats.org/officeDocument/2006/relationships/hyperlink" Target="https://news.google.com/rss/articles/CBMi3wFBVV95cUxPZGFyQVNCWk95aXJLS1pkZFBRVFFZOWlRVlBfUy0tZDFyc08wUktVcFYxRWlZQkx5eDgzX2ZOR3dWN3luSnFNcGRBMW9saDRpc2ZzbXpRTVJnd21BZGlWblZ6aDExdENJZk9wa1ozOUN6U3pMOHRfa0NhU2JPTThWR2FGVmxGWkZHeFlKUjBNV05DbGdxZEtsRmtLaW8wSD" TargetMode="External"/><Relationship Id="rId292" Type="http://schemas.openxmlformats.org/officeDocument/2006/relationships/hyperlink" Target="https://news.google.com/rss/articles/CBMitAFBVV95cUxQZ1ZZQ0dWN085WXU0cThHejBhQnBMU0gtT3BUWVBzTEs5VldndDhUX29laXNZeGotaEtudjVfdnhMOGFTM2NnTko3LVFPaFZTLVpILTFrdlFNNEhQZ1hDX0x4WmJ1WXdWN1pUMWRjMHVHOHlIYXBrYmRfNjdKd1p2OC1CXzVnOGlBcFpzNDJ4RG1GMk9UOXZ1aTNSNVNMbE" TargetMode="External"/><Relationship Id="rId293" Type="http://schemas.openxmlformats.org/officeDocument/2006/relationships/hyperlink" Target="https://news.google.com/rss/articles/CBMipAFBVV95cUxNTXZ5N1VGQzR1eTQ0ZVRla09CdzBaMW1GcU1TQWFIcTB1bnRQMDFSODdGT1FRSngtbWJEWVpyeEpacEwzb2p1R0ZjMVNnSk1Fb0dmWS1fUkxHc25abjBacmJaQzBJN0p1TFlybTd5eC1yckZ4SU1qLV9JcXZJSE93RzdDZlA5T1MteHYzZU9iVmpwT1pFVXlFU2xOUG5Dc0" TargetMode="External"/><Relationship Id="rId294" Type="http://schemas.openxmlformats.org/officeDocument/2006/relationships/hyperlink" Target="https://news.google.com/rss/articles/CBMivgFBVV95cUxOdFp1OUVmWHJMd0ROWTRrQkNJZDdIMVhDSUNxX2FtN0NvNzk4WVdpZEt2UUVjNFNuT1RTdXlrY2ZHX2lzRzlLd3JBRWZnSkxUN2otMk1MdU9EcGpfcGoyMFlvSTRWeE9KVUVXaGtsMGhtZjlpNHdmQVo3dEUxZWthOGNKcEZSdGNMUGJjUklmYUg1d2taNzl4Tm5aSldZRj" TargetMode="External"/><Relationship Id="rId295" Type="http://schemas.openxmlformats.org/officeDocument/2006/relationships/hyperlink" Target="https://news.google.com/rss/articles/CBMinwFBVV95cUxNYWhwNHM2dlNhaTRYbW1zTVBzVjZndUtaLTQ5VGs4a0pTNnlMM0p6WmxlREhmLVNCWnNyZklxZVFpTjdVX1pCUjBScjd6cVQ3NXRnSlpEWjVHcmpfclM2TFhkR3h0TkI2eTdqOTdxdmpnSHJpOEJIemViMFJTQmRZSFdsN2MzUU5LaFdzSGxxLWt3UC1pU0htaWNtdlVXM2" TargetMode="External"/><Relationship Id="rId296" Type="http://schemas.openxmlformats.org/officeDocument/2006/relationships/hyperlink" Target="https://news.google.com/rss/articles/CBMiywFBVV95cUxPQmFOeEhTc2JOZElwVUNLU0FKS3hSZmdydEVhbUc3S1lyTC1lZmFsOUdpZWl6VXM5ZG1xN3hYNUVONEFhYkhPb3c1WTlkcExkdkRtSVJFX3NkaXpOUjVvVUx4VUV4TTkzbmNIeS0yUGVDcUNQaHY4OUNZNHhqSEU3cmhuemRJbG5ySzNRM1p2b2U3ek9KRHhULXprLUtxQX" TargetMode="External"/><Relationship Id="rId297" Type="http://schemas.openxmlformats.org/officeDocument/2006/relationships/hyperlink" Target="https://news.google.com/rss/articles/CBMi5AFBVV95cUxObVQwUmk4Z29FNzhGLUt3S1BpUlV2bTdhdEhyX3VvTTVOVnhlTzFhS1d0Y3Y4SlB1UEJTYThNTG5UNWR3TUhLRGhZUWlXeS04WGpLSVN2amQ5S2JkMjNpRWd5WVNfYmJSX3hzVXp4c3R1Q1c2ZnppNTVXQ0xFTkpPWUNGTUtQUjdwSGhIVV9hajhrOFpLT2k5cGlIVnRBcV" TargetMode="External"/><Relationship Id="rId298" Type="http://schemas.openxmlformats.org/officeDocument/2006/relationships/hyperlink" Target="https://news.google.com/rss/articles/CBMi3wFBVV95cUxQbkR1S1RSWG9YYWphenNXNW5veVZFcnU4NklhMFlLOS1Pbjh2MEZERTcxY3RPOFEwWTduaEpaVndTMGtBS1JTS0FRU3lTZEdpQk5pN2dLZ1VvM2RmenQ1MnlJbTY1WVNORENQbElJQ1RSTkRrSmpIeFozQTlOdDhiTTViejVPSWZpcEpuazlsQlFnYnF4NDFMWGktaG1FbW" TargetMode="External"/><Relationship Id="rId299" Type="http://schemas.openxmlformats.org/officeDocument/2006/relationships/hyperlink" Target="https://news.google.com/rss/articles/CBMiygFBVV95cUxNZ2lhbkUtNGxFU0lsVUMyc3pHcUtlM19RSVp4ZmxsZE0yYm4tQWVmeWE1eDBpWWt2UU83QUZJa1dfM1hOS29RaEE4RzJXNTFTX1YtMW9hVEJIMURDYlpoU2Y2MlROcGhVZmxIbXI2Z1FsTmhMMUIycGVUY0hkOUVReEEtOTMyWXdoSGJselNzcHZvLXotYXd1WTZuNmJGM2" TargetMode="External"/><Relationship Id="rId300" Type="http://schemas.openxmlformats.org/officeDocument/2006/relationships/hyperlink" Target="https://news.google.com/rss/articles/CBMiswFBVV95cUxNV2ZWX096OTZyWnljSkZtczJ1ekRDNjh5cWRzQ3p4QVRrd2xScVViSThjWWlyYUJOV3VDdjNIZ1VPN0U0Y1dPTExJUjdSV21YN3ljUUNwWUFILU5BTnM3b24zQjUyem5Ha09RaDRURVlTbWdMUmdxUjdWckNoNEhiM2ZBTWtGcVNoci1XalNMNnMzOEY2NXFBWmRFVy1sbV" TargetMode="External"/><Relationship Id="rId301" Type="http://schemas.openxmlformats.org/officeDocument/2006/relationships/hyperlink" Target="https://news.google.com/rss/articles/CBMi7AFBVV95cUxOdklZMGZUR0N4S09rZS1mekZJV0k5YXk5NEtnWEQ1VlhiVzhveWgtdjNjNEE5MW5MODZTanpDcW9ObEZWbXV0UUJPWG1TdV9iaDJ1d1BSZk9NWVl1bTdHNjlxLWpUenJUVEkwaWtsSGhzcGlzaEpUSjIxb2tLeENoM0h0VWdWREJ4cjh2V1FJb0hLV29KZWxLUl82R1lIZn" TargetMode="External"/><Relationship Id="rId302" Type="http://schemas.openxmlformats.org/officeDocument/2006/relationships/hyperlink" Target="https://news.google.com/rss/articles/CBMie0FVX3lxTFBwZ0lPRkN3YS1zMmtjbm9Va3dKRzQwZko3WDlUOHdtX0F0WlZhcFM2WUhRb0NXWEt0akp4eldZR2FmR3pva3VINDZIbjRQTWtfa2U0UGNmRFFJTHBFREpWcnFBd0JYSVJlTlhsUDd1YXpXNmlPeV9LSkphRQ?oc=5" TargetMode="External"/><Relationship Id="rId303" Type="http://schemas.openxmlformats.org/officeDocument/2006/relationships/hyperlink" Target="https://news.google.com/rss/articles/CBMinwFBVV95cUxNUDNDcVVzNlpuVnZLMk1MczJPZXdTcXRmSWUyX0habTVLQlRiUVAwQm5sZjhHMGpkY3RtX1JxNEpwRnBDUHhDc0FGbWlaMlRpOGdwMFZKdVRqZm5SX050bXJURWFSZlBjcTREcmYtY2VmSjBpd0xvRXBMaUQyM3FQNWJHanM3R2sza0d4R284Y0NDSEFDMjZkSTdPVkV4eD" TargetMode="External"/><Relationship Id="rId304" Type="http://schemas.openxmlformats.org/officeDocument/2006/relationships/hyperlink" Target="https://news.google.com/rss/articles/CBMiZ0FVX3lxTE95bVpRN24yLW1WNFd1YXhjWDB0b0JKVndyN2RMU2NTTkZsbjlrZUxZeTlGdHl6Yl9ZNkdpcnJhRGhuMnZOS3VOMVhVSGt6THJQTjNULUFPU1RKVDZSVGRSaEdOV09ydUk?oc=5" TargetMode="External"/><Relationship Id="rId305" Type="http://schemas.openxmlformats.org/officeDocument/2006/relationships/hyperlink" Target="https://news.google.com/rss/articles/CBMiogFBVV95cUxOMDZ2ZTBNVFN5WDdMYkVHQTlZZXVoUVVhNWsySGRSR1ViUkktMHppNFRzM1VFdTNaM2JoWFU0TGpvc000YjZaNkV1WTdDS2tKY2RZdUtNNDAxRzhQZkxJU2JmUk1PYlRyMVVzcWVjN1Q4LXpKTHlxd0d4Ylk2S1pwSHdpMTYwV0hwSWNobjdKWHVwZVllUjJCa1hRN0lObk" TargetMode="External"/><Relationship Id="rId306" Type="http://schemas.openxmlformats.org/officeDocument/2006/relationships/hyperlink" Target="https://news.google.com/rss/articles/CBMifEFVX3lxTE04N1QwTHJEMDN6MEMyN2stLXNiaTRnM1U0UXRLcjZiQ2NoQ2NCSUd0aU1GTUZGdWVBQzZCS1N3WWVZYjBacE14VklXejJuelF0ZHFxUDlGRFRiX3JTMmxSdFVmN2lNWXg3bzFCVy12ek9pU3VaSy1BS2ZIdEk?oc=5" TargetMode="External"/><Relationship Id="rId307" Type="http://schemas.openxmlformats.org/officeDocument/2006/relationships/hyperlink" Target="https://news.google.com/rss/articles/CBMieEFVX3lxTFBNTGpIWjYtdEFtNTBZYXkybkwtY20yQ2JDZDZjT2M3dDk4MDdFN1psM2xqMGQ5THJjMGxrYlBnQXowdE9RODItbkZ3dkIwS2czeHRmeXZ0ek5RR3VfOTRvaWloNmczNFcydDFCYjVoTm8zNjQwVlBnZQ?oc=5" TargetMode="External"/><Relationship Id="rId308" Type="http://schemas.openxmlformats.org/officeDocument/2006/relationships/hyperlink" Target="https://news.google.com/rss/articles/CBMitwFBVV95cUxNdU9yTXJNVDZPcFctVVY2bFFnWjBFM21zdkJCbGtSS1VyaEhLbjdtY0ZHNk5Qc181RVFwY1E2VnlZNERsRC1xeWVNdkJrbll1RTlzRkgxVTZwcW11NV8tWG5wLTIzeVNOdXVGT1I0dGhNQ3I1TWUzWlNPZ2FZRmNXdE84OFdLT3UyMmhVM1VhU0otaHROSWlQeFNrZlJtUW" TargetMode="External"/><Relationship Id="rId309" Type="http://schemas.openxmlformats.org/officeDocument/2006/relationships/hyperlink" Target="https://news.google.com/rss/articles/CBMi1wFBVV95cUxQRlVwZW0zeHc4emRRYUM2LU04NmlpcmIwWUVMWGRTUFdPZ2s2eDdmMTBXeGRMYkc4R1FudWppV1lvODhrOC0zeUlkYkVCeGtmR0JwT0J6WjkwTHo4SS1iVXZzS1dQZnAxRFNGQzZ2Y3ljMDFmd0piVjhoc3V5ckM2WEgzMHlTSTNka1AwUFM3WjF3em82YzVGTTNNZHA2dy" TargetMode="External"/><Relationship Id="rId310" Type="http://schemas.openxmlformats.org/officeDocument/2006/relationships/hyperlink" Target="https://news.google.com/rss/articles/CBMipgFBVV95cUxPZE12MUtPNXBwUnpCdEcwM3AxSE5NRlNwSW8wS1BwdnFRdTZBZ0tKcHU1UGpVekt0VmFnSjU2TDBVY0djaXJZX1FrZFFOelUzQ0stQV9WZ1pncGhuR0t1OHlzQ2NBcHBuRThxVVZyNFJIZzd6WTRoel9XS0cyckRFT3NuSXFQX00xcWYySl9IRU9JRzlmTGdvNjI3NERNd3" TargetMode="External"/><Relationship Id="rId311" Type="http://schemas.openxmlformats.org/officeDocument/2006/relationships/hyperlink" Target="https://news.google.com/rss/articles/CBMiygFBVV95cUxOVUlCV2VjTVpGUGh0NXY2X3VON1A0UGVoLWFCYTljSU1WMEJXM2VDMzByekM1ZUd2dmQ5ZEw5cE8wckhOdElvZ1RvRmcydVhRNkhoM0VDOFQxTWRtYk5GSHRKekp1QnBNcFBPSGNlWGlyUUNnRDF1QVZNMDBFSlJOT3dTVnNUZHBtWHRubjdNQjV1aGJ1clgyLXJEazFTRl" TargetMode="External"/><Relationship Id="rId312" Type="http://schemas.openxmlformats.org/officeDocument/2006/relationships/hyperlink" Target="https://news.google.com/rss/articles/CBMiYEFVX3lxTE9CampqMkl6dkpTaW1PeV9PUjZ0TU54VG1lbmVGLVczMzI0UDJRamFVU01kR0NFLVl4WVFhS3ZlN0ZnSE0teXdpRVRJdXo4SllkLS1xeVdrNGlXWWZVN1hfNQ?oc=5" TargetMode="External"/><Relationship Id="rId313" Type="http://schemas.openxmlformats.org/officeDocument/2006/relationships/hyperlink" Target="https://news.google.com/rss/articles/CBMi4gFBVV95cUxOUjItZ3hfdEZDODdPQzd1MEVrMTdUOGpTbGRZTkhvS0IxbDZHZXJwbm1PR1pCYkFrWFRPdVAwR08yWktVa1pNcWhsTzE3TUo4RTZOeDhURUpiblZob05qQmlrY0xRT2c5aHBxVVkwMlVpcWVReUZKVkNVSjJkODIzOUVNblVSVU5XR3VJeE5mODhQbzI1NTVlcXZaYXJDcn" TargetMode="External"/><Relationship Id="rId314" Type="http://schemas.openxmlformats.org/officeDocument/2006/relationships/hyperlink" Target="https://news.google.com/rss/articles/CBMisAJBVV95cUxNaTYyTlpabThoQlVfdTVhSEQ1TUM0bDNLNFk0NElFQnhOd1FueXZnRkp2U1RhcTIxTEl4WHFGUERkQTg5bGxVTDU4LWNGRnVHWGFPYmdING9NTEtrZmdLYVhqWFcza3hHc1NJTEQ3LXVEVngtc0tMUHU1QjZOYnhHbXhxU1BnMEV5TG9XdFMwQ1pHNHJXUHBEM3V4a3hSZ1" TargetMode="External"/><Relationship Id="rId315" Type="http://schemas.openxmlformats.org/officeDocument/2006/relationships/hyperlink" Target="https://news.google.com/rss/articles/CBMif0FVX3lxTE93ZXBzR2FQWGRhNnp4dlZKVnhyc0h2ZEJZNGRuRHFFUHRIVGlzQUZCNl9PYW1KMVFCeEV1cG14ZEM1UURyMmdIbHdHNktjZXJmeW9XWnpWUVNfeDdBUWxNYzhsTGk1T0JoQ0drYWlVcGc3MG00bkhFRDA4ckZEZ0E?oc=5" TargetMode="External"/><Relationship Id="rId316" Type="http://schemas.openxmlformats.org/officeDocument/2006/relationships/hyperlink" Target="https://news.google.com/rss/articles/CBMibkFVX3lxTE9wUHZHU1ZBYkVOTk84UzhmLTk2QWVmV2RXNGhaY3Z4SGs2U3JTWC1XTXF2UGxPOWZsMnlsMUxndXd4VEw5Nm04Q3FLeWpVOEJTWjFxZ29oYTNyMDlXTENBSEJaTnl2a3lSNkRJN1NB?oc=5" TargetMode="External"/><Relationship Id="rId317" Type="http://schemas.openxmlformats.org/officeDocument/2006/relationships/hyperlink" Target="https://news.google.com/rss/articles/CBMiugFBVV95cUxQaThaYWFOUUdFS0VKSU5Jc0NMVUx6ekFXRk0zQzlrSExRc0RWbUhfQzEzNEFaRnluXzJma2ZfSi1McEpqb29Ib0VSMDlzMkFmVlJPbVhWZ2ctRjVGQnAtZ25DREhGYWxDZ3VhVk9icnN3dmpBRW9ZbVhDRnJvblVGeUg0M2pEVXI4dkJxM2o2Q1BOc2ptY0xrLTh0LUp3dU" TargetMode="External"/><Relationship Id="rId318" Type="http://schemas.openxmlformats.org/officeDocument/2006/relationships/hyperlink" Target="https://news.google.com/rss/articles/CBMizwFBVV95cUxNU1ZHd2REVWpfSmZJYndGeG9ZdEZqOTBXeWFldk9wR0VISl9UakFSZG1Da1ZOOExOaGpPS0FGQ0VSUVU4Ykl4RS0xRHBrUVBMUXJ5c19GdEI0bEFBZmd0ZXY3SHl3WU9JYzB6cmVDbzM2Vjh2aklBWDNCc1dod056RFZXR0h6NUV3ZWhuUGV6X2RZR1EtSm5QdFBqZmF0Yn" TargetMode="External"/><Relationship Id="rId319" Type="http://schemas.openxmlformats.org/officeDocument/2006/relationships/hyperlink" Target="https://news.google.com/rss/articles/CBMioAFBVV95cUxOcktMQkF1LWpaOGpjbFF1THR4RjdKTnRMemk0amtsZkF1SllvLURBUVJUQmEzdUdNb0t0UEFiWk91Z3RoQUM2aXJxOFoya2VQeGNvYVdfUWd4TUExNVVickNQZDZLdlQ0VHlsSGhHQVNOTkFTSFVTeFAyVlpzTTJHMmNfQm8wX0l0eFRZeWh4dGF2d1ctc2NMMm0zcmtWNE" TargetMode="External"/><Relationship Id="rId320" Type="http://schemas.openxmlformats.org/officeDocument/2006/relationships/hyperlink" Target="https://news.google.com/rss/articles/CBMinwFBVV95cUxPWXNkT3lScldaMWk1bVNKX2xiaFhwNkxWYjd6ZG5kVWJMU3FIWDRlUTlEMFhPdnVhMk1MSkpudlRhaHVuRlZVNENOV2FFR3daMTdNcDFwSTBIbXZrZW0tMlVBcldXME5oQVhZRkc5Rk1Ub3hYZUl0c0pEeXZsTjN4dmJlRDFsbWdUU1hUbThVMERySzkyX3ZGc2wxUFlYSz" TargetMode="External"/><Relationship Id="rId321" Type="http://schemas.openxmlformats.org/officeDocument/2006/relationships/hyperlink" Target="https://news.google.com/rss/articles/CBMivwFBVV95cUxOUFExNlZvVjFURERKa0NDX3JHWHhrQS16VXo2N0N5azYwZ2hOOW9TRTVXTlAtOERJUXVQLUpybjJhMGg1V0dyODYxNnI0ZWUwYUc3TVpCdlVydUJseUtQYUhfSlQ0MEJDNDFEYUhxTVFwSG1rdUdqd2g1V05NSGNGSmJPVjFvNnIxcTZfYjNiaWFTMEJHckFySE9DRmJkSS" TargetMode="External"/><Relationship Id="rId322" Type="http://schemas.openxmlformats.org/officeDocument/2006/relationships/hyperlink" Target="https://news.google.com/rss/articles/CBMimgFBVV95cUxNcTNPaGlmWDVNendkZnp4UjZPTzdMQ2hONWh5SG5Dek9ZSXJqRzZaTjctLVYxRDd4QWdfZTM5LWZFT1F6N3pHU0lnN0tqeUF0TzBlNDA3ZlpEWGNiaDFqYlRBMEllOXE3RGZZU0pubkE2eHJGaldBNWtnT1JCenNQUk1kMWtUZm1vTlJvaGs1NkVaVmtERnM2MkdR?oc=5" TargetMode="External"/><Relationship Id="rId323" Type="http://schemas.openxmlformats.org/officeDocument/2006/relationships/hyperlink" Target="https://news.google.com/rss/articles/CBMixwFBVV95cUxQZ2QxdkhxaDY5MmZsM3lldlFIVEFlNS1EZ19ZQWZpSzVGak5RdkNqenpLN0QwTlhHeVMxcnJPa2lWWU0zOGV0SERKZzdXX09YeHZjOVp0Rl83VHpGanZqU2pqamltY1FMZy1fd04tY0N1UG1nTGE1cF9lRHdNSnA2RXd3V2lsbEczS3FpNnJsei1wN29tZW9VZHpxQlpUYk" TargetMode="External"/><Relationship Id="rId324" Type="http://schemas.openxmlformats.org/officeDocument/2006/relationships/hyperlink" Target="https://news.google.com/rss/articles/CBMilgFBVV95cUxNcWMxOVUxR0pMYkkwVmlQaGd3eUR0NnZkT2RoWnF2RzNVS1dVSlNHVVlQd1hfa05nN2p4MUFjRGdET2x2MTlvdW51cFpXVW1sWTRfNkRIZ0hVTjFtOHJuTnE2LVBBdWNHYWlLeXQ4b1dzUmlOWnRVcGRhOXV5cWkxbjdOcW00UVExWmVZQlA0dXc5NFpCU1E?oc=5" TargetMode="External"/><Relationship Id="rId325" Type="http://schemas.openxmlformats.org/officeDocument/2006/relationships/hyperlink" Target="https://news.google.com/rss/articles/CBMitgFBVV95cUxNUW9hZVlPQXhRVER0YkNDM01PVUpFYUtEWFBSUFVQcWE5TDgxOTNPSnVzeThVYldZWVZqYUhSZVRZb0hvT200ZjZ3WW9UUmV4OVc0Q21mQ0ZkMXBmZlZWNjhKaE53akF2YjFxaW5MM3d1SVJ1TVBwRXBaanhsQk1BdDRMZW00YVdHSEpYSjA2OUJLaWVDdV94aGJCOGRRVn" TargetMode="External"/><Relationship Id="rId326" Type="http://schemas.openxmlformats.org/officeDocument/2006/relationships/hyperlink" Target="https://news.google.com/rss/articles/CBMiuAFBVV95cUxQQWU4R0RnaXNHby02QmxXZDVmc0pWdkRZazREQzluNU1PV3YwRVlCX3dGaDJTYWxWY3J2ejl5SzNiaUlHS3B4cFFaSWloWVl0SGJyVjFpRFUtdjNQNGM0S2lQaWl5NW5BUzczNFdxNjRDUWFCRm4zaXZwbnVTaVRiS3YydWpnUVhHemFBbk13RjBhbG1mWTdzbE5DWDNkOT" TargetMode="External"/><Relationship Id="rId327" Type="http://schemas.openxmlformats.org/officeDocument/2006/relationships/hyperlink" Target="https://news.google.com/rss/articles/CBMiiAJBVV95cUxOTV9VNGZnejJGOHZ0SlFSZHhYSDhZeWxrYkxCVUctX0xkQThVREFqOGNaT212YkZEay1ENjUtZjRMNWxqRjBLOGtabkpHZDV3N1pkQ2hqLWthZDEyNFctWHFXaXV1TTBveFc5aW8ya05zTzl4dG9LS2ZsRm1MUDVscXpCcE5STHBOSzVKcDMxa0ZsUGJRUmZWeWFCWnpjYm" TargetMode="External"/><Relationship Id="rId328" Type="http://schemas.openxmlformats.org/officeDocument/2006/relationships/hyperlink" Target="https://news.google.com/rss/articles/CBMijwJBVV95cUxPd2JLRlVDVHMtTzRPWm9BUXJjUFRuNWdPT2ZJNWowWndVM3kybER3X3BFZU9Bc0hkeFlORF9IYTRhRDhSaUZjUURBejZZZ0NqVGxMUUFnLWdPR011WkRUSEtUcEI2RzZybUZ4ZmtMV2pJRFZ4UmJ3RFhTNnRkY0xxYlo1S2FQdldHdDRGOTVNZDUtV1hUaEtRZ2Ffa0J3My" TargetMode="External"/><Relationship Id="rId329" Type="http://schemas.openxmlformats.org/officeDocument/2006/relationships/hyperlink" Target="https://news.google.com/rss/articles/CBMinAFBVV95cUxNZlBseEdseGNsV3o2Q1dlR1EwaWxVYnVaWVo3QUNMVTJsNUs0SzFUQjN1eGlpQVhmQmhwUjdOSkwtaVBBSlNzZnBkYTEwNmFiSnV6clJsb3hFb19IRm1abEo1MndkOFpkY01mdkxURk9oUEtGeGN5RVg1RjE1SGpNNWRyRnhVZExKZzVBUGNnVkJLdnZHNl9NZVh4anQ?oc" TargetMode="External"/><Relationship Id="rId330" Type="http://schemas.openxmlformats.org/officeDocument/2006/relationships/hyperlink" Target="https://news.google.com/rss/articles/CBMi6wFBVV95cUxOVFk1TmwtTk5nSGlObGczd2tKb3JxZ19QMHF3TjY0dnpsX3dGVTNxcUViLVhCcmZHZFVSZEFtNzhwUmtPb1Q2bUNGSi1MQmduT3ZDM3FCbmNCMHBMQnBPbnlHZFBxTk5OclJCTm5tZDdVOTdlYUlpTEZFb0REc0Q1NlA3Qmw3V0ludFFqakVJSzlhOUNxbXRRSnhQUFlRcG" TargetMode="External"/><Relationship Id="rId331" Type="http://schemas.openxmlformats.org/officeDocument/2006/relationships/hyperlink" Target="https://news.google.com/rss/articles/CBMiqgFBVV95cUxQUGpmNG14eUdmbklCZFF0TWVGUHRWQ3Nidkt5NDdtZ0wyZVZRNC1NZnZhcXFrVG1lakZNRldIaWQweHJkN0tRbGVuR0hKTlZwY2Q0RUN4M0NHa2F0blBQSFNMVkR6amdEdWZkYzFfTC1idHBJSUI3YjFTUDdQU3pyc0FpdmxDMXVZQU9JTFJ5elh6ejl1QVNJZi1PXzVvUH" TargetMode="External"/><Relationship Id="rId332" Type="http://schemas.openxmlformats.org/officeDocument/2006/relationships/hyperlink" Target="https://news.google.com/rss/articles/CBMihwFBVV95cUxNanFWV2Z0cGJ1emJuUVZ1MzFKWGdpUWdXYnE5b1dneXdFMVE1blFGdUtrZHFIUy1MRnRwRDAtbGVmR1BpNnYwbnV5UndHNTNmWTRCaFJSV1ZFSDJlUGhJSUZ6Z3BWWG9yWUd6YldEWF9lRmNRMUsxR01HUkozTFVDbXhlMzhYd1E?oc=5" TargetMode="External"/><Relationship Id="rId333" Type="http://schemas.openxmlformats.org/officeDocument/2006/relationships/hyperlink" Target="https://news.google.com/rss/articles/CBMi1gFBVV95cUxQMjUyT1JjTmkzVG5tOC1GQUZMUk0takZ2U2FubWN6em5OMmE3ZzdXdEI0X2ZwVXdLazBERFhSbmxNZWVIYkdpMWxlN1ZNS245eVhsaFM3Q0w2cnkzOVVkcTJDSjdaVTI0NDBqMVVtbDhOd2pkOGRRVXBCM2M4VjZVU0lxMDJET3llcHJYbzlUWEVMTGFzQ3lJc0xtcGZ0Y1" TargetMode="External"/><Relationship Id="rId334" Type="http://schemas.openxmlformats.org/officeDocument/2006/relationships/hyperlink" Target="https://news.google.com/rss/articles/CBMibEFVX3lxTE5PQUNnVm02ZFdsdVVWdUo1UHhGdEhYNDVuWmVpX1JsV3ZaTFJ0TWpvQVgtM0RYVUpkRWhQMWdqMkZVaHpYXzlXSFc4VHR0VHF1MGZuY0Ywb3NIdTVvOEgxRlRWUkhjM1BnYUxiLQ?oc=5" TargetMode="External"/><Relationship Id="rId335" Type="http://schemas.openxmlformats.org/officeDocument/2006/relationships/hyperlink" Target="https://news.google.com/rss/articles/CBMibEFVX3lxTE5PQUNnVm02ZFdsdVVWdUo1UHhGdEhYNDVuWmVpX1JsV3ZaTFJ0TWpvQVgtM0RYVUpkRWhQMWdqMkZVaHpYXzlXSFc4VHR0VHF1MGZuY0Ywb3NIdTVvOEgxRlRWUkhjM1BnYUxiLQ?oc=5" TargetMode="External"/><Relationship Id="rId336" Type="http://schemas.openxmlformats.org/officeDocument/2006/relationships/hyperlink" Target="https://news.google.com/rss/articles/CBMirwFBVV95cUxNc1pIcnlnRDdhcmNEVDBZMTc0RDJoS1VWSkRfWEk2X3JLSFQ2aDlJb09WeTVKNldkLU9nZllPV2ZqWFByb25pOHB2UENkd1BjcUZHYlVxOHRNYm83eGRFQ3prV1FpNGx1bnJua3JaVkZlMXpKMTY3QWZEMDljbjJKSjF5T0dhaHQtRWFTZ0JyMXNZUWNLODhrb25aX2ZYeC" TargetMode="External"/><Relationship Id="rId337" Type="http://schemas.openxmlformats.org/officeDocument/2006/relationships/hyperlink" Target="https://news.google.com/rss/articles/CBMiSEFVX3lxTE1WSDVzVnhJa1NRaWdfOHF3VjRqeEUtYVFQU3JjREFaUVRSMHFqNTFncDFRVGo4Tk1FTWJIc0txbW5jRnNIeXp6WtIB6wFBVV95cUxQNDhrUW9kemFlbnUwMm15UlpnbEI4dzhucjlmakkwbEs0NFFEaWlyRTZMcWxlTmdwZkk3MHN6VXZoZGRXQ1VnUjdISXoxSVFyX01EQ3" TargetMode="External"/><Relationship Id="rId338" Type="http://schemas.openxmlformats.org/officeDocument/2006/relationships/hyperlink" Target="https://news.google.com/rss/articles/CBMiqAFBVV95cUxPN1VCOTFyTC0xU0RhYlVadlhjRW42c3hqeTV1NTU5ZWdzbEl4MW9nREhPUXE3MzlESUQ2NzBYVGZ6Y3N3M3YyUFJWVEZKTUhvaVJhVVZpbVYzczcxLWluOUNLRFdHbTlfNTJieF82bi1NS2EtZFo2d1VmVnE5Q3BVcWJENmZWSXdvSkJLall0a3kwdjF1b0U0RG5JdE1oRz" TargetMode="External"/><Relationship Id="rId339" Type="http://schemas.openxmlformats.org/officeDocument/2006/relationships/hyperlink" Target="https://news.google.com/rss/articles/CBMitAFBVV95cUxQVE5XWkRKckFwRk1HWmc0WlhxbzRZVlNCc3docC0tVF9EbGNnUVpmRk40RXBWUmt5YVZ1NjN1Qk1nTUlrSFFMYXdqYmwyeUN4RWZVektWMlJkSDFwa19OOHVDaEtvTzZrcHRpMDRQVUlrVU1pcHpsb21mejVXSU5RUlVyZTBYbEZ2bFFjNmR0YkNCUWlqbDFvT1V4aDNUMG" TargetMode="External"/><Relationship Id="rId340" Type="http://schemas.openxmlformats.org/officeDocument/2006/relationships/hyperlink" Target="https://news.google.com/rss/articles/CBMilgFBVV95cUxNMlhBT1Zvb1ZRZFhDYmpQdzhKVlJ3LXFEb1VUby1ZR0xZQnp3LTdwY2E2UWFzVy1sbHRUWTJXM0VaeVRZRnJFdjZUS3c3Q3V4VzdXYW1KeXRIT0JGZmFLeE1iNklXQkdZdmxmVnB3bnpGZ1V0bUpGSGZiZjF1c01FcU5zd3NCblNzSU9RRnR4OGNNdGpSRmc?oc=5" TargetMode="External"/><Relationship Id="rId341" Type="http://schemas.openxmlformats.org/officeDocument/2006/relationships/hyperlink" Target="https://news.google.com/rss/articles/CBMimwFBVV95cUxPdXBLX0NLOE9SdXBLMGFSZ0pWNk4tZDZZdUNxNm9Nd2VSal9sUzBjUHpQLWtJUVVDOEVLLXlXSDVYMnJSM1lFQjFKV0pTNl9MRFVWcG5vbmxFd1QtLWlnV3IxRWJsbHZuTG9BR0JYNWJ5VlJhWkVFUzY0ZTNHX0JJeEVtV3lNTFpPSzAySzhfT01zSURBSHlrRV9rMA?oc=" TargetMode="External"/><Relationship Id="rId342" Type="http://schemas.openxmlformats.org/officeDocument/2006/relationships/hyperlink" Target="https://news.google.com/rss/articles/CBMirAFBVV95cUxOQVVLZHdGeWMxbmlpb3JoMHpBTkRRWnFReFpwZU9YZ2dkVlRrTUJqY1AtbG1OOTQtbnpaV1AxTGxDY1RvNnhHN0ZyM0dLQzczWXJoMWRjdFNxM3ZneVJmSk1SSkp5dnRvRFpGZmtsVUdBdDB0ZmgtSHhqUkgxdHh2QmwtV2kxNjFZOXREWGtWdF9QUUdRTElaOGNtM0lYM2" TargetMode="External"/><Relationship Id="rId343" Type="http://schemas.openxmlformats.org/officeDocument/2006/relationships/hyperlink" Target="https://news.google.com/rss/articles/CBMimAFBVV95cUxNclNwYXl4c3VkNkhYQl84U2xGdUJabjVwRDlfOFpFQkhWN2lUSEIzTVhFdHR6LWtrTWhlNi1zQ3ZlaVVTc3pCUW9rLVdZdWdJaUJEcGtZTW1iLVE0ZVM5T0VoZnFaNmdBcnFwenNscnNzMzFEaXVZM0tNb0NBbFVYUUlYY2I4a2NpV0Ntb212UnFnSG5QLUtKYw?oc=5" TargetMode="External"/><Relationship Id="rId344" Type="http://schemas.openxmlformats.org/officeDocument/2006/relationships/hyperlink" Target="https://news.google.com/rss/articles/CBMirwFBVV95cUxPSHJGbnhnSUNoN2h2OWJyXzU0TUctbkVLT2VYTGdqUHdUbDFSeTQtNDFsVVltNi1SSV93cE9oZEdJbUc5NTc1VDFVTjJMVi0zTEg2ZnpLQzZYd2dZQUw5Z0s4M1dSRWVNbF9nSXN4R2l2RFNPSkVwRVhmdXpvWHBqb2w4S2ptQXRYQl9lMElCeTNFVUlYVUlaUk9IUW1EMk" TargetMode="External"/><Relationship Id="rId345" Type="http://schemas.openxmlformats.org/officeDocument/2006/relationships/hyperlink" Target="https://news.google.com/rss/articles/CBMiwgFBVV95cUxNQzJYczBfdVVoYUFXM3dScjNiUjFKZDIya2xxeW04ZUZpNDNrcHBDUm5ud2pHdXBYQW93T1ZrVFFsN24xX1pLSFBhOU40RXlXOWw3aHhOUDdJRUVuR0xmZ0hKWmx5SGhtRFhqeGk0SFYzVUxwU3VkOE10ZmRJd2Vyb1pEU0VxT0piNXM4blRCdkd0b2xqYm5pNnp0LW5Ncj" TargetMode="External"/><Relationship Id="rId346" Type="http://schemas.openxmlformats.org/officeDocument/2006/relationships/hyperlink" Target="https://news.google.com/rss/articles/CBMi4wFBVV95cUxQOWV5V0VsYklTLVo0UjZGRExjNXhBd0tQTXRVSW00QnhJVmlLQlJWdENmUHBhWkJQc3pqMjItY1U4eU52clVKSS02VFpaZnBBOHZaZXF3R1JvZEZJWjREZXQ3T29DV2k4UVppSjN3bjJ1aHRMT0tUcjR0emlYNlhWSnh6SDg1QU42T1M5X1I4aS0xNWVIWEZJMU50U0ttWE" TargetMode="External"/><Relationship Id="rId347" Type="http://schemas.openxmlformats.org/officeDocument/2006/relationships/hyperlink" Target="https://news.google.com/rss/articles/CBMingFBVV95cUxPNHVyYkxUNjJhTDVwWVJ6ZUdZTjUzazFLdndxVlBJVVgzMXQtNWZFbHdpM2taYnJ3UFFJbWVucnBtQUM1bXVlNFNTRzlIczJfTFYwVm5GX2lmMnJlc05BNDA2QUVLRkp3ZUpTSW1kYUY5UlgwQ3BCaVhUaEdJRGpoeGktel8wNE1tbGNqZFp6NGpaWTdfOXF5T0RwQ2ZzUQ" TargetMode="External"/><Relationship Id="rId348" Type="http://schemas.openxmlformats.org/officeDocument/2006/relationships/hyperlink" Target="https://news.google.com/rss/articles/CBMikgNBVV95cUxOZU5uc0hHdERlXzQ1U29ieTlJeXJQcGNKX2R4NFFqTVg5bnBtVGRQU3JlQ284dnh2SGdLSzBnUF8wYTV2SWpSNHZteURuMkxUUWRXNlIzVjBsVFRhWDBHN25QN3lSZTFuaEN4bDR6Y3hkcmNVMGlkSFhEZWNtQzB0b1VNYWpJLUViM0ptMGxIX0hXVklRdlNxMms0cm1VTH" TargetMode="External"/><Relationship Id="rId349" Type="http://schemas.openxmlformats.org/officeDocument/2006/relationships/hyperlink" Target="https://news.google.com/rss/articles/CBMizwFBVV95cUxQNGpnZ2lNck9WMTA5VG4wajJoU05HdFdqTHhGYkZ0QXdybnBPZEFMcVdmTDBKbHV3VVRiRGtKRkRHZWM4SDNubGFLelc4S2laQXV0WHZscmNrSVgxLWlMUGFOQmtGRDZsTDZwbFVkUU1KelRiWTc2czJmYTBmS250MWVITGpzalVObVdsMkd6dmZfTVRoemtWTXZ5alJkcD" TargetMode="External"/><Relationship Id="rId350" Type="http://schemas.openxmlformats.org/officeDocument/2006/relationships/hyperlink" Target="https://news.google.com/rss/articles/CBMiZEFVX3lxTE5wWHRSVFl5ZHFlR1NwYmJwNDNld1l1d3ZLS19wZU9aYjFlY1RYZWpBWFN0c3Q4YmN3dHlUWlRSY25nMFR6S3Azb1A2ci1tbjE3VkVZV2FqNHpmc1hnQkVhQldwcmk?oc=5" TargetMode="External"/><Relationship Id="rId351" Type="http://schemas.openxmlformats.org/officeDocument/2006/relationships/hyperlink" Target="https://news.google.com/rss/articles/CBMizgFBVV95cUxNUDNOU2xVQXUtM3NYR0t2VFZ1ckV1QjBlYzBnVFVYYmZPeE91bUlvT0FKZ1haUkZzUVFPMExfWVpPS2syUWxPenJ6bGczRUd2UHFMRHh3R2pRa2VoRjZyNG91RUc0dmF1amU4NFB0ZW5TcFFhMDU4T1RaX3lOVE5oRHJ1enNVOXJiSk5LNkprWUZleXpydDhjRVRxRk14Nl" TargetMode="External"/><Relationship Id="rId352" Type="http://schemas.openxmlformats.org/officeDocument/2006/relationships/hyperlink" Target="https://news.google.com/rss/articles/CBMilAFBVV95cUxNd3NOV2txR1JmNTdqNVkzS2drb0FIT2VJejhXY2g0N2daR3draDYyQnhwSWZHTEc0enI1WWJJVThEMXR5LXRmMVVXTkM4THJxY0pYelJNWm1KMDV2b254LVpmVjllTzBiMkZBVm80X0xqbmQxejRoTk1ZU3hGNEdMSk5iR21mNGFxb0t6d0ZTV1FlNTk30gGaAUFVX3lxTE" TargetMode="External"/><Relationship Id="rId353" Type="http://schemas.openxmlformats.org/officeDocument/2006/relationships/hyperlink" Target="https://news.google.com/rss/articles/CBMibEFVX3lxTE1qNU8wUmxtSVBUUlVnTVhPemJsZU1yazdRYnFXUVZnQzk4YkxXYzI1SFozYV9lN0NJdTk2aUlOZXdIQS1uaUtxaWd2bVhubkw1TE1Hd2VvcEVVNVppenBBWEFvOGYxa0ZfYm4xOA?oc=5" TargetMode="External"/><Relationship Id="rId354" Type="http://schemas.openxmlformats.org/officeDocument/2006/relationships/hyperlink" Target="https://news.google.com/rss/articles/CBMipAFBVV95cUxNeEhoRm1SWV82d2xSVG9xMlU0SkxKa1VnWC1oa3czUk1KS3hJbWhQZ3VubE1paV9ZWUh3empPcjNVZzMxUkFUMXZrUFF3RHJfVXc3MFRhM1NNM0YxRDRKcW81cHJNMTBFWG5QV1o0RC1temMtOGFaZ0RkNnRhNWN0c3BxVkFuUlZyZDlDaGxDZ1E2QzJ3eUNKVThjRUZHai" TargetMode="External"/><Relationship Id="rId355" Type="http://schemas.openxmlformats.org/officeDocument/2006/relationships/hyperlink" Target="https://news.google.com/rss/articles/CBMiakFVX3lxTE5yUzE2aGFiZVplMTlIQnFnWEp6RFFPZ3BSWkJtVU14OUJxblA1a2xuUzNhWVBJMDhEUmM1azlBakxVZDFELXdEMV9YODRFOHRHTjQ0c1pYNHJJUklGVVNqbmdTVlVOdV9FT2c?oc=5" TargetMode="External"/><Relationship Id="rId356" Type="http://schemas.openxmlformats.org/officeDocument/2006/relationships/hyperlink" Target="https://news.google.com/rss/articles/CBMilwFBVV95cUxQNDdIajVTOHVPdXF4bng4X0ZMMkpyaGhLZ3p6XzFaMHgzek12Y3BWaTNxRTJHdzRrOTZ3SDVEQ3llRl9jX29MZjM0cmdQUjJOcnJpNVdTMDJLblR5cmFwbmVrMnowckRFZUdnMHpBRmZkOTVicXJScVRMVW4yU1B4S1RxTlFpUHN2TVNHZ3lzQWN0LWVoUDVN?oc=5" TargetMode="External"/><Relationship Id="rId357" Type="http://schemas.openxmlformats.org/officeDocument/2006/relationships/hyperlink" Target="https://news.google.com/rss/articles/CBMi0AFBVV95cUxQWjBOUkRCeDE3QzJTX1dkY3doQ3dzenJUN2RRS09zbWZTc3pXeUdFdVlLLVVvNWx6YVZ6SWRHa2lsbk9GOGtXamRNSzF0Z3VlUVp3Q0RmYS1BN01QZlQ1QVBmSEV6VGVOX25vRWdJbHFLZXNnbFhZYWJYRHNxV0FFaGVwUzQ2NzJWdkhISVVmVTFYQW84a1kxZ3l2MWtaOG" TargetMode="External"/><Relationship Id="rId358" Type="http://schemas.openxmlformats.org/officeDocument/2006/relationships/hyperlink" Target="https://news.google.com/rss/articles/CBMihAFBVV95cUxPemQxcXRNNnBkekQ0elNIblFWTUNnMXU5NThab3BKSmNrUklueElkUG9DU3pxUVhVNmp0eUFLQWprenNKMVV4blltMGlqV3RBTlE1WkZxVGZ4XzJULWFyYWU5ZDhhV2tHRl9lMnI1Qm5oZGJMeUp6dkhOeDNTclNEQjM4R3U?oc=5" TargetMode="External"/><Relationship Id="rId359" Type="http://schemas.openxmlformats.org/officeDocument/2006/relationships/hyperlink" Target="https://news.google.com/rss/articles/CBMi3gFBVV95cUxPc2xNUi1YeWJ4eXVFYU45Nkt5VEMtV1FkODFVVFNiMDdna01aQVJOYkgyOWR5NVBnQUJ1czZYQUdmTTZzRWNaY1hOYmRuVkpfd3pOV0lQN2lTdm42ckZmY05IRERFVllTUVhsNWhtdGJmUTBaRWNfZEdnRkVITGMzN2IyR2RYYXotb2FJUmZxSHotT1ZnYVpKUTJEMEo0cl" TargetMode="External"/><Relationship Id="rId360" Type="http://schemas.openxmlformats.org/officeDocument/2006/relationships/hyperlink" Target="https://news.google.com/rss/articles/CBMipwFBVV95cUxOcGk2aWxtSTNzWlIydmsxQ2MtWmZDTDdyenJ4Y09lNHZSbFB1VVZrUlN6STU0NUl6NlN1V1hwV3R2YTI3cjhSYVQ4MHl5elNlcjhPMzk4dmFMRDJ3TUdMUkpEdTRXaXlMZXhxNU1GaUlPa3EtbFhmcFFuNDUxYXlROElGaEVqTXhHbUVlSjBSV3R3YzMxUExzX0dFZ0tTNT" TargetMode="External"/><Relationship Id="rId361" Type="http://schemas.openxmlformats.org/officeDocument/2006/relationships/hyperlink" Target="https://news.google.com/rss/articles/CBMigAFBVV95cUxPTnlCVDJ6NTNQcnJBNVhHcEJNajZWajdBZ2cxVm42N1lPdl9mNkFWaHBqc1VNV1I0Mmp5UGRlR0p0RGZiRklBdzctQlNibDdpZ0hTamxXeHhaTG9pRVZYbHUwTGhHWFpzVEZXSG5rRkRWT3JnX3dDZVY1bUctc3M4d9IBhgFBVV95cUxPeWYyTW9TNEVVQjMtaXE3UDN5dD" TargetMode="External"/><Relationship Id="rId362" Type="http://schemas.openxmlformats.org/officeDocument/2006/relationships/hyperlink" Target="https://news.google.com/rss/articles/CBMigAFBVV95cUxPTnlCVDJ6NTNQcnJBNVhHcEJNajZWajdBZ2cxVm42N1lPdl9mNkFWaHBqc1VNV1I0Mmp5UGRlR0p0RGZiRklBdzctQlNibDdpZ0hTamxXeHhaTG9pRVZYbHUwTGhHWFpzVEZXSG5rRkRWT3JnX3dDZVY1bUctc3M4d9IBhgFBVV95cUxPeWYyTW9TNEVVQjMtaXE3UDN5dD" TargetMode="External"/><Relationship Id="rId363" Type="http://schemas.openxmlformats.org/officeDocument/2006/relationships/hyperlink" Target="https://news.google.com/rss/articles/CBMiqwFBVV95cUxOQ182RlJfWjJwR2VIbDdIalBibTl2ZGVjVDdzMzJWdlAxRk9XTFU3TUZ5SlhfUzl1WmF6dXNUWXpsRHVwZU52VEpxNUhkeDdJbkVFZmF5TlVfUHV0eTZWUExoelZaaXFidmpWMHZLUG5CRlAtcEF3V3lpSklEeW51QVp5c2J4SFlxcVQyUnVibWh5eUNwbjFvZ2l3Q3pLNE" TargetMode="External"/><Relationship Id="rId364" Type="http://schemas.openxmlformats.org/officeDocument/2006/relationships/hyperlink" Target="https://news.google.com/rss/articles/CBMingFBVV95cUxOeVR5M0VpRGNMenItTE9fWnJsTFRMTmwybVhCclQ3YmFsOXdlWkdWN1hqMjdQZDRPWlZRcUpGNy1GRVlWM3FQdVRKSDFUbUF5NWhHSHhocUUxRU1Nb2pjVjNaN0xEMlFmX3VsZUhNZzNxY3hZbk9vQTZ0UnBoR1lpRURHUVRsWlhnSENiSWRkZVgwOWdGeHFSNlNkOVVzdw" TargetMode="External"/><Relationship Id="rId365" Type="http://schemas.openxmlformats.org/officeDocument/2006/relationships/hyperlink" Target="https://news.google.com/rss/articles/CBMixwFBVV95cUxPVUJoNE5mdFRfWUZKUVBqVWYyaDVZY3FNalZZVzFHbk1HYXNlbENRNjg5NlB6WnhEQlpPNV9UVWRGbXJPcWpOQWI0S3ZjVVNKb3FyZ05GOEdDNWN1dVlXM2RXb1dhR1pKSFpIQ05WQ0N0NDJZaTBFQ3VkOFpPZkJhT0p5X1J4VHFKS1NnSHQwaFhmaWtjZExqM3pVVjFxLV" TargetMode="External"/><Relationship Id="rId366" Type="http://schemas.openxmlformats.org/officeDocument/2006/relationships/hyperlink" Target="https://news.google.com/rss/articles/CBMie0FVX3lxTE1mcDFQQkk5VU4zZXl5Vmp5MmZMdzJYSGJmT3ZHdmxZZXU2WXRpZWFTN1JJcFNRRTZ2bkxlTmphd2c2WkQzYld4MUxEWWRoYWpsdDFMXzNJUWc3RzYzcjluc0V4cURCLUhqaUt1bE54UlB4OGNfZVVVN295bw?oc=5" TargetMode="External"/><Relationship Id="rId367" Type="http://schemas.openxmlformats.org/officeDocument/2006/relationships/hyperlink" Target="https://news.google.com/rss/articles/CBMijgFBVV95cUxQUF9KUzlYb296eEZheHFDZkVoWkx1Ti11bUNGYmxLeV9JQVowODBOWGQ0dEVPWXUyYk91cVpPV1ZZVWFXZFhUc1ZuWjBNN3FsXy1GTUowY1Z1WjBjaDlVbUdaQ0J3U3hYR2R6Z2FVWEhjWmRlMDB6eHVVZTJTR0xUYXp6ZzBGRlRucUhFLTJ3?oc=5" TargetMode="External"/><Relationship Id="rId368" Type="http://schemas.openxmlformats.org/officeDocument/2006/relationships/hyperlink" Target="https://news.google.com/rss/articles/CBMiqwFBVV95cUxORmpKOGNCbXRURk1mU3A5bTdjMzJqaUhUNVlXbTZueUdyQXE4MXJ2WHBwVFVGRmxNVUtuQlJLME5JREd5V1ZyeUhwc19FeU5ZcXhxX0Rfc2Vzb1NoaFVpTE5Dc3dob25QUWNsQWNzQkNrY2lZd05WMmRLczc1OGItQlRHWGpXTl9JcFVzaThLLV9TV1pMdW1qMWt3Vnhsd0" TargetMode="External"/><Relationship Id="rId369" Type="http://schemas.openxmlformats.org/officeDocument/2006/relationships/hyperlink" Target="https://news.google.com/rss/articles/CBMijAFBVV95cUxPdXpMTkhaOGxPWTZtTlFsOVl5SkxXRWF0Sktpb3JQT090bklwMERLZ3dTalluaTVfNmpHYmltSVlvMk9idHc5RUZ1MzlyT0dsdXJJckdHZDN4OTd6Wm9KdWFjZ0kyX3l6MlVpajhYTnRfTUhJeUpERUVBczZDV2daRXhrR0hyUkJJbkRhMA?oc=5" TargetMode="External"/><Relationship Id="rId370" Type="http://schemas.openxmlformats.org/officeDocument/2006/relationships/hyperlink" Target="https://news.google.com/rss/articles/CBMivwFBVV95cUxOSkh6OWlqUmpkSF8xc0hHR1hkV0kzR3Qta244LXIyUHdaMWw3eE81OWdUQVJHM0FFZVZOcThqWDZNT2FlQ1p6bHFWVlRMb1Z6TzRsODB2TFBjYTg4SXJFdFhTcHI2ODE2aFRMY1FxRXdjZ0p0eFJJNGFZY3YwejEtMzRlaG1KLUFFXzdKeGlTeDhsbnFqb2RWcFJ4bVRXWD" TargetMode="External"/><Relationship Id="rId371" Type="http://schemas.openxmlformats.org/officeDocument/2006/relationships/hyperlink" Target="https://news.google.com/rss/articles/CBMiqgFBVV95cUxNYTJXZWp1cEV1bkZtRnAzcGdFT1M3MTJqS096WHFTNHVpb1B0Nnl5Uk5rT1Mza0V4ZDBxeGhLcEdzTkRRN3hSNGttVXdVUFpLSXAwZ09neVI4dU5rc3hydFNzWWxkVzVlYXg1WFY3b21RanpQdGpXa1JjdlJPOVJXTVNRQk9aZGNBRXltbmRuaDJvVTExZUZGQ1lyS1RwVG" TargetMode="External"/><Relationship Id="rId372" Type="http://schemas.openxmlformats.org/officeDocument/2006/relationships/hyperlink" Target="https://www.cnbc.com/2026/09/03/heres-why-jim-cramer-is-putting-costco-stock-is-in-the-penalty-box-.html" TargetMode="External"/><Relationship Id="rId373" Type="http://schemas.openxmlformats.org/officeDocument/2006/relationships/hyperlink" Target="https://news.google.com/rss/articles/CBMiogFBVV95cUxOczZtR0d2Zm5mVnlUZ2FReWJfQmxOdjkwcEpqcG9fM1NvcjhWcDVtSWhxeDRSRWpXUFdEMFRSSkVoUExFNEp6dkRnMHVKZXh0VndpdnJkNVN6RHA1MkR1SkZ4VnBtWXliMUFaaGN3MTJEWHhZajN1aTAxeU02VEliMDRwalRidVFhRkpWa2stVngycHNLVVJDUEZpNThOek" TargetMode="External"/><Relationship Id="rId374" Type="http://schemas.openxmlformats.org/officeDocument/2006/relationships/hyperlink" Target="https://news.google.com/rss/articles/CBMixwFBVV95cUxNVUw5WlJZSDVOeTNzMndZSXd1UXFfMzBURVVKV2lBcGpQNXFlVGRPaWpoRElxOXRFd1NXZ3hSUVczZnpzZFlUVDNNRlFPWU5QQ1ZxMURuS25fV05XNnFTVTZ4SGZGVFVELVNVSXFCU1UycUhEUGt2Q0RCT3AzZlU3cnkyVUtGVkJ5Zk5wZTkzU3h0aW1SVm1MdkhxYlFId0" TargetMode="External"/><Relationship Id="rId375" Type="http://schemas.openxmlformats.org/officeDocument/2006/relationships/hyperlink" Target="https://news.google.com/rss/articles/CBMi1AFBVV95cUxNUkZZS1hhMlBWaThVT3JkZVh0SDc4VWE4T1BQSS1WWEQySlUyUWVPaVBxMTktNmNEMnZCZFJvd3B1WXE4N0xsRElIenNBN2t1SGJSUU4zUEQyeE4yR044dXFsVExBUFNhallWN183VDZyUnd3SllfYTFfaXREdTRzUU1Eb25LYWtYTy1LZE1pRVNBcHlFN1V1Znh0Z211RX" TargetMode="External"/><Relationship Id="rId376" Type="http://schemas.openxmlformats.org/officeDocument/2006/relationships/hyperlink" Target="https://news.google.com/rss/articles/CBMiwwFBVV95cUxNVHBDR1M0dTF6QkIxNGJ0Y2lEQ05CcUZ6Qm9iQ3NXTTV6SXlSeGRndENQemtpd3J2M2xBOXZkRFlTaklObzVtZ2xnbnJJRWplNVlkcE9jbEZ6SG1uTGFoUUU4REpIanVFb2JZNEVWVUROM0thYVZud0FOVjdlNDh3eFM3WHFyQ0JsMGwyU3REV2Y1NG42T2tqLUdVM3h4RE" TargetMode="External"/><Relationship Id="rId377" Type="http://schemas.openxmlformats.org/officeDocument/2006/relationships/hyperlink" Target="https://news.google.com/rss/articles/CBMiugFBVV95cUxPS2lzNWNDVU1NRGpkUDFxa1B5cWVoMDNwenFmMzFzZlA2VE9Pd1dVclJVcjZSZEFXRGdzVmpSVkllYk5xTXJ1eHZXblNtaF9BcEhST2lSbVd0WXBXUGpTNGRSdmJBRlhnODhMcWo3bTY2QjhEQnpmNTRSU3o5cDl3VjZ6Vk1GdndNREo5VWNxUnBhU1VGT3NxX0I1S2ExUD" TargetMode="External"/><Relationship Id="rId378" Type="http://schemas.openxmlformats.org/officeDocument/2006/relationships/hyperlink" Target="https://news.google.com/rss/articles/CBMinAFBVV95cUxPbGpmTmIyNzBIRXROLTdCMjFTTnhvRjNJSE16OG9YNGEzUzhVb2ZHdU8wYkZEMEtwNXotR3JieE9IUGxUUWZEREhVSjhDbWZGcmpXYVZRV2dOWG1GY1B0SjVDSXNIX2FLdjhxTDVldmE1VUlNb3JVUXhfS3dmWk9VUG1XVDQ0Uk90bEozYUJKV1labDJpd2g4bkE1UjY?oc" TargetMode="External"/><Relationship Id="rId379" Type="http://schemas.openxmlformats.org/officeDocument/2006/relationships/hyperlink" Target="https://news.google.com/rss/articles/CBMiiwFBVV95cUxOd01ycF9ReGhkWmxrb2pJcG9xMnV2WE5LZm51M28yLXhpcjNURXdyak9QOEl1MzFDYmJmUjdYTFI5cGdkdFRnU1VsWWEybFhobm00WFRFSmRnSl9uSFRwb3BlOThuVWYtemsta2JfeWViNVBoeWdrZzl4RnFfTDFqcFAwWGRWWHQySk93?oc=5" TargetMode="External"/><Relationship Id="rId380" Type="http://schemas.openxmlformats.org/officeDocument/2006/relationships/hyperlink" Target="https://news.google.com/rss/articles/CBMiugFBVV95cUxPS2lzNWNDVU1NRGpkUDFxa1B5cWVoMDNwenFmMzFzZlA2VE9Pd1dVclJVcjZSZEFXRGdzVmpSVkllYk5xTXJ1eHZXblNtaF9BcEhST2lSbVd0WXBXUGpTNGRSdmJBRlhnODhMcWo3bTY2QjhEQnpmNTRSU3o5cDl3VjZ6Vk1GdndNREo5VWNxUnBhU1VGT3NxX0I1S2ExUD" TargetMode="External"/><Relationship Id="rId381" Type="http://schemas.openxmlformats.org/officeDocument/2006/relationships/hyperlink" Target="https://news.google.com/rss/articles/CBMipAFBVV95cUxQdG1jMWZVVUNTSGFiSi1Ndi04Mm14amlUTjU2NWN3WUhZcUFJZ21hMWw3T0NiYk9BSkN4M3Y2Tm9mUk1Db2lrdURFRjdzZ0NsVXNzRjQxaWs1ZmswNVpBXzY4UHlNZS1wRW9nZER3NG8zbXFlaW9LNWJhdW5ScHoyVzhjaThiakN3dkMwdjlGTzFTWGs1Q0c5czQ0WmZuX0" TargetMode="External"/><Relationship Id="rId382" Type="http://schemas.openxmlformats.org/officeDocument/2006/relationships/hyperlink" Target="https://news.google.com/rss/articles/CBMigAFBVV95cUxPcVpmVVZCVVctVXo0T2N1MTFWa3kxM08ydkZDdmdfcHR4Z2RGU2JIaExCQndhSHRDaFlIQkNlQlh0UmVuUzRORU1UOWhraWxmYmY2OFZOUk9QT19mYmRCeG42Zk9OeW9HY043NFpRbkhRallJSXRBempBUmpMWU14a9IBgAFBVV95cUxQWGN1dmowZllxMGkwMWdrU3ZRSz" TargetMode="External"/><Relationship Id="rId383" Type="http://schemas.openxmlformats.org/officeDocument/2006/relationships/hyperlink" Target="https://news.google.com/rss/articles/CBMivwFBVV95cUxOanczcjhHSGFncW9sWGpXdUhNVXVLM3ZGckhGNGZGN1o2ZllkWm9aeWZNal8tdExPUElsNlFiWVRqRUtYWVNadXg4dkRuSmNodW95R0JuWnRUWElhTzJDMTV5cjZfZEpLZFRnVlNZaGRkd1hjTndfUjh1UER5b2NlTzdONWlIVDJvaDBmdzNoeElTOWZ4MldidjVMaEpTVU" TargetMode="External"/><Relationship Id="rId384" Type="http://schemas.openxmlformats.org/officeDocument/2006/relationships/hyperlink" Target="https://news.google.com/rss/articles/CBMibkFVX3lxTE1peEprRFhXLXNMQVVCLXFtZElLZnNFa0hlUVFBeUI5enV2akd6TVgyOWxJRThPaWI0eDJGZWhOakJmZ21HUTAzVjlPc0JIbUd2RThia0Y0UUpBMERoN0lJREN2elpHOThSdkNCNnlB?oc=5" TargetMode="External"/><Relationship Id="rId385" Type="http://schemas.openxmlformats.org/officeDocument/2006/relationships/hyperlink" Target="https://news.google.com/rss/articles/CBMibkFVX3lxTE1peEprRFhXLXNMQVVCLXFtZElLZnNFa0hlUVFBeUI5enV2akd6TVgyOWxJRThPaWI0eDJGZWhOakJmZ21HUTAzVjlPc0JIbUd2RThia0Y0UUpBMERoN0lJREN2elpHOThSdkNCNnlB?oc=5" TargetMode="External"/><Relationship Id="rId386" Type="http://schemas.openxmlformats.org/officeDocument/2006/relationships/hyperlink" Target="https://news.google.com/rss/articles/CBMiaEFVX3lxTFB2c1JGN1hhOG1XVmNjcV8xQ3loMnhOYm9EbW9PMGpKNFdiakJ6VUxNYlBHajNISGhYTnA2QktwUjZPY2FrY2VWVWZnMjJ0VmNkNUNUREgzQzlaRDl2Q1JsZzdHOGRDdmVz?oc=5" TargetMode="External"/><Relationship Id="rId387" Type="http://schemas.openxmlformats.org/officeDocument/2006/relationships/hyperlink" Target="https://news.google.com/rss/articles/CBMisAFBVV95cUxOSWZzbnJISUg2eUFtc0FrMWE0cGlvTVBWZmlRWjdvc3ljbWJtcE5jTGxMcjRtdXZfdENfR1NUd3FJc1p3UTZadDU0LUZIWXBKTUk0dkkyajNsTGEwVy05eXVjdlcwQTdxTWROS1ZGWjJfcldkVGw1Ql8wNVEtbFktLWY3cFExR2JINmZPYU9wQ1hadk14OVphTVZzdGF2OX" TargetMode="External"/><Relationship Id="rId388" Type="http://schemas.openxmlformats.org/officeDocument/2006/relationships/hyperlink" Target="https://news.google.com/rss/articles/CBMisAFBVV95cUxOSWZzbnJISUg2eUFtc0FrMWE0cGlvTVBWZmlRWjdvc3ljbWJtcE5jTGxMcjRtdXZfdENfR1NUd3FJc1p3UTZadDU0LUZIWXBKTUk0dkkyajNsTGEwVy05eXVjdlcwQTdxTWROS1ZGWjJfcldkVGw1Ql8wNVEtbFktLWY3cFExR2JINmZPYU9wQ1hadk14OVphTVZzdGF2OX" TargetMode="External"/><Relationship Id="rId389" Type="http://schemas.openxmlformats.org/officeDocument/2006/relationships/hyperlink" Target="https://news.google.com/rss/articles/CBMif0FVX3lxTFBxTjJVaWlmaXFoeWJCOEgzeHZJT3Y2WDNnQVFiWnBiVG96eUd0aTZtRVhHNjZMYkZDZkpRMGN4Qm4wU3Z4YXJGcHkxdFFIcHF5SFJURDhXMm54d2MyZTZLV1NKaTB1WmRzNjNvYWtSVG1DaWwtNDBQcUN0eE1nNlk?oc=5" TargetMode="External"/><Relationship Id="rId390" Type="http://schemas.openxmlformats.org/officeDocument/2006/relationships/hyperlink" Target="https://news.google.com/rss/articles/CBMiygFBVV95cUxQb1NQOERiX1hub1RhWjY3ZEdrcC1LYVVtcFVFWUdIUExUOXRYT1ZhMlN4RGxqd04tYXBwc0F3akdJY0FMWkpiOGFlajE0VTNkNGxyMDFMd1NQMk9VQm9UUlRQOEdqUlhZNVB1Sm9UQ0JwM0ZvWnlTMDBSUHR2cVkteThYREZFVV9GSGhSelp1QVlvQWFMcEdKN096R3dJYn" TargetMode="External"/><Relationship Id="rId391" Type="http://schemas.openxmlformats.org/officeDocument/2006/relationships/hyperlink" Target="https://news.google.com/rss/articles/CBMi8wFBVV95cUxPS05OUnRwQWJkM21KM2NfaGpxemlqQ3NhSGxlcy1kV0g5M0RqdUx4LTVwdEFGdzJoUHVoX3FoMzNvMk1WVUxFeUk3YjhWQWJjbWNVTWxmOW5OOXZSRS03ZFF3bmFRalpVMGJmbDJjaGRDazNqX3c0MlpzTU1YdW4tMmM2X3Y4VXBkLUtfbEVRSnktWTZ5UFlLY3JBcHBtbj" TargetMode="External"/><Relationship Id="rId392" Type="http://schemas.openxmlformats.org/officeDocument/2006/relationships/hyperlink" Target="https://news.google.com/rss/articles/CBMimwFBVV95cUxNaGpsOERFV1VYNXF0ck4wS3VwNl9xVEtXRnJ5ZFJYYkN5NVAzSlZJREdPcG1TZjlpU2JrNWVtNnFfZkJWaGhnaGhvcl9CRDFlaHFjZDRuQWRPeGR2azlBcTR3T2J6a19COU5MVHVrakRXdGl1S01Md3dOUTJKYWlMenFqbGEwdXBHNkJFRlBLWWpqN0RQajFTMnR1NA?oc=" TargetMode="External"/><Relationship Id="rId393" Type="http://schemas.openxmlformats.org/officeDocument/2006/relationships/hyperlink" Target="https://news.google.com/rss/articles/CBMinAFBVV95cUxOOFpqak5pdWprWi1fNE9LckF5OVhmSVlvOXdYaWI2S0VacUp4M0xwcXlYSy1fYl8wZ2szTVRDbmN4SG5jQ1dja2NwVUpQSWE4clgyQWIySDN3NWFXdlFvSXJOWkRkUWtIWTl5Y196UTZCbVBZSzlSd0hUcjNCenFfUVVZVzA2Ui16NE9zeGlubENNTDkyMWozYjMxaXE?oc" TargetMode="External"/><Relationship Id="rId394" Type="http://schemas.openxmlformats.org/officeDocument/2006/relationships/hyperlink" Target="https://news.google.com/rss/articles/CBMizgFBVV95cUxNTGdKSjJqSXVOdlNQMGhRUU5pRzVPNDhmak9NODk5eURvdWVWVUZDWUQyZ0FubUxBU2ZTMlhhNXdmNXpxWkp5ZTg5Z253c3A2U05SeUIzOG5ubmlwcHRLNTNPWFBIbWtuN3d6NEUxY3EzMVcyRk5VaW9tRUR6YzBQd0FqU0JUTE9EMTZPUGdXLUdmODhYYUtUVzJTam96dm" TargetMode="External"/><Relationship Id="rId395" Type="http://schemas.openxmlformats.org/officeDocument/2006/relationships/hyperlink" Target="https://news.google.com/rss/articles/CBMinAFBVV95cUxOMjkwNkdDVHdJODRRR0FwX21nendxQ2lYdGVDSldpWUlCNFBFcFZfeEcxbmR1dHpoUVZnaDNmcE1ROGtNLWU5Yng3MlRrNWQxZlBTOXNaQW45WnNRdEprSko2djJ2Y1g5YVFzT3pKLUZfbUJLNWE1RXlfbGlpeW5VNXRIaktMOUpHV0t6Ynl1ZTFOUEM0VlNWM3htM0I?oc" TargetMode="External"/><Relationship Id="rId396" Type="http://schemas.openxmlformats.org/officeDocument/2006/relationships/hyperlink" Target="https://news.google.com/rss/articles/CBMizgFBVV95cUxPUV8tNW1iOGpVMlZFV3ROZXVBRjZYYWVxSlRjNncxYXJ6Ui1YaXdrZ1V1Vzl3SC1ZM3lSWnFfZmhIT3hEZ3REV3hNUURQZFpxSEVHN3pnaFVlRGVadVNrMG93Z2oxdDVyTGlZd0JjOFZWWWhEX2tLMVVxTHNTWTByc3lJV0N3bjV5VHpUVzBlMEhKWFRSeEsxdW5ZS3FOdk" TargetMode="External"/><Relationship Id="rId397" Type="http://schemas.openxmlformats.org/officeDocument/2006/relationships/hyperlink" Target="https://news.google.com/rss/articles/CBMijAFBVV95cUxNWFd6RWJoS2lBUV84QTUzREFWWWFET1B3aC00WWpCZWthbEdyZm94QWRPdS1FaTY3eVZZaEI0Q3JIQ3BaS1hlNXkxSmN6dGwtblpaTVJoa3Bxd1pJZHRfNGxod08wS193X0pBTUV2UnJCVEpnVlRNMTlpV0J3TG9BV0FsTS1Ec1JwNGhCcA?oc=5" TargetMode="External"/><Relationship Id="rId398" Type="http://schemas.openxmlformats.org/officeDocument/2006/relationships/hyperlink" Target="https://news.google.com/rss/articles/CBMi2AFBVV95cUxOLXJVZEYtT0JDUmdPeUZxdjlXaHZSQzZFbGFraVRFeVIyYXRFLXN4bzhnZUUtZl9ZdXJlUERrOEY0eXFMZnNvSno2aVpPZTN1SlJDTUtqYUJka3BKV2JubFBuajloYU15b2VPWUlEUmNzX3RGX1NEVE9QQTlNRmRUbWRUbjQtU1o3MHE2amZfdDlJRmhNLTdMRm5DT09SSz" TargetMode="External"/><Relationship Id="rId399" Type="http://schemas.openxmlformats.org/officeDocument/2006/relationships/hyperlink" Target="https://news.google.com/rss/articles/CBMipgFBVV95cUxQOXJKb1JzX0loTjJtdm1yaGxYM3c5U2VyamlLcWhTSVZWdF9fb0hUZm1pWXJ0MVRCNHJjRm1mQ01vUUowZmpDcUdra3VtUGhjbTNoZjc3TE9Cb2Fwd0ZLdnlGMTlfRnVGM3k4c0VlSHVGY2liUnY0aUxHSVZ3eTFBZkxnaHZHY0Flc2ZNWVREODluNkQyQWxMUG52UUtYX3" TargetMode="External"/><Relationship Id="rId400" Type="http://schemas.openxmlformats.org/officeDocument/2006/relationships/hyperlink" Target="https://news.google.com/rss/articles/CBMiwwFBVV95cUxNRGM0WWxUbERMdnNUYVMzbDB0R1JsUHpGMk5Lc3V5UjBFTjRyVm1fajNReWNpcXNRc25xUVMwUzN3aXpYbmlWZmtMLWRtNlNMTE9ET1ZNRFhheTdMMXBfRk5ZTEF0OFplaGZOUk82XzNQY0Q1eVpIQl93UHhGbUVSMU1aMEM2Zkw4ajI5YWRVWmxsaFQtdm1SajhnNi1rWT" TargetMode="External"/><Relationship Id="rId401" Type="http://schemas.openxmlformats.org/officeDocument/2006/relationships/hyperlink" Target="https://news.google.com/rss/articles/CBMi1wFBVV95cUxPWm10V285QU4ydXZZTHhxcFg2bENfdTFIYzFrbjhRSWRpd0VVVnZHUERTTkNUb2lSQXJ1eDJzSi13RXNPeEg2MFZzR3Fwb3JZMC1zMWZoSkRXUkx2SXlyMDE1dHV3QmlVbmd5a1JiUy1VUldOZTlKRXg0akE1aDNRVUM0cG9HMEQ5Q3B0Umozc3M3NWVQdjYxRUNEdmxmbm" TargetMode="External"/><Relationship Id="rId402" Type="http://schemas.openxmlformats.org/officeDocument/2006/relationships/hyperlink" Target="https://news.google.com/rss/articles/CBMi4wFBVV95cUxPMUdfeHY3OUhzOTI0N2cwd1I5ck5tU21LYnBYTGFqVjZwQU81U2NoV2laY3MtenpHMlI2N1J1UWpNUUNTd25CSHA2U0ZTRjhSYkw2Qk5JSW50Z01HQ0pXbUtEckc3T3cyS3lueWVENU9FcDR5YXBfLTJ5ZzNZU0hZOENNSnpFaWZXdmlWaFQ2MGZPemx5T1dXWGxIM2pDTG" TargetMode="External"/><Relationship Id="rId403" Type="http://schemas.openxmlformats.org/officeDocument/2006/relationships/hyperlink" Target="https://news.google.com/rss/articles/CBMiowFBVV95cUxQS1pxV1FvM3FTdlRxVnhJSmVjZlY0RXFMQ2FqV21sczQ3TDJjZ1FqYU9kdGJLMHgxVTVhd0dYZEdfbkNYNldGZ2t1N0UtUTB2QjhlUXk5S1V1cWFSM1BneHRNN3lBQ2NLOGUwcVZIVjVxd2RSaTlsbGoyM0ptWUNXT0hJZGlKdEVNRU0xUUlnUHQ3LTBfbG9NWkhpcUxLbW" TargetMode="External"/><Relationship Id="rId404" Type="http://schemas.openxmlformats.org/officeDocument/2006/relationships/hyperlink" Target="https://news.google.com/rss/articles/CBMi7wFBVV95cUxNVWtmbzlqT1pvM0k5bXJyMmJzSzZKNXU5bmNsSUoxNlZBSW9SOTlDTHdmUWZoMGo0ZEJleTEzTlgxWDg2VlBrMmJZTDJsQUktcVBEelRBTWs0cnNJeFJMWXlldWdJV3F5N0tUVzREY2hCRnd3OHJLZzJfS01CNEVlbkhBMC05R3RPdThqOWxoRXVJanBHWllvOUdvX041az" TargetMode="External"/><Relationship Id="rId405" Type="http://schemas.openxmlformats.org/officeDocument/2006/relationships/hyperlink" Target="https://news.google.com/rss/articles/CBMid0FVX3lxTE4wblJEQzB3cXV4NmZuc0w4bmstRzFJcXYtSmNJVGVYRXptUklRUWExeDB3UUpGTDZPMWV2THZtTVdIWDhBZUxYalVLOGlUM3dKeXBpbzVMVWNCWkhRN1ZGNHV5SGl4alBUTnVpNEthTGVLZm9kb1Y4?oc=5" TargetMode="External"/><Relationship Id="rId406" Type="http://schemas.openxmlformats.org/officeDocument/2006/relationships/hyperlink" Target="https://news.google.com/rss/articles/CBMinAFBVV95cUxPTF9jaHpTRUh6QjlHbm5aMVJfa2pCQVdYTlFINmd1U0pQVzlRSnBNNmdEYmFBMjBQVHFwZ0hhSGxXalNhTHFaU29WTGJjYnJSYVU0dGl3ZnVVSmQ0YkZMN05UY3A2VDZHbkxPc2lKX29aYThKeTJWYWFGX3hZRnYwa0tHMFoycHRRbEt4XzJSdWJObGo1d1ZyaW83RFk?oc" TargetMode="External"/><Relationship Id="rId407" Type="http://schemas.openxmlformats.org/officeDocument/2006/relationships/hyperlink" Target="https://news.google.com/rss/articles/CBMiigFBVV95cUxQNzdabGZicFI5bVRmUlp4dThNblI0bkJTNXR4WDJJVUN2cndvNHdLUDdnMlNGMEdTZmpsdGg5eWdkTkNFeHhpTmFvSE5mRlpyalN2ZkZKcG44N0s4T1h3T3VrRXB0R3FuZTNQVnVsVUtROXdIbkxWMzByN3lBM0tibXFOOHc1cGFEU0E?oc=5" TargetMode="External"/><Relationship Id="rId408" Type="http://schemas.openxmlformats.org/officeDocument/2006/relationships/hyperlink" Target="https://news.google.com/rss/articles/CBMipAFBVV95cUxOUGRiVDJNakk0RTIwRGhwT0phXzFLNjR4UHdqRWtua0lnNThOVXNMOS0yTHhFdUMwUkFHVkhmTGFXWWROczByc2dOZGRkV3pnSVZUSEV0Vi1raTJuSk1leVMxd21vdUVmSlRxQlNmUkh0UEs0RnF4MEdoU21wM2xUUXEtYjlEWWZvYW05UWhRdVdzRTlQZ0tjbGY4ZmVNV0" TargetMode="External"/><Relationship Id="rId409" Type="http://schemas.openxmlformats.org/officeDocument/2006/relationships/hyperlink" Target="https://news.google.com/rss/articles/CBMie0FVX3lxTE1HWFZWdndMRk1qek1nVVUzclVjNnpTbzhPdWxKMTJWOTBJNTFEa1F3NHVtaWJQdmktRHlSTXNwdVlhWU44eEFrSHg3bjJiU0ZhSE9EU0xvbGRIM0pmbUd6VXNaMGtWSy1GUUY5alZGT0FUQUJCZ0VaYVdCWQ?oc=5" TargetMode="External"/><Relationship Id="rId410" Type="http://schemas.openxmlformats.org/officeDocument/2006/relationships/hyperlink" Target="https://news.google.com/rss/articles/CBMiigFBVV95cUxQNmYzZ1B3WXVOeWN3NVdvZ2tIdXowQVh3UW1KQ2FXRzhERTFyaUJIOEtmVkQ3aEN2MnVrbWM5UzhYWlI4NUZEWjNNRWpORzRhSkdyYWtER1NPRXBKbVdhRXN1VUw1dGdCSGVxRFZUNGkxUzRWN0xBai1KT20tS3BNRDBVUV9lWFRwWXc?oc=5" TargetMode="External"/><Relationship Id="rId411" Type="http://schemas.openxmlformats.org/officeDocument/2006/relationships/hyperlink" Target="https://news.google.com/rss/articles/CBMipwFBVV95cUxQWC1Ea2lYbUVEVkh2UXoxZnN0NHFFOEZrd3RUeEx3b0JidHZNck9PLXNMTXRBQUw5eWYxQ2RKdWMtMm9SVVZaMlBJOUxLYWRwVWItME9KTGtqb1U2N1dDNHNhMUVDSEcyUDFmNnlIbDRRcE5zeVFfZjdHWXpyNXUxaFd4SUw4aG5uUEZQVDQtRFhLbnltODV5eVhZdG5uOD" TargetMode="External"/><Relationship Id="rId412" Type="http://schemas.openxmlformats.org/officeDocument/2006/relationships/hyperlink" Target="https://news.google.com/rss/articles/CBMinwFBVV95cUxQRXZqMUdIczJKN29ScmFUOGhNNmVLM3ZyNjN5QkMxWjR6RFByTE8xOFhIUmlQanpNMkVHRDRhN2hvSm9UTU9udWtjVV9fNTRkLTFQLXlKZktXLUN1YmZFVEhmdVR4YldOc3hMZDlWYW1ucWcxY1lfd21YakJZSlZObi0tdVFNNlhaVlcwTkFkYlNKYnVXY1RtZl90NXJDVE" TargetMode="External"/><Relationship Id="rId413" Type="http://schemas.openxmlformats.org/officeDocument/2006/relationships/hyperlink" Target="https://news.google.com/rss/articles/CBMiugFBVV95cUxPWXg3QnpvYVRxbXBDX1hjWmxFRjBiQUhvaVJ0VTBOaU9EdGFsT1ZtSzd2ZmNDN2pPempDTzhFTWM3YmRzekZvS1NfWk5DN1hVcUkzaFpuOGdZdXJPdVRIbkhORUdJNHdOcVZuUF81by1PYVNKSEprbmVxekwzWW85RzNBVW5SUENUUXIzOVhJYU96QnpkS2dyX19xUFRrUE" TargetMode="External"/><Relationship Id="rId414" Type="http://schemas.openxmlformats.org/officeDocument/2006/relationships/hyperlink" Target="https://news.google.com/rss/articles/CBMi0gFBVV95cUxNY2ozcHhYMTlTRkZnMmdzdjVjV1R0UnFZLUZGbEdmUDljVGxIVmd0VnNkS2lhZlZSZ3RCS29RR3FVV0xva01aQ2s4WWZlbEZMT1IwUWQxYzUzQlpyNmQ2Y2NESlA1djkyT2J2dE9zcWhHRHl4Y2NyTldzb1ZxaFM5amlMWmUyY1R1dXJ0RkQyN0Utd2FfQ0pDbEdOM0xJOU" TargetMode="External"/><Relationship Id="rId415" Type="http://schemas.openxmlformats.org/officeDocument/2006/relationships/hyperlink" Target="https://news.google.com/rss/articles/CBMihgFBVV95cUxNdlpNNl9aZ3FjTkJtbjJVYU1GbkRIdF9SYS02YUt5S1V2TDlGU1ZHR2NabDRFalY1U3p3OEhOVldlYUdnLUZWMVQxVTJNOTlCc19FaUd4cU5lNVNla0RNS29oYnNwVGxLUWdSblFhOG5BdXNwMW5jLUdIM0hhekRGb0RGd2gydw?oc=5" TargetMode="External"/><Relationship Id="rId416" Type="http://schemas.openxmlformats.org/officeDocument/2006/relationships/hyperlink" Target="https://news.google.com/rss/articles/CBMikwFBVV95cUxPQVUzV0tOT1pWUThjMmFEdjJXMmM0dHkteHpmWU00Yk90N013RXRQdWVzUEVENW5qQmhwdk1UNDlyVXljY1dTUDhobVhZTldLN1kxZ3RrSVQzbHQ4NmhkdTZOeGdqbmhid0pBdlpQLXNsVDJsS3NudzBPcVBDaXB5aXBZQ0drQTRpci1uQlluT01ES1k?oc=5" TargetMode="External"/><Relationship Id="rId417" Type="http://schemas.openxmlformats.org/officeDocument/2006/relationships/hyperlink" Target="https://news.google.com/rss/articles/CBMipAFBVV95cUxPMk1jaVJ3T01DSFRLdGNPZjVwQnNOcVVDUV9QblluOVcyVWYzaTZReVZfY2NpMHM4Uy03T2wwZWJIQlhFQkw0cnlIbmp4aUdEVTc0VHVsakNkV1JlR2tTazd1cUhldTBob0hlQ2p6LWVfdUpnay03LWtEUTUtOVhDbnFvN0d0MHdZZ25pd09tdUxUaVQzbDYxaHF5cVlqdE" TargetMode="External"/><Relationship Id="rId418" Type="http://schemas.openxmlformats.org/officeDocument/2006/relationships/hyperlink" Target="https://news.google.com/rss/articles/CBMiiAFBVV95cUxPcUp1d3hWblFjbEJYejZrV2hsaElWbHRNWGY1OFk5OWFYRFVYN18yMkt4U1pLaTRiNU9uVnlSbjhzZHQ0c0lIaXFHcm1rdVhoU09KaGlkS29CRWY1bXRSRFliM3VlMDliZ0h5REZkR2VnY2dBaGxiOEVFam56Nm1NTE41SThfQl9p?oc=5" TargetMode="External"/><Relationship Id="rId419" Type="http://schemas.openxmlformats.org/officeDocument/2006/relationships/hyperlink" Target="https://news.google.com/rss/articles/CBMihwJBVV95cUxNOGstbTlTOVlGX0pybGlDYkpPR0ZDT29EdGJpX3IzRktxYW4ycHJ2dW9aVnQzYW45ellVWG55TDhleG9qWTFSdjhic2pibVBWSkdiVmtIOVIyeThTczZiWjhRR3FueDRZSFpxZ2VsUEg5bjFILV9jSTMwUzZJZlI1MUZfa0U5dkthQ2FoWUVaMGVFUzJpYkpRbG9OUTRNaG" TargetMode="External"/><Relationship Id="rId420" Type="http://schemas.openxmlformats.org/officeDocument/2006/relationships/hyperlink" Target="https://news.google.com/rss/articles/CBMijgFBVV95cUxQX1lPRUYwa2hCaU56ZzNBaUZvQ0hvTHNONEx0OWxSdnQwTXRDd2dOeWZXbWl2TkhvWjNaYWE2Q2FQb0QwRy1LZk41MUktLW5ZMVlVRVBhUjR4X1Q2M3N0T1BNdzhLWmNXNk05RXpYQ1FmVVdJQTlDSFZuX21SNTNnLVNjYWt1VTJ6dkhvaDNR?oc=5" TargetMode="External"/><Relationship Id="rId421" Type="http://schemas.openxmlformats.org/officeDocument/2006/relationships/hyperlink" Target="https://news.google.com/rss/articles/CBMilgFBVV95cUxOcWo5RHJIWXphVDh3LUpyTFhzMFlySnJwOVFpRllqY3Q4Z1Z2dHptVDlYSkJCMGhnbnZaNHhGeGVUYUdKVThhUE10TlVlalhsMGxCQlBFUm5YM1NpcV83cU5RNXdodGw2em80cnYtaGIwRzc5MktEZFBSWWtIRWhXYkcwQWdPQ3ZMTElLUVNSTER1WHg0c3c?oc=5" TargetMode="External"/><Relationship Id="rId422" Type="http://schemas.openxmlformats.org/officeDocument/2006/relationships/hyperlink" Target="https://news.google.com/rss/articles/CBMigwFBVV95cUxPamxHM0p3UzBkMHVCRk9wMURKZUVGQ1gwZExLM1U2OV9BVXBfODN3WExEM0VjRkwyR3pIYjZ5RWtGaUhUMVBHcFhJRVVwSmtfSHJWdXBaSVdJbXNZTUZCWF9IUGhBMEhrSk1wM0dNb3FQdDBtMURwTWc5cTVOSFdZNTBMVQ?oc=5" TargetMode="External"/><Relationship Id="rId423" Type="http://schemas.openxmlformats.org/officeDocument/2006/relationships/hyperlink" Target="https://news.google.com/rss/articles/CBMiigFBVV95cUxNMVNPYzNIR0U0STFSaW1MdVFRZGRMbnRvWF9WNkNMVkg5NTJJekJmenFZdkNMY2FDaUpHX0pBSHlLSUN0dFpSM2NnNTctcmYyams2UWNib0Y5YWswWlU1UmF4SEhDQkI3dW1nWTdHa3d6OWpRUXRkMnl6Y01td3hyR2JTZ082eGQzQWfSAY8BQVVfeXFMTjRVYTdfcTR5bW" TargetMode="External"/><Relationship Id="rId424" Type="http://schemas.openxmlformats.org/officeDocument/2006/relationships/hyperlink" Target="https://news.google.com/rss/articles/CBMiiAFBVV95cUxNN3dNaXVXX0hZYjVmdU92ajg1U1NrOXV4czluQ0N5T1JhZ0RDUldOdFhHTnBXYXRud1ZhRWhJbFY2VE9id3JSektzS3NWYlZQTXFyU1laeTdMa3UwTnktNzlkSEsza1l6aG5KWjlkSHR4NHl3V0dQWi1ha3F4UWhPMWp5TFNzcEpK?oc=5" TargetMode="External"/><Relationship Id="rId425" Type="http://schemas.openxmlformats.org/officeDocument/2006/relationships/hyperlink" Target="https://news.google.com/rss/articles/CBMimwFBVV95cUxQTWMtZHJnNWppaUpjZTJWeDZ5QVZ1VFR4QzVQb0pZaE4xNTdaVGpWREVxV3pLNWNoQkp3Sk1uYVQyS3loYmdGdVp1OUt5aFpXZ3k5amJDQkc2TEdDNE4xZDdCTExtTXk4Vk9YRWo5RXBrZlczdDhXcjJhaEhWdzd0QkhQbHh2SlZWTTc1SXk0QTBLODAyOXA5S2NCZw?oc=" TargetMode="External"/><Relationship Id="rId426" Type="http://schemas.openxmlformats.org/officeDocument/2006/relationships/hyperlink" Target="https://news.google.com/rss/articles/CBMimwFBVV95cUxNeUdJUVJKX1J6R2k4dkJUcGNJcGZQWjd2MmpRSGlBeEJ6U3NtUXJyOVotTTZkbllBNVM5TWFLeFlhNGFWUzJaS1M2N3lFY1JkMUtRa0NkWm9YWWlybHB2Umt1dHA3ZnJBNXllR3drUEc4cGMwUXZfR0c2YVd4NklfTDB5ZlJNTk5LdVc5NGc2NGJJa2w4UmFfQVNFaw?oc=" TargetMode="External"/><Relationship Id="rId427" Type="http://schemas.openxmlformats.org/officeDocument/2006/relationships/hyperlink" Target="https://news.google.com/rss/articles/CBMidkFVX3lxTFBkQmFZNnBXYmg0NGN2STNJZklhOWtvNGFWUU8yeXIxRGhjSkZHMktKdDY1eDI1N0ppX2V0Z25JLWNxeTdBZmZDZC01NF9qY211X3pqejE1NWdtMkFoUVlKVnAyVFotT2N5WEs3UXpXNmlQQ0NRUHc?oc=5" TargetMode="External"/><Relationship Id="rId428" Type="http://schemas.openxmlformats.org/officeDocument/2006/relationships/hyperlink" Target="https://news.google.com/rss/articles/CBMipgFBVV95cUxOZk1RNUlUTGd0Y3I3NGkzcmh0eUo2cUI5bnlfSTJsLUZuMjl1YW1IcGEtRHRVV2h6QzBDYnl3X0wtWFN0MGtOTFM0RktlcHVIYW8yaXp6cUtvNkdsMG5RWm4yVTdLUDRLanJKNG83UTlNam1ESG54TVZRMHpab0pMVG5UVUhjclJSSzNlR0pucFZzQ0Y1WGY0ZHdzVUtwaW" TargetMode="External"/><Relationship Id="rId429" Type="http://schemas.openxmlformats.org/officeDocument/2006/relationships/hyperlink" Target="https://news.google.com/rss/articles/CBMiqgFBVV95cUxONFlXZFg3bjJIdHpsemZtMUVqQ09SdWc4cXUwc2ZmMFYyMUMxVlJUajY2SVRMN3FFd3NUeTFZRzJubUc2b0lUb3R4SUQtSGJDdXdFUm03MS1VMmZZa2lpVkl0NWwyeU0xMWRzbzZVUEJNaHViX2U3cGtKUFo1NEpXZFdSbzF2ZVNVWWdrSms0OVpCMGFTOENaMG9NaGk1R3" TargetMode="External"/><Relationship Id="rId430" Type="http://schemas.openxmlformats.org/officeDocument/2006/relationships/hyperlink" Target="https://news.google.com/rss/articles/CBMisgFBVV95cUxQSDFGRnBDdl8yZ0ZDcWI0NTZla05sMTI4V0NJRVZBRUZyRFBRZjRQeWhwellYZk9nS2VHaTN0d04xXzJqcTNQMks2dlh0d1M0V1BTV2hhU0I1a3VOeHBUNjhsUXFlTzJ3WnJsVDVROFF6YTRiNVV1YXZyanZWUzduMnBsLXBGYVZYd0hKSFBuN0J1RWFxajZ2R0lRbTVieW" TargetMode="External"/><Relationship Id="rId431" Type="http://schemas.openxmlformats.org/officeDocument/2006/relationships/hyperlink" Target="https://news.google.com/rss/articles/CBMirAFBVV95cUxQdXVVRnh3WEx2TlBGVnFzcWR5bFNyUmcyakM4WVViQzduV19mc29yT2o0VDBHeXFOTV81SHM3T2YzeUxhYk05NGZGNXAyMHhSSmhfZVMzNzlLYUFxdU80aHY0NFNKb2ExMnN2RTRadVZDekJTZHV2Mzcya0xZamFVLUMxU3ZuVXhFQ3RKNGt3NC1ScFlZTFFpM3ZVODd0Qm" TargetMode="External"/><Relationship Id="rId432" Type="http://schemas.openxmlformats.org/officeDocument/2006/relationships/hyperlink" Target="https://news.google.com/rss/articles/CBMiqgFBVV95cUxQTXNBZklSdFF6VXVZS3hSZDBQME1NUWU4WHFzUXpHZmQ4RzBRZERQVUhZMjZsSThTYzNqQlluT0t2a3VpS044aDVqcG5GWHFnTmZhaVdpWFNyVm5TZmVheC1aYVlsdlB1V3BTX0NyMl9FczBqbjNEa0pUNWlXcHNJT0NpMkZ5bEJxNmw0U3Q3bER3LWw2aTBIR1VobGltcV" TargetMode="External"/><Relationship Id="rId433" Type="http://schemas.openxmlformats.org/officeDocument/2006/relationships/hyperlink" Target="https://news.google.com/rss/articles/CBMipgFBVV95cUxQT3ZtNDV2ZWplSmlrQkRFZ05zSjNFc2M4OFRfa082TGo1cGNaWllGTTMxNjlUQm13NnlZeExZaGtzVC1LMUFBblZDRXlxdUpUYlc3STBUb3dqSTJiWWNKTHRjLV8tbXpjcUZnblYwdEZUUUNQX3BOWUFhc0ZZM1hQTlMxY1l3RHdJZk1QUDE2cF9SOTN4S05mQ1FGT0NfMV" TargetMode="External"/><Relationship Id="rId434" Type="http://schemas.openxmlformats.org/officeDocument/2006/relationships/hyperlink" Target="https://news.google.com/rss/articles/CBMiogFBVV95cUxOeC1lYkd1aElyM2QwcHpnR3l3Q2x1ODM2eW5pOUswcHNKTElxMWV5azFYTFhFUThLemhmdTNjcHdZRWxHTkthNlExOGN1NXFWaWtkZkxfNnZSaF8yZ0luRm1TT1hZSGJuNXlBaDlKS0JRTnAxYWRkdFlxWDRVWmROQXhNN3BaYk9QNklkbDR0NkRjamVJTVRwbzNIR05nN0" TargetMode="External"/><Relationship Id="rId435" Type="http://schemas.openxmlformats.org/officeDocument/2006/relationships/hyperlink" Target="https://news.google.com/rss/articles/CBMimwFBVV95cUxOMGdyeENsY2VaOTFsZDdZNklRVUZWNDNQaXRKd0p1dENQZlg4dnpWdnJuYmdZd0JLaHhaT29oX1MyMDBpdVRiUGhFRHgzcTR2alVPeXNMZXZaaC1VQnVoVTlzWV90d05salFZd1ZVVHNLY2NPTkxxYy1ZQzVBLXBBSGFVMjlTS2RhRHNQTHZvU05tbHBHeGllUWJlNA?oc=" TargetMode="External"/><Relationship Id="rId436" Type="http://schemas.openxmlformats.org/officeDocument/2006/relationships/hyperlink" Target="https://news.google.com/rss/articles/CBMiwAFBVV95cUxPUm1sNG5vQTRqbEkwMmdWb3FTVWFWTDJ5dmpPTkZsakZYOUxfQklJWC1ZbDV3eVFHTGpuQkF1ZU12d0VxMkJnZ2FWZkNTN0FnQ0pVT09aNkhOYTFaYTBJcWl0Q1FMRmJDbDNGMlZuTE9iZnlOSkNrS2JIQ1dtd2lJaFFBaHcxWi15NkgydmlYQjFiMk5uaUJtVDBuRWNxYm" TargetMode="External"/><Relationship Id="rId437" Type="http://schemas.openxmlformats.org/officeDocument/2006/relationships/hyperlink" Target="https://news.google.com/rss/articles/CBMiogFBVV95cUxQOUNldEx2U2VwSVhZeUFNdjIzdWFLN09hOWkwRFBTUDN0MzJRWURYMzQ4d2pUTm1HdFl2OXFyQWdVMS1vU0xjSVBzV0ZCZExVckxTVk9DS3p4UXRZMHhFYmR3MFFHN2dra1BoaXpYX2ZUOG1FOVVQWlhKMTZPblg2aHRMemhnaWpkUno1bmItTGI0RTFZYWgwdlpXNGFQUE" TargetMode="External"/><Relationship Id="rId438" Type="http://schemas.openxmlformats.org/officeDocument/2006/relationships/hyperlink" Target="https://news.google.com/rss/articles/CBMieEFVX3lxTE80OThzamZkSTdaLVRzeExaa0lzb2t3bEhVR05ST3RDYldGREQ3ZjRoS1ZSRWRHQXFFd25VY3dZbWZLMTY3NTRiVHd6eXdLZ3JJWDByN2ZMZ3JZcnd3bk8yajduZHRkUjFxaEdvb2QtNGdHRThpSVQ1Tg?oc=5" TargetMode="External"/><Relationship Id="rId439" Type="http://schemas.openxmlformats.org/officeDocument/2006/relationships/hyperlink" Target="https://news.google.com/rss/articles/CBMihgFBVV95cUxOVzVwdzliSHlYSERWMU9XN2Vrc1l5dXAyUlV5c3Yyb1dxckNYdWVqZUZGTzZ4ODJUbW5HRjNyaC12dWNhZ3RBV0hPRXlHX2pVbjBrRXhZZE9pazd3cjZDdWVzZHM0bnRPOVJXQkl4dW1TMkpVRkMxVXNsNF9WUG52d3U5cUlydw?oc=5" TargetMode="External"/><Relationship Id="rId440" Type="http://schemas.openxmlformats.org/officeDocument/2006/relationships/hyperlink" Target="https://news.google.com/rss/articles/CBMihgFBVV95cUxQSjZUYzJMQ0kxYjlhXzZpX2ZseVJqejdGN055ci1qMzIySTVIczM2dUp6TkxnVUU3bnEtajZYMXRlQnlJbnEtRGNrUDUwa3QxSkR2RGgwU3dFZUtMbzJHd1JSd2Y1VVN2TlBWaFFlSFNzdkswMXhDd01DMHlYanVkRlJUTkZGQQ?oc=5" TargetMode="External"/><Relationship Id="rId441" Type="http://schemas.openxmlformats.org/officeDocument/2006/relationships/hyperlink" Target="https://news.google.com/rss/articles/CBMiwwFBVV95cUxPOVZyWV9Ka1RuS2VlRVlrWTZqLTRSbk9ybzBoYUtaSWNTNEoyeEZBSWM3bUluNnlrN0xpXzRublBxZ2JNVWhZN0xXSE9Ia3oyaEdZNWVXZnpMaVpBdm5ZSFJscHZDZHg5SnN6aHdiNHVyUERjS214aXdONGZGWWhGRHdkbzEtTG85d2p0dFhoYWY4dXJteEIyMlotd0Rxdl" TargetMode="External"/><Relationship Id="rId442" Type="http://schemas.openxmlformats.org/officeDocument/2006/relationships/hyperlink" Target="https://news.google.com/rss/articles/CBMipwFBVV95cUxNcWJpTnBfMHNISHdORmFrd3FkcGJyZWlJMG5wdTZtSHJPNjJMUEpaRTVHSTBqVUFlNDhuVFA0dXJnOGh4bDdpTmhJLUhKY2ZYektjY0VWMHhOaXk1dEs4WTh4eHd3bDNucUJWZlduak1YNFg4ZFhRVFRPVHhwUDQ1TF9ueFp6cUJQWHY4WE95eHY5aTJMZnhnUVhDUHpNVG" TargetMode="External"/><Relationship Id="rId443" Type="http://schemas.openxmlformats.org/officeDocument/2006/relationships/hyperlink" Target="https://news.google.com/rss/articles/CBMiwgFBVV95cUxNZEhQM3p0VkRXeHdkNUIwbmpNZUJ1dkpfMjBCQUtLSmJTWTdBOWFMTThtdDZHUXVfQTVpck5Cd3A3bzd3LVdWVXhyM3RCM0dNaXNlRTBLYVE4RDVveko4VlRVc0xZNWU5VllRajR5bmZCMExiRlhvdmFlSkJEWVY0Q1duRU9jaDBjRURvTUcweW82QUU1ald2aXpld0t3VV" TargetMode="External"/><Relationship Id="rId444" Type="http://schemas.openxmlformats.org/officeDocument/2006/relationships/hyperlink" Target="https://news.google.com/rss/articles/CBMiygFBVV95cUxNUmtRMUE4V1VPYVA5VmhoOVc3dWJJYmg0YnlWemo0RHctOU1veXVoY1JvZ19hSkx1ekxZbUp2clhLMlVNMW9iclp6clZjdmNDOHdHaFdsUmNha3l4VWxZSHp0M1F6aHAxWFp1YndlZXdIOW01SGNRV0RfbWVFckx6bC1RaGdfQnlWWkNyNnZoaGVqQ1ZNZG56aS1qVnlyeD" TargetMode="External"/><Relationship Id="rId445" Type="http://schemas.openxmlformats.org/officeDocument/2006/relationships/hyperlink" Target="https://news.google.com/rss/articles/CBMizAFBVV95cUxPT2JLdERHNEg1enhzTmU0bXB4cTBRS0FHdWkycUt2ZXlCN0cyQy05c05TTy02QzJiRFo2RmxVejVMRXFQaktwRkNJWkpPOTdzcS1ubkg5VlRaTHhsdVRhbGdzaDNPOFJzQ0h5b25Zcjl5bEl2LWhWcXdpektlSjBuUk8xbEFxc1VqZG05ZE5iNjJUWEx6UnFuak5NdC1keT" TargetMode="External"/><Relationship Id="rId446" Type="http://schemas.openxmlformats.org/officeDocument/2006/relationships/hyperlink" Target="https://news.google.com/rss/articles/CBMikAFBVV95cUxPeUp5Mnp3VGdiTzdhTGtBRUtfbE9VLUp0N2hNLTBicFVJUGJGSGJmSFM3bklSYkZaNDR4V21Cb21RaHJLdVhEeEowRE0tV1dpTmIzeU1GZzd0b1BCdTlGZ0w0U3JlYURrLWpVbllFV3cxbXp6X3ZNT1NWNzBhY0dCRTMxVzBXXzZNN3pKdnRac0vSAZYBQVVfeXFMTTk5bn" TargetMode="External"/><Relationship Id="rId447" Type="http://schemas.openxmlformats.org/officeDocument/2006/relationships/hyperlink" Target="https://news.google.com/rss/articles/CBMivgFBVV95cUxNS1FKZGVNc3BnNEJzV3hqT2R3YTlKRXRJaGt4THVGS1NuYl9uMnljNVlpSlhlSS1jY3ZyaU1NdFIxY0w0akpCOHRJeVVpS00xZ09EZU1QbFpOalJaN0NUNm41WVZMa2pJU05SZl9lTl9NSnVjd3VqcWVTdzZEeWhGVkF6Um4zbTNfOFdqeUV0a3dwVEk3cWdCLTFfQTdSdm" TargetMode="External"/><Relationship Id="rId448" Type="http://schemas.openxmlformats.org/officeDocument/2006/relationships/hyperlink" Target="https://news.google.com/rss/articles/CBMiiwFBVV95cUxQeDRDLUVwSGZuVjR6SGpfdGxjSG1oV3F0TXFKejdCdDUzN2RxdDVtUHlkbDI2dEFZNUc4UUl0RFRvRHQ0WTFrdWYza24zeHhyOEZpQ0ZDLTV4dF94Tm9wZHY5bUQySFl4c0dhbm13WGZicWVvYTFxcHVpV1JHUlBPSG40bG9EY05waHln?oc=5" TargetMode="External"/><Relationship Id="rId449" Type="http://schemas.openxmlformats.org/officeDocument/2006/relationships/hyperlink" Target="https://news.google.com/rss/articles/CBMirAFBVV95cUxPTVRZRG42M2pUejE4MnNPQW9Kc1lTWmsxNkJHNVJJNlZQeWZJUXBTbERUREk0WGFaUWJEUXdUWVJ6Q3RoT2ZLbHpma2IzWXc5UTNpeG5WaTJWbnF5VXpURkhNc2lyUE9uNlM2cERIMTliengwcmM2VEEyVnNlYW94V015SG9hY2FFclFjX0htUFdEeHJCZUlEc2ZmbUlpVV" TargetMode="External"/><Relationship Id="rId450" Type="http://schemas.openxmlformats.org/officeDocument/2006/relationships/hyperlink" Target="https://news.google.com/rss/articles/CBMijwFBVV95cUxQY1NfU2k3QmpsaTJJendiLXpGWFNpWEJBVkJfMnZ5aV9ROEhOLUJ0NEJoblVIbnZnOVpNazZkQlRvMTZJRExJZHU1M2w3QmEyY0c1WnRFUjliUW9iM2M0V0c5TV9ZNnNQVi1TcUFfd1Y0ZzF1RExYV2g1ak1tZGNPTVlBekdteG5mSll0dGppNNIBlAFBVV95cUxPS2dRT1" TargetMode="External"/><Relationship Id="rId451" Type="http://schemas.openxmlformats.org/officeDocument/2006/relationships/hyperlink" Target="https://news.google.com/rss/articles/CBMivAFBVV95cUxNVi1KMVVBN0h3bWNsS2RSVy1zaGtVMWNRV29NRWNxZ3BkMmwwaXUzdmdjTHZFVGs0dHBTeTBmYTFCN3BoVDZGaS00Tno2Zjk0ZFVsZndlX2xBMU1UNkRJOWZQVU9ESTF4dnE1OWJLVFJ4eW9sQTFOUko4VmU5LUotb3RXYVBoaVhGQ05vVEJpam9SY2FwSldBSnU0U042UT" TargetMode="External"/><Relationship Id="rId452" Type="http://schemas.openxmlformats.org/officeDocument/2006/relationships/hyperlink" Target="https://news.google.com/rss/articles/CBMisAFBVV95cUxNTGhVaHM1VlNJcTFEOGh4WHg1MU91c3NZam9rWUU5UHd0Rk1ZR2dWQ1Y0VmxEX2VaWkNPQTl2RW42UzB1blZmMk1lb3VCRXhwdDJKbmlCQW1ZV3E2RGdldlRFRWdUYWFfUV9PMWEtdndubkxPc1lTTjNxN0RUOURwMG5VcmVYOFBadnJobm1oaEJ5X1lQbDQxZ1E4WlZzOG" TargetMode="External"/><Relationship Id="rId453" Type="http://schemas.openxmlformats.org/officeDocument/2006/relationships/hyperlink" Target="https://news.google.com/rss/articles/CBMingFBVV95cUxQSlN2VkVfS3hUVU5EQmh6N2JCa0cwS1FJYUxoWmFqM0JTeWNTLU9VbEtOa083eTd3b3FVOWdaNFUtRFBkVkhWZGo1V2VfR3JhYzlILVNQZHRPNXppT0NaMGJUV0I3TVViMUNkRDdVakdnU0ZMcUtCUzM1Ums0WFhCZzhDSEUzU0ZsOXF1UndvTWcxNmQxVFJBYjJWRWFTQQ" TargetMode="External"/><Relationship Id="rId454" Type="http://schemas.openxmlformats.org/officeDocument/2006/relationships/hyperlink" Target="https://news.google.com/rss/articles/CBMiogFBVV95cUxPamcyWWVnQ09CSXJmMWQ0ZjJxXzZNd01fT3pET20yLXpPS09LZWRqMmdEWUdFWklhZHlXYm1JNFFpUUVvME4tWmQyUHVZZXlqYkZuQWJic1BQSWktLUpTX1RtVkVLUy1qV2o3Zmk5Z3ZsekhXTUFWdi14WWU0OUs3dDdVcGc5WnNwMU5WWVozMGJFUFRNdUNxMlFZWHFWWV" TargetMode="External"/><Relationship Id="rId455" Type="http://schemas.openxmlformats.org/officeDocument/2006/relationships/hyperlink" Target="https://news.google.com/rss/articles/CBMikAFBVV95cUxPY0NlM1pNMDZnZlR2bjliMmdxX0hwRng0OEV5elcxR3VyX3h1d213T3NoeWdkdjVLMG9UTmJRR0dCeUdmcjVSZmpRLUtqSTM2Qk5TbTYzU1RPRnNyTTVYRl9vMHhvUXgzU092QUcxR19RcjdnRUtZa1N2YXNPMW44R0Q5dFJad3gxRzZDQ1h1eDA?oc=5" TargetMode="External"/><Relationship Id="rId456" Type="http://schemas.openxmlformats.org/officeDocument/2006/relationships/hyperlink" Target="https://news.google.com/rss/articles/CBMixAFBVV95cUxQOE1qbW5pVHNMU1BEaC0zbHNoTDNDYURveHphN3N1YW9KbDR5bzZOZy1yTGJtaTJOTVc1OXlmMXRKLWc4bUh0UzJ0Sm44cm5OcWNFWlI2VlNUNFc2MjAwVm5rMVpNOWZuVEJZdU9FWWV6MHhucUNINTJOcFc4amtqbmRHcE1FRkNOUXNoNmRRMjFGV2xyaXM1QkRiRjFKd1" TargetMode="External"/><Relationship Id="rId457" Type="http://schemas.openxmlformats.org/officeDocument/2006/relationships/hyperlink" Target="https://news.google.com/rss/articles/CBMihgFBVV95cUxNWmhWU09jeGNRc3BmZTVyMDhub1FzVDlONkVIb2FfN1B2ZXQyZVNoTWtsR2Vzd3U3c2gxSlNFT25lWWdIbGJEVFZvcEZjM18zemFDRlV6NmFWTk94SkVfcmw4SjRRYWZ6TVcwLXViM3pZQ1VFZ21KNG14czdXTHBCX2tvaDY3UQ?oc=5" TargetMode="External"/><Relationship Id="rId458" Type="http://schemas.openxmlformats.org/officeDocument/2006/relationships/hyperlink" Target="https://news.google.com/rss/articles/CBMiogFBVV95cUxPR011SnBsQVFuS3E5NmdESGd1ZEs2SFJDdDBHRUdPY0Rxdm9iNXhSTXRnUWZPZXpjZjVYaWRLbnJMcjcyN2ZpNzZQQTZqZl9IZXp5Yl9GS0FoTDNZbjdneXNEVmN3VnRKYXNNMHcwR3NyMmpSWXhtcjVVWDVQSmpTb1lIVUNQb2lERG9jOHpWcnBrQ3g1V3MzSDFyNWRMQ2" TargetMode="External"/><Relationship Id="rId459" Type="http://schemas.openxmlformats.org/officeDocument/2006/relationships/hyperlink" Target="https://news.google.com/rss/articles/CBMi0gFBVV95cUxNTUIxVF9TUl81LXpaVHhkbER0Q0FmUlR4UjVBd3NJbTZINTZiUHdFOUhmd082RDV2TW5ESS05a0FFd2pjbks4c05EQzNQaUlwZVRRUTNvWVJPb0JEV0lKaHprQ04zSFB1LXdGOVRFUTI2RWs2N3ZpcnZyczQ0UWdGcEtnSGRXZFlhZ2YtQXhvUktvU28yYnRQOTVnZFhZa1" TargetMode="External"/><Relationship Id="rId460" Type="http://schemas.openxmlformats.org/officeDocument/2006/relationships/hyperlink" Target="https://news.google.com/rss/articles/CBMiygFBVV95cUxPWGtZUGNaMnFFY0V1M0NCdFQyVXlfS2ZXQW5XbFoyVnF4YU5ia1pRQWhGcFdfOU5SWVpqNmRoWWJpN1FESENHb1JPb0QyMDFubWdmSC1GX3NWT2llcGZZMmhmV2xIcjVwZm5HSFdUTTk4TVBWcGhkSGdpd0FaR2xNSW1ISGRiWk5pVFpDdU5NTXQ2MDNuVXhRc0w1SmxESH" TargetMode="External"/><Relationship Id="rId461" Type="http://schemas.openxmlformats.org/officeDocument/2006/relationships/hyperlink" Target="https://news.google.com/rss/articles/CBMizgFBVV95cUxNa09NOTZ1U0swNnUtb0dCRU00b1ZaVTlmQmtRVEdtYXY3aDJjWEZrV3JGTTBMcS1VeXJQdkE4NjFGV3ZrM1h6WWo4dGh5ZmNRYlNEZjMwZDNjVXZBT2pka2VMNmZyRXQxTGNrQWUtNU03U3JJeGlLM2lrTHUxbE1KZmQ4TUN6Tk9xdFBvMmR5VVVldC1MaHlsT1B2aE05d0" TargetMode="External"/><Relationship Id="rId462" Type="http://schemas.openxmlformats.org/officeDocument/2006/relationships/hyperlink" Target="https://news.google.com/rss/articles/CBMikgFBVV95cUxPMjg3SkRTTER5SEN4alZ6UWdGYzJaTm9nSzh6ODFhMzhFYXZuVzFQXzZYUWs4STFrdUF1TmhQXzNFdUk5M19GTWdQcFBaZElmZEVqcXE4TlNIMXZRRlUwbUxjN0NCSWM4ajBDVHFDcVI1ZGsyczJ2WlU1ZjAtRENMaGhIVlFOTXRGOWViOU0tMGpQZw?oc=5" TargetMode="External"/><Relationship Id="rId463" Type="http://schemas.openxmlformats.org/officeDocument/2006/relationships/hyperlink" Target="https://news.google.com/rss/articles/CBMiowFBVV95cUxQM2FiTTZpaUoxZTBOLWpzTWk5MkNBbGs1ZzdlYzl3Y3Z0R1dTSDIwRDdGMDlxcEd4bUFuaTNJdk9SXzFvd3h4UFhnZnE0N3hMTDl2Y240TEVPNmNFZEFpaXdLWXl2a01LeWJOSEdVOHpGOGNISzdOUk9saW1xTm0tdVQza0VPLVgySGVjVUFWYUVmSXYxRnNjbkZ0aU9rWG" TargetMode="External"/><Relationship Id="rId464" Type="http://schemas.openxmlformats.org/officeDocument/2006/relationships/hyperlink" Target="https://news.google.com/rss/articles/CBMizAFBVV95cUxOd2szNzhJeTluc09NeE1PejFCU2l2VkRSM2toWGxIQ21sTXMzT2stQ1dHRnI4bUZwS0xuRmtvQWlIaVg3LUVndGlHMHp4LWt0MFA5MnpXQWhENnVKcldzRDM3Nm1XVHB5elpCN21JQ3NTc3J3X3ZtMS1YeTNqdFdab1pMWlFlU3l1T1VEQU5RRXFfY3R2X3pyLXFfMXNzNE" TargetMode="External"/><Relationship Id="rId465" Type="http://schemas.openxmlformats.org/officeDocument/2006/relationships/hyperlink" Target="https://news.google.com/rss/articles/CBMingFBVV95cUxQNUN2WGpicTdaWFd5VG4xNUpnbHFHbjFrYUp1dHVNemJmSEJNTFRRbWdnQmNDeHVldndURDBpMXM2VjhkVWotd1N3bUYtd0pxazVBXzdxMTI2b3dwU3JaZHBNaWdONjU1aHliNTVMSC0wU1VVOXpnSndwckNQR21XYUZIWFRuaTNrcGNTMTl1eFZKQkdHcDZoTU9jWEhxZw" TargetMode="External"/><Relationship Id="rId466" Type="http://schemas.openxmlformats.org/officeDocument/2006/relationships/hyperlink" Target="https://news.google.com/rss/articles/CBMilAFBVV95cUxNZkt1a2lkU21oaEdpYTNsQThBSHBiSzhzeWlFZEtla1J4bjNOTmc5b2tlRHlmcnJ5aklVOXBCaW9WRlJBZ1JhbFZETDZrcV90VXZETFowZmM0cEdEVXRnRjBBa2RkcXd3M2ltVTZ1Ui02RzJKOVNjd0JjV2s4UnZpbDNiVWMteC1VRG9JemVXWDBDUjAy?oc=5" TargetMode="External"/><Relationship Id="rId467" Type="http://schemas.openxmlformats.org/officeDocument/2006/relationships/hyperlink" Target="https://news.google.com/rss/articles/CBMicEFVX3lxTFBLQzFQdmFCYjd3eTZEVHVKOEhlVWh0QWdpLVBBTWZJS1VXNVd5dmI1ZHFSOTBVVm1BNFFFaUN0RkVTa1VlVFhpZnFrTjcxZmEya3F0TTI3VW55eVQtLU1CSWpGMktaaU5iUnh6ZjFVNXjSAXZBVV95cUxQMktwcElmNGk2aWE5ODctZXdKcDlRU3hJMUlnSC02Mmo2T3BRZW" TargetMode="External"/><Relationship Id="rId468" Type="http://schemas.openxmlformats.org/officeDocument/2006/relationships/hyperlink" Target="https://news.google.com/rss/articles/CBMiqgFBVV95cUxPNGNqd0hzQ1JEbGJLUENoWU9RY0JwZ2YxOVFuRlNkc2d0eWdJVjZYMXlpTFVWR1YyYWxESmtPVmZvZXp0LVpPTjlEUHk4bGxPelJhcjZBcnpqbEIwZnVfcWlsNnJuSHB6ME9EbEMtNG1MeGx4T3pIMklRc0ZXRkdOX1lJY0J3ZkxFN0FpLWpfdnUxMjRFdlZGWkVpQlNIdm" TargetMode="External"/><Relationship Id="rId469" Type="http://schemas.openxmlformats.org/officeDocument/2006/relationships/hyperlink" Target="https://news.google.com/rss/articles/CBMimgFBVV95cUxOYTFuY20xZTZPc1FqellQanJ5Vk5oNHpmLW54OC1OSHkyRHpacjlzR3BfUTJTSFNrM1VvcUZZUUw1Vy1XNXZKZDU0ZWl3UTNoVllRZGU2OXN4ZnpFd2M5RmtJaEROeEs0dDQ3RHpzRnFkNDVyUWNlM0FRNF9ZbVlIVHhsQ3NsVkJrM0dGLTcwUnB6X3R3UnZyQVlR?oc=5" TargetMode="External"/><Relationship Id="rId470" Type="http://schemas.openxmlformats.org/officeDocument/2006/relationships/hyperlink" Target="https://news.google.com/rss/articles/CBMihwFBVV95cUxPam05QklMaGtobHJ0RDBHaHMwM0VLWFVoZjN0U0dUUDlJa1hCelFUYUZtNVBDSjRwY3NIX1dYdDZ2NHZudDZ2cmVENE9SNVdIZDJ5UEMtR3lJbVVqV00yRUN3cTZUUmozZFhEeGRKOVU2MzhoREg5a0lsWTdyVlU4NEo2MnFjQkU?oc=5" TargetMode="External"/><Relationship Id="rId471" Type="http://schemas.openxmlformats.org/officeDocument/2006/relationships/hyperlink" Target="https://news.google.com/rss/articles/CBMicEFVX3lxTE5zdmYtQWFhUmFkSE9EU2xPVXB6aWt4Ykc4aTl0OXoyMmpMZnV0OVU0VEJxczdZN2J2SzFQY1pHaXJSMUNFaW5ISVJ6aVMyZ3pxaDFoTHdGOUFYanl5ZnA0eVhUOFV1NU8wQVlfWkFmc1I?oc=5" TargetMode="External"/><Relationship Id="rId472" Type="http://schemas.openxmlformats.org/officeDocument/2006/relationships/hyperlink" Target="https://news.google.com/rss/articles/CBMixAFBVV95cUxNMkJQWWpSbG9MUFJhb3lMbDFmSkV6cDVnaFFqdkR2dFRHUExweHFmMVZJU2dPSnhJTjltTVpwTlcxVDdJMGpyT0oyWmFQQXVZdVRnX2FSRmdOUGp2ejNEMGdUVnVWOC1JVWN1ekF2bW1TbEt6N3dSaFc4X1BOY2RvSXZjZXg2aW9jMC1od1lET1k2RnVoRGE5TDBYb0UtNz" TargetMode="External"/><Relationship Id="rId473" Type="http://schemas.openxmlformats.org/officeDocument/2006/relationships/hyperlink" Target="https://news.google.com/rss/articles/CBMiggJBVV95cUxNSldJZ1IxU1dKRHQyTmRvMTJzcEQ0SGUtSWYxN0Q1aTEyM0pNYXRTZ1o5T2xlTmd5WkNmZVRsREdQRUZQaW9MU3FkNzRXOVdhdW1FRDVmNUFzSldUdlZ0bm1aQ0xCRFRMSDBYODl5VHh1ampKSm9uOXpIVS1MMzNKem1aSFRsRndDRmR3VHRYR3ZqUDNTQXpwaEg4TUsycD" TargetMode="External"/><Relationship Id="rId474" Type="http://schemas.openxmlformats.org/officeDocument/2006/relationships/hyperlink" Target="https://www.cnbc.com/2026/10/14/bank-of-america-bac-q3-2026-earnings.html" TargetMode="External"/><Relationship Id="rId475" Type="http://schemas.openxmlformats.org/officeDocument/2006/relationships/hyperlink" Target="https://news.google.com/rss/articles/CBMigwJBVV95cUxOeUhDMEVrOWZ4YlZjSXhxWEtBc1dTSU9tNV92NmR2U0Y1WXRCVmVDQmFhY3F5QmM1NC1sdlRUY0NZc1BJQndsVTBVcno0R09GTzNkVThIZEJUb3BHRmZmODQwVjdCSWpyMW8wSVBnbEtkblRsMU44OTVTT09VY20xUkJpOWY5VXNDRmp4WHFqMXRIbG9DTmI5eEgwa3cyNE" TargetMode="External"/><Relationship Id="rId476" Type="http://schemas.openxmlformats.org/officeDocument/2006/relationships/hyperlink" Target="https://news.google.com/rss/articles/CBMikgFBVV95cUxPREhZbVRMN1kzcEZnWmp1cTFuZ0ZIU0o0NXhSREpiRmFRZlRfX2dtUFV0bXdGTjdyRHFibHQ0bWg1YXYyQTNzSE1YWURrRzllS2Y1VXVzNnQzdEtDRTB6UjFmaks0c0J6WDNJTlBaTG1hRUpESFl4VzJiV2dTbHRUcm1Kd3AxODhJOENkWFFYZ21GZw?oc=5" TargetMode="External"/><Relationship Id="rId477" Type="http://schemas.openxmlformats.org/officeDocument/2006/relationships/hyperlink" Target="https://news.google.com/rss/articles/CBMiywFBVV95cUxPVl9TTzhhQ3YyZXhfdWVNTTczZTVxbHV6V2c4cjBlQ1JfYW9oM0hJN0xrM2QxTElac0RBaDV4VEQxbFc4RERfclZwQm1xck1qdWtrNkplYWw4cU92N1V2d19zOFNsbm9DOWh1UzZEdUk5aC0yeURzTDVIVWhuem0zTVV6Y0l6V1RTRHhfeHg4YUVqR3AyLUNQUGJYQWFERW" TargetMode="External"/><Relationship Id="rId478" Type="http://schemas.openxmlformats.org/officeDocument/2006/relationships/hyperlink" Target="https://news.google.com/rss/articles/CBMixAFBVV95cUxNWVlyMkJRTHp0emJNZTBFQnhlMDZMTTJJQTRJaGJVdjdma0NJQWNrdWhEUUVUYzllR3BobEoxNFpaTDJ0dG41Z01xMHBlbU4yVzhUUUlfMUpjNzVZWmtSTHZtYThMZ3YwRnNfSnpKX21NZmR2NEVYSi14em1iVlk5emxkemFKbHJWT1kzV1BJajdmLW5tRW5Ta0Q1bkRjT3" TargetMode="External"/><Relationship Id="rId479" Type="http://schemas.openxmlformats.org/officeDocument/2006/relationships/hyperlink" Target="https://news.google.com/rss/articles/CBMiekFVX3lxTE8xTmkyXzZPOEozcHZUU2RWNExuTHdFbGdzVHhrUDk0a2dMUTQtUUVFZGRHUVB0SGEzSzBlVkZ0eWRIbmpYSG5KLVRrbzV3S3ROdi1wYUE4LUozMXRZcHluTURNODlhN0dZdnNZSGVIM2JuOEFzODlOUXR3?oc=5" TargetMode="External"/><Relationship Id="rId480" Type="http://schemas.openxmlformats.org/officeDocument/2006/relationships/hyperlink" Target="https://news.google.com/rss/articles/CBMifEFVX3lxTE56dGZCX3hyZGRPQjhEbFVHLTBReEJJdnpieGNmNkY2WVFBbVFLb0lFLURSR3J0aUlzQlpYcDd6YjZYeHhZN2JJcTdjVzU1cTRYZUxzUmphU1JKOFZES3BIWUJFWS05Q3F2MEN4aEpEMGlPWGdZU1hhaVlkMVI?oc=5" TargetMode="External"/><Relationship Id="rId481" Type="http://schemas.openxmlformats.org/officeDocument/2006/relationships/hyperlink" Target="https://news.google.com/rss/articles/CBMiowFBVV95cUxOODZadUoyLTNHMkI0NWZGbFQwWUFnYjRhZU9xNVZSV1BDcWliYV96Tkx1N0lFcmFsRk9YbE0wMURNM2YwVnpVX0hyWE1GYXJIOXE1TFg5dVpaYVc4djR0ZDNvSUZXeFpyNlk1M2d3QVZpVnFIMUU5RWxNZlAzcEU1N1lLMHNWNnpxbTlVX1FKUzVhbVE1Q01nd05hNU9XYT" TargetMode="External"/><Relationship Id="rId482" Type="http://schemas.openxmlformats.org/officeDocument/2006/relationships/hyperlink" Target="https://news.google.com/rss/articles/CBMivwFBVV95cUxQU0dqX3RreFMxNXBYSDdfVkphWVRHMUJUa2RkQV9vX1J3OTJ0N1VEdTR3anFnckVHVWliem9OVklRSk5pOHJ2MkhFMnRZdGMwRUJjU0V6cm5JVGV1N1dWZDBhcDFyV2hOcVdQWURMdEtEVENvMGF3VE5qd0xXRUx0ZzM5S3BsdGhSajFmVVVqTHR1OXNwaDE4ZF8zRHBrYT" TargetMode="External"/><Relationship Id="rId483" Type="http://schemas.openxmlformats.org/officeDocument/2006/relationships/hyperlink" Target="https://news.google.com/rss/articles/CBMirgFBVV95cUxQMnlmRVNqUm9ZWVM2TzI2R0RqdEVLS2pZNGVXMkhsdjlmRkNDUjZMQlZKOFpVWTM5MFQxeHZtWnczaWZPdDhWZXlnUzhvWlZnb1lqWjVBNlBXV0NtNVdob0hiLUoxbWtDRm55VjA1UGwtMFB0elVzTG9lZUVxd1JLZllpRE51bTc4NlNJLVpVaU1sZXdZeUxVVWJYM3NIYl" TargetMode="External"/><Relationship Id="rId484" Type="http://schemas.openxmlformats.org/officeDocument/2006/relationships/hyperlink" Target="https://news.google.com/rss/articles/CBMiiwFBVV95cUxONEJraW9YeF82M1NYUWFQZEU2Q2hDWXE3SHdTWWRmZEMzeFNrZGZNQWlVUXlkcEJCNVBNMWlzaV84S3VWR1NLZlA0eHVCVnRWWDB3aXZVTDkweXdRS2Z1SFkydWhvQ1QwbFVsaWR6UWd5cU1BQjdicENtVDdyNjFKWk1tbWdsY0VlM244?oc=5" TargetMode="External"/><Relationship Id="rId485" Type="http://schemas.openxmlformats.org/officeDocument/2006/relationships/hyperlink" Target="https://news.google.com/rss/articles/CBMiqwFBVV95cUxOWm0xcjZjMXhLT0VCVTJqclNXUXNfcUp4S2pNTWVxOFlsWE1id0ttS3lvdW9RWGZSYWZyZDloUzVlRjVUdFdzQlpScmcxeWgzX1RGcUVwbzlJdW1qYlRvWk1ZVDlxcXlqbHpTcXc5ZTZrTk5nLXlKd3FCOVA2YlR0NjVVYkJjR1JScko2ODZUOUxzVjZXckxBcEQ3RmZrbD" TargetMode="External"/><Relationship Id="rId486" Type="http://schemas.openxmlformats.org/officeDocument/2006/relationships/hyperlink" Target="https://news.google.com/rss/articles/CBMiuAJBVV95cUxNZHNLQ041NE5kX2lzbGVoLWhEVnNQY0doa0IzUUZ1UzlFbDVIV0d6MXhrWFUydEZiaFZsWEdZcTA2Y1NQcHBOU185SlI1SkQwZTJxTmotZld0WXNBNXlSZ1dYMGlrbTEyQjRIRXRiMjdzTkRYUEcybUoxQ2hVZTREQkc3ekFNQmxUaGlIbVdJYS1LMExTeEYwY3lXWjNNNj" TargetMode="External"/><Relationship Id="rId487" Type="http://schemas.openxmlformats.org/officeDocument/2006/relationships/hyperlink" Target="https://news.google.com/rss/articles/CBMimgJBVV95cUxNN2NrR0NpT2hTbHdLcmFUcmVUSEFENVJYNVRXNGRSLXZWWjBuVzNvb3Fpbk5pTWhianJybUt5N2YwNFZxdnpJZ1IxRUhVeFZyYjcwZDFQWnlQY2VDMjFpT3dyNERXd2RuSVBlM2RYR1N0WXBNamFhalNnNjdJN2duUnozVTFoSXdXZHd4ZUhrOUVudU15Um85YzVWc3M0Wm" TargetMode="External"/><Relationship Id="rId488" Type="http://schemas.openxmlformats.org/officeDocument/2006/relationships/hyperlink" Target="https://news.google.com/rss/articles/CBMihAFBVV95cUxNcDV1WlowNFBBTE1lRE1QeUNPVUpHWXFzdlNXTWRxWmVSdTNGNUNPaHR6QmtZTmQ3OFpRS1N1OHlWR1FmRUVmUmVnYW1kNFk5RlUtSUhiUGFMRGVCZ0tVVEVpMjhPMzZIdkw4NkxVSFBiQnM4MDBTUGdUQ3prQURsWmZGWlI?oc=5" TargetMode="External"/><Relationship Id="rId489" Type="http://schemas.openxmlformats.org/officeDocument/2006/relationships/hyperlink" Target="https://news.google.com/rss/articles/CBMizgFBVV95cUxQNXV1TE5OYjFiOFJnN1V1VHliNVo3cV94Vk9Ma1RtcDBjX2pKbk9ubmFhblFBSWJTOXN5T3hIeDEyQU1EZGt2Q25hUklqMXNSbFdVNVBFVll6NHNyQThGY0VRS2djWHpHSFJZT0N1MmNaOVRSZE9jWWNZSGk3Ym1NVFUtVmVmUmFTTFBRekRRUURjTXFndHIzWW9BanNrSl" TargetMode="External"/><Relationship Id="rId490" Type="http://schemas.openxmlformats.org/officeDocument/2006/relationships/hyperlink" Target="https://news.google.com/rss/articles/CBMilwFBVV95cUxNQWxWNTQwZHc0TWcwQU5tb25uRkJYU3cwNE9FTjlnNVgtWXA4em4zRWp0c3VjZEdySktRcWdTMFRvTVZjNGVhSGlDTlRweDVLS3BUUTZuem9TaWJHd2ZjNE9yVW5TMWppbmJXWW9GYTc2Rjh1bGpNTFpyS2VyQmZqb2NwN001Y0tJeDdHS3R3cF9qS0N4VUYw?oc=5" TargetMode="External"/><Relationship Id="rId491" Type="http://schemas.openxmlformats.org/officeDocument/2006/relationships/hyperlink" Target="https://news.google.com/rss/articles/CBMiygFBVV95cUxPbHFLTUFLdWJqcER3TVVpLTVGSDlpak5pZnplS2RXZktDNHBraU1YQVVDV1BNSVJXZ0V1V3hrWG0wUjBsZWtNOUI4WHg2WUl0OHpPUHlsblN2SXpCUENDYUhqWF81d19Uai0wZ3pEb3RkRXktMW5LZ3hoQm94Q19wclJBcWJIWFFOWVI1bUJLLTF0bGlzS01ySmdkei1naH" TargetMode="External"/><Relationship Id="rId492" Type="http://schemas.openxmlformats.org/officeDocument/2006/relationships/hyperlink" Target="https://news.google.com/rss/articles/CBMinAFBVV95cUxNNnZfUEFWdlA2SVM3ZEMydVFVakZPV01WSjllM29BOWF5bElOS3B3Mzd0aVZyWTlNcDhTdVFYbUlUYUxtb2J3T1Btd1gzTlpyam5FVXBuc1ZRZ3VQR3plc19GWEhtOW8xdlo0blZTZGp4WWpGQkFEUU00NVdRWHUzbkNWeGxtZUcwSDM5bVIwMjdjVW52Vk41d3JrWDM?oc" TargetMode="External"/><Relationship Id="rId493" Type="http://schemas.openxmlformats.org/officeDocument/2006/relationships/hyperlink" Target="https://news.google.com/rss/articles/CBMic0FVX3lxTE9fZ2FNOHdCUkdEQWFBRVlUZ1pwZk5WWXlUNUZKUnM3RXFzQ3NGdVBicmhXeE03cHVXMU9nSEtqQzVtdEExeFFBRU9IYVBtOXRYQmtwQTVObklqU1ROWDk3aGdjZWtxbEtmTTNaRU9nc1ZhSFU?oc=5" TargetMode="External"/><Relationship Id="rId494" Type="http://schemas.openxmlformats.org/officeDocument/2006/relationships/hyperlink" Target="https://news.google.com/rss/articles/CBMicEFVX3lxTFBrY0IzZzFsR1lMU3J5QjFFbzg2bWh3NThkVE9PZlMwVjQyTmRDMlZUT0tSZ3FCblFqd3FFdkpkYkE3U2hUa3dBY0ZLM1dEUldJRVJyRjVheHREakNGVzZBYkZISUwtNTFKTm1lX1NsSDA?oc=5" TargetMode="External"/><Relationship Id="rId495" Type="http://schemas.openxmlformats.org/officeDocument/2006/relationships/hyperlink" Target="https://news.google.com/rss/articles/CBMidEFVX3lxTE04VzltclJTMWw3SDFfTzVfVmRrWGk4elQzLXN5NU40eVVfRlJMNTNQYWZtOFJuYWJCUEhOeW9CckwtYV9fTm5iVGQyc21wREhPVFY2QXB4eEZmLVZIcXRDcWozbEVNV2RkWDRVZ1RnYTRhcmNq?oc=5" TargetMode="External"/><Relationship Id="rId496" Type="http://schemas.openxmlformats.org/officeDocument/2006/relationships/hyperlink" Target="https://news.google.com/rss/articles/CBMilgFBVV95cUxNRURzbk5oMmdBZXk3Q1RFQW8wbkN2bmJMLVRQaUE1alZfQUQzV2hCYXo4cTlMMmtvZHJzbm5QbHp2QmpGeXNXNmpKeFVUVTI5WHRCbnBTM3ljSnRxN2hmdlBmNDF6NDJxT1FUVk1ydmVveVFyQUlCN28yN2dEa0ppRkNmYkpjT3BRX3VGcjVKVWVMaE5ua1HSAZsBQVVfeX" TargetMode="External"/><Relationship Id="rId497" Type="http://schemas.openxmlformats.org/officeDocument/2006/relationships/hyperlink" Target="https://news.google.com/rss/articles/CBMixAFBVV95cUxQeXl0MGNsZmhfSzBNaTRVNlJnSFR6NUU1dlF0M2xUQUdPQkNKUEZHaVc3NEFOZ082UnFoTkdHWWtmUmFFZGZwTUxfWDJHU183X0Nlb1AxMTB4WHphRi1xdTc1N0VjcUxDS3JzYzVFNHhUUFlCMml5MzhtZTdsdDgwQWYyU25qQjJpNG1jWTE3VVB3MkExTDI1MDNlX0VOMD" TargetMode="External"/><Relationship Id="rId498" Type="http://schemas.openxmlformats.org/officeDocument/2006/relationships/hyperlink" Target="https://news.google.com/rss/articles/CBMipwFBVV95cUxQSkRXTnBka1hlLS1QZUh0UHpoQTVMOVJQX2ZiN2hmQ1B0TWpBMU05NzY3RVVaX0t6V1c1SVRzUS14aHBibFZJcEZuaVl5dWNGaE5rMGVpTzN0SWNHd29uYXBYQVV0M1dnR3FvN0VlZERRM0JLa2E4SXcyanc3WnVObWhPY1hkaThUb0R1NlJ3V0kyM3lSYUVXRTNMQkV3YS" TargetMode="External"/><Relationship Id="rId499" Type="http://schemas.openxmlformats.org/officeDocument/2006/relationships/hyperlink" Target="https://news.google.com/rss/articles/CBMipwFBVV95cUxQSkRXTnBka1hlLS1QZUh0UHpoQTVMOVJQX2ZiN2hmQ1B0TWpBMU05NzY3RVVaX0t6V1c1SVRzUS14aHBibFZJcEZuaVl5dWNGaE5rMGVpTzN0SWNHd29uYXBYQVV0M1dnR3FvN0VlZERRM0JLa2E4SXcyanc3WnVObWhPY1hkaThUb0R1NlJ3V0kyM3lSYUVXRTNMQkV3YS" TargetMode="External"/><Relationship Id="rId500" Type="http://schemas.openxmlformats.org/officeDocument/2006/relationships/hyperlink" Target="https://tw.tradingview.com/symbols/NASDAQ-MSFT/news/" TargetMode="External"/><Relationship Id="rId50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 collapsed="false" customWidth="true" hidden="false" outlineLevel="0" max="2" min="2" style="0" width="10"/>
  </cols>
  <sheetData>
    <row r="1" customFormat="false" ht="19.4"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29.85" hidden="false" customHeight="false" outlineLevel="0" collapsed="false">
      <c r="A5" s="4" t="s">
        <v>3</v>
      </c>
    </row>
    <row r="6" customFormat="false" ht="15" hidden="false" customHeight="false" outlineLevel="0" collapsed="false">
      <c r="A6" s="4" t="s">
        <v>4</v>
      </c>
    </row>
    <row r="7" customFormat="false" ht="29.85" hidden="false" customHeight="false" outlineLevel="0" collapsed="false">
      <c r="A7" s="4" t="s">
        <v>5</v>
      </c>
    </row>
    <row r="8" customFormat="false" ht="15" hidden="false" customHeight="false" outlineLevel="0" collapsed="false">
      <c r="A8" s="4" t="s">
        <v>6</v>
      </c>
    </row>
    <row r="9" customFormat="false" ht="15" hidden="false" customHeight="false" outlineLevel="0" collapsed="false">
      <c r="A9" s="4" t="s">
        <v>7</v>
      </c>
    </row>
    <row r="10" customFormat="false" ht="15" hidden="false" customHeight="false" outlineLevel="0" collapsed="false">
      <c r="A10" s="4" t="s">
        <v>8</v>
      </c>
    </row>
    <row r="11" customFormat="false" ht="15" hidden="false" customHeight="false" outlineLevel="0" collapsed="false">
      <c r="A11" s="4" t="s">
        <v>9</v>
      </c>
    </row>
    <row r="12" customFormat="false" ht="15" hidden="false" customHeight="false" outlineLevel="0" collapsed="false">
      <c r="A12" s="4" t="s">
        <v>10</v>
      </c>
    </row>
    <row r="13" customFormat="false" ht="15" hidden="false" customHeight="false" outlineLevel="0" collapsed="false">
      <c r="A13" s="2"/>
    </row>
    <row r="14" customFormat="false" ht="15" hidden="false" customHeight="false" outlineLevel="0" collapsed="false">
      <c r="A14" s="3" t="s">
        <v>11</v>
      </c>
    </row>
    <row r="15" customFormat="false" ht="15" hidden="false" customHeight="false" outlineLevel="0" collapsed="false">
      <c r="A15" s="5" t="s">
        <v>12</v>
      </c>
      <c r="B15" s="5" t="n">
        <f aca="false">COUNTIF(覆核!$M$2:$M$501,"維持")</f>
        <v>230</v>
      </c>
    </row>
    <row r="16" customFormat="false" ht="15" hidden="false" customHeight="false" outlineLevel="0" collapsed="false">
      <c r="A16" s="5" t="s">
        <v>13</v>
      </c>
      <c r="B16" s="5" t="n">
        <f aca="false">COUNTIF(覆核!$M$2:$M$501,"修改")</f>
        <v>57</v>
      </c>
    </row>
    <row r="17" customFormat="false" ht="15" hidden="false" customHeight="false" outlineLevel="0" collapsed="false">
      <c r="A17" s="5" t="s">
        <v>14</v>
      </c>
      <c r="B17" s="5" t="n">
        <f aca="false">COUNTIF(覆核!$M$2:$M$501,"排除")</f>
        <v>213</v>
      </c>
    </row>
    <row r="18" customFormat="false" ht="15" hidden="false" customHeight="false" outlineLevel="0" collapsed="false">
      <c r="A18" s="5" t="s">
        <v>15</v>
      </c>
      <c r="B18" s="5" t="n">
        <f aca="false">COUNTBLANK(覆核!$R$2:$R$501)</f>
        <v>0</v>
      </c>
    </row>
    <row r="20" customFormat="false" ht="15" hidden="false" customHeight="false" outlineLevel="0" collapsed="false">
      <c r="A20" s="5"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8"/>
    <col collapsed="false" customWidth="true" hidden="false" outlineLevel="0" max="4" min="4" style="0" width="18"/>
    <col collapsed="false" customWidth="true" hidden="false" outlineLevel="0" max="5" min="5" style="0" width="42"/>
    <col collapsed="false" customWidth="true" hidden="false" outlineLevel="0" max="6" min="6" style="0" width="34"/>
    <col collapsed="false" customWidth="true" hidden="false" outlineLevel="0" max="7" min="7" style="0" width="16"/>
    <col collapsed="false" customWidth="true" hidden="false" outlineLevel="0" max="8" min="8" style="0" width="8"/>
    <col collapsed="false" customWidth="true" hidden="false" outlineLevel="0" max="9" min="9" style="0" width="22"/>
    <col collapsed="false" customWidth="true" hidden="false" outlineLevel="0" max="10" min="10" style="0" width="14"/>
    <col collapsed="false" customWidth="true" hidden="false" outlineLevel="0" max="11" min="11" style="0" width="8"/>
    <col collapsed="false" customWidth="true" hidden="false" outlineLevel="0" max="12" min="12" style="0" width="10"/>
    <col collapsed="false" customWidth="true" hidden="false" outlineLevel="0" max="13" min="13" style="0" width="8"/>
    <col collapsed="false" customWidth="true" hidden="false" outlineLevel="0" max="14" min="14" style="0" width="22"/>
    <col collapsed="false" customWidth="true" hidden="false" outlineLevel="0" max="15" min="15" style="0" width="8"/>
    <col collapsed="false" customWidth="true" hidden="false" outlineLevel="0" max="16" min="16" style="0" width="48"/>
    <col collapsed="false" customWidth="true" hidden="false" outlineLevel="0" max="17" min="17" style="0" width="8"/>
    <col collapsed="false" customWidth="true" hidden="false" outlineLevel="0" max="18" min="18" style="0" width="10"/>
    <col collapsed="false" customWidth="true" hidden="false" outlineLevel="0" max="19" min="19" style="0" width="22"/>
    <col collapsed="false" customWidth="true" hidden="false" outlineLevel="0" max="20" min="20" style="0" width="16"/>
    <col collapsed="false" customWidth="true" hidden="false" outlineLevel="0" max="21" min="21" style="0" width="8"/>
    <col collapsed="false" customWidth="true" hidden="false" outlineLevel="0" max="22" min="22" style="0" width="20"/>
    <col collapsed="false" customWidth="true" hidden="false" outlineLevel="0" max="23" min="23" style="0" width="10"/>
    <col collapsed="false" customWidth="true" hidden="false" outlineLevel="0" max="24" min="24" style="0" width="16"/>
    <col collapsed="false" customWidth="true" hidden="false" outlineLevel="0" max="25" min="25" style="0" width="22"/>
    <col collapsed="false" customWidth="true" hidden="false" outlineLevel="0" max="26" min="26" style="0" width="10"/>
    <col collapsed="false" customWidth="true" hidden="false" outlineLevel="0" max="27" min="27" style="0" width="26"/>
    <col collapsed="false" customWidth="true" hidden="false" outlineLevel="0" max="28" min="28" style="0" width="10"/>
  </cols>
  <sheetData>
    <row r="1" customFormat="false" ht="31.5" hidden="false" customHeight="true" outlineLevel="0" collapsed="false">
      <c r="A1" s="6" t="s">
        <v>17</v>
      </c>
      <c r="B1" s="6" t="s">
        <v>18</v>
      </c>
      <c r="C1" s="7" t="s">
        <v>19</v>
      </c>
      <c r="D1" s="6" t="s">
        <v>20</v>
      </c>
      <c r="E1" s="6" t="s">
        <v>21</v>
      </c>
      <c r="F1" s="6" t="s">
        <v>22</v>
      </c>
      <c r="G1" s="6" t="s">
        <v>23</v>
      </c>
      <c r="H1" s="7" t="s">
        <v>24</v>
      </c>
      <c r="I1" s="6" t="s">
        <v>25</v>
      </c>
      <c r="J1" s="6" t="s">
        <v>26</v>
      </c>
      <c r="K1" s="6" t="s">
        <v>27</v>
      </c>
      <c r="L1" s="6" t="s">
        <v>28</v>
      </c>
      <c r="M1" s="6" t="s">
        <v>29</v>
      </c>
      <c r="N1" s="6" t="s">
        <v>30</v>
      </c>
      <c r="O1" s="6" t="s">
        <v>31</v>
      </c>
      <c r="P1" s="6" t="s">
        <v>32</v>
      </c>
      <c r="Q1" s="6" t="s">
        <v>33</v>
      </c>
      <c r="R1" s="8" t="s">
        <v>34</v>
      </c>
      <c r="S1" s="8" t="s">
        <v>35</v>
      </c>
      <c r="T1" s="6" t="s">
        <v>36</v>
      </c>
      <c r="U1" s="6" t="s">
        <v>37</v>
      </c>
      <c r="V1" s="8" t="s">
        <v>38</v>
      </c>
      <c r="W1" s="8" t="s">
        <v>39</v>
      </c>
      <c r="X1" s="6" t="s">
        <v>40</v>
      </c>
      <c r="Y1" s="8" t="s">
        <v>41</v>
      </c>
      <c r="Z1" s="8" t="s">
        <v>42</v>
      </c>
      <c r="AA1" s="7" t="s">
        <v>43</v>
      </c>
      <c r="AB1" s="6" t="s">
        <v>44</v>
      </c>
    </row>
    <row r="2" customFormat="false" ht="29.85" hidden="false" customHeight="false" outlineLevel="0" collapsed="false">
      <c r="A2" s="9" t="n">
        <v>1</v>
      </c>
      <c r="B2" s="9" t="s">
        <v>45</v>
      </c>
      <c r="C2" s="9" t="s">
        <v>46</v>
      </c>
      <c r="D2" s="10" t="s">
        <v>47</v>
      </c>
      <c r="E2" s="11" t="s">
        <v>48</v>
      </c>
      <c r="F2" s="10" t="s">
        <v>49</v>
      </c>
      <c r="G2" s="12" t="s">
        <v>50</v>
      </c>
      <c r="H2" s="13" t="n">
        <v>0.145</v>
      </c>
      <c r="I2" s="14" t="s">
        <v>51</v>
      </c>
      <c r="J2" s="15" t="s">
        <v>52</v>
      </c>
      <c r="K2" s="9" t="n">
        <v>5</v>
      </c>
      <c r="L2" s="9"/>
      <c r="M2" s="16" t="s">
        <v>53</v>
      </c>
      <c r="N2" s="14"/>
      <c r="O2" s="17" t="s">
        <v>54</v>
      </c>
      <c r="P2" s="15" t="s">
        <v>55</v>
      </c>
      <c r="Q2" s="9"/>
      <c r="R2" s="18" t="s">
        <v>53</v>
      </c>
      <c r="S2" s="19"/>
      <c r="T2" s="15" t="str">
        <f aca="false">IF(R2="維持",J2,IF(R2="排除","無關新聞事件",IFERROR(INDEX(事件規則!$B$2:$B$53,MATCH(S2,事件規則!$A$2:$A$53,0)),"")))</f>
        <v>無關新聞事件</v>
      </c>
      <c r="U2" s="20" t="n">
        <f aca="false">IF(R2="維持",K2,IF(R2="排除",0,IFERROR(INDEX(事件規則!$C$2:$C$53,MATCH(S2,事件規則!$A$2:$A$53,0)),"")))</f>
        <v>0</v>
      </c>
      <c r="V2" s="21"/>
      <c r="W2" s="22"/>
      <c r="X2" s="10" t="str">
        <f aca="false">IF(AND(R2="修改",S2=""),"請選新事件代碼",IF(AND(R2&lt;&gt;"修改",S2&lt;&gt;""),"只有「修改」才需填代碼",""))</f>
        <v/>
      </c>
      <c r="Y2" s="21"/>
      <c r="Z2" s="22"/>
      <c r="AA2" s="12" t="s">
        <v>56</v>
      </c>
      <c r="AB2" s="12"/>
    </row>
    <row r="3" customFormat="false" ht="29.85" hidden="false" customHeight="false" outlineLevel="0" collapsed="false">
      <c r="A3" s="9" t="n">
        <v>2</v>
      </c>
      <c r="B3" s="9" t="s">
        <v>57</v>
      </c>
      <c r="C3" s="9" t="s">
        <v>46</v>
      </c>
      <c r="D3" s="10" t="s">
        <v>47</v>
      </c>
      <c r="E3" s="11" t="s">
        <v>58</v>
      </c>
      <c r="F3" s="10" t="s">
        <v>59</v>
      </c>
      <c r="G3" s="12" t="s">
        <v>60</v>
      </c>
      <c r="H3" s="13" t="n">
        <v>0.306</v>
      </c>
      <c r="I3" s="14" t="s">
        <v>51</v>
      </c>
      <c r="J3" s="15" t="s">
        <v>52</v>
      </c>
      <c r="K3" s="9" t="n">
        <v>5</v>
      </c>
      <c r="L3" s="9"/>
      <c r="M3" s="16" t="s">
        <v>53</v>
      </c>
      <c r="N3" s="14"/>
      <c r="O3" s="17" t="s">
        <v>54</v>
      </c>
      <c r="P3" s="15" t="s">
        <v>55</v>
      </c>
      <c r="Q3" s="9"/>
      <c r="R3" s="18" t="s">
        <v>53</v>
      </c>
      <c r="S3" s="19"/>
      <c r="T3" s="15" t="str">
        <f aca="false">IF(R3="維持",J3,IF(R3="排除","無關新聞事件",IFERROR(INDEX(事件規則!$B$2:$B$53,MATCH(S3,事件規則!$A$2:$A$53,0)),"")))</f>
        <v>無關新聞事件</v>
      </c>
      <c r="U3" s="20" t="n">
        <f aca="false">IF(R3="維持",K3,IF(R3="排除",0,IFERROR(INDEX(事件規則!$C$2:$C$53,MATCH(S3,事件規則!$A$2:$A$53,0)),"")))</f>
        <v>0</v>
      </c>
      <c r="V3" s="21"/>
      <c r="W3" s="22"/>
      <c r="X3" s="10" t="str">
        <f aca="false">IF(AND(R3="修改",S3=""),"請選新事件代碼",IF(AND(R3&lt;&gt;"修改",S3&lt;&gt;""),"只有「修改」才需填代碼",""))</f>
        <v/>
      </c>
      <c r="Y3" s="21"/>
      <c r="Z3" s="22"/>
      <c r="AA3" s="12" t="s">
        <v>61</v>
      </c>
      <c r="AB3" s="12"/>
    </row>
    <row r="4" customFormat="false" ht="29.85" hidden="false" customHeight="false" outlineLevel="0" collapsed="false">
      <c r="A4" s="9" t="n">
        <v>3</v>
      </c>
      <c r="B4" s="9" t="s">
        <v>62</v>
      </c>
      <c r="C4" s="9" t="s">
        <v>46</v>
      </c>
      <c r="D4" s="10" t="s">
        <v>47</v>
      </c>
      <c r="E4" s="11" t="s">
        <v>63</v>
      </c>
      <c r="F4" s="10" t="s">
        <v>64</v>
      </c>
      <c r="G4" s="12" t="s">
        <v>65</v>
      </c>
      <c r="H4" s="13" t="n">
        <v>0.047</v>
      </c>
      <c r="I4" s="14" t="s">
        <v>51</v>
      </c>
      <c r="J4" s="15" t="s">
        <v>52</v>
      </c>
      <c r="K4" s="9" t="n">
        <v>5</v>
      </c>
      <c r="L4" s="9"/>
      <c r="M4" s="16" t="s">
        <v>53</v>
      </c>
      <c r="N4" s="14"/>
      <c r="O4" s="17" t="s">
        <v>54</v>
      </c>
      <c r="P4" s="15" t="s">
        <v>55</v>
      </c>
      <c r="Q4" s="9"/>
      <c r="R4" s="18" t="s">
        <v>53</v>
      </c>
      <c r="S4" s="19"/>
      <c r="T4" s="15" t="str">
        <f aca="false">IF(R4="維持",J4,IF(R4="排除","無關新聞事件",IFERROR(INDEX(事件規則!$B$2:$B$53,MATCH(S4,事件規則!$A$2:$A$53,0)),"")))</f>
        <v>無關新聞事件</v>
      </c>
      <c r="U4" s="20" t="n">
        <f aca="false">IF(R4="維持",K4,IF(R4="排除",0,IFERROR(INDEX(事件規則!$C$2:$C$53,MATCH(S4,事件規則!$A$2:$A$53,0)),"")))</f>
        <v>0</v>
      </c>
      <c r="V4" s="21"/>
      <c r="W4" s="22"/>
      <c r="X4" s="10" t="str">
        <f aca="false">IF(AND(R4="修改",S4=""),"請選新事件代碼",IF(AND(R4&lt;&gt;"修改",S4&lt;&gt;""),"只有「修改」才需填代碼",""))</f>
        <v/>
      </c>
      <c r="Y4" s="21"/>
      <c r="Z4" s="22"/>
      <c r="AA4" s="12" t="s">
        <v>66</v>
      </c>
      <c r="AB4" s="12"/>
    </row>
    <row r="5" customFormat="false" ht="29.85" hidden="false" customHeight="false" outlineLevel="0" collapsed="false">
      <c r="A5" s="9" t="n">
        <v>4</v>
      </c>
      <c r="B5" s="9" t="s">
        <v>67</v>
      </c>
      <c r="C5" s="9" t="s">
        <v>46</v>
      </c>
      <c r="D5" s="10" t="s">
        <v>47</v>
      </c>
      <c r="E5" s="11" t="s">
        <v>68</v>
      </c>
      <c r="F5" s="10" t="s">
        <v>69</v>
      </c>
      <c r="G5" s="12" t="s">
        <v>70</v>
      </c>
      <c r="H5" s="13" t="n">
        <v>0.103</v>
      </c>
      <c r="I5" s="14" t="s">
        <v>51</v>
      </c>
      <c r="J5" s="15" t="s">
        <v>52</v>
      </c>
      <c r="K5" s="9" t="n">
        <v>5</v>
      </c>
      <c r="L5" s="9"/>
      <c r="M5" s="16" t="s">
        <v>53</v>
      </c>
      <c r="N5" s="14"/>
      <c r="O5" s="17" t="s">
        <v>54</v>
      </c>
      <c r="P5" s="15" t="s">
        <v>55</v>
      </c>
      <c r="Q5" s="9"/>
      <c r="R5" s="18" t="s">
        <v>53</v>
      </c>
      <c r="S5" s="19"/>
      <c r="T5" s="15" t="str">
        <f aca="false">IF(R5="維持",J5,IF(R5="排除","無關新聞事件",IFERROR(INDEX(事件規則!$B$2:$B$53,MATCH(S5,事件規則!$A$2:$A$53,0)),"")))</f>
        <v>無關新聞事件</v>
      </c>
      <c r="U5" s="20" t="n">
        <f aca="false">IF(R5="維持",K5,IF(R5="排除",0,IFERROR(INDEX(事件規則!$C$2:$C$53,MATCH(S5,事件規則!$A$2:$A$53,0)),"")))</f>
        <v>0</v>
      </c>
      <c r="V5" s="21"/>
      <c r="W5" s="22"/>
      <c r="X5" s="10" t="str">
        <f aca="false">IF(AND(R5="修改",S5=""),"請選新事件代碼",IF(AND(R5&lt;&gt;"修改",S5&lt;&gt;""),"只有「修改」才需填代碼",""))</f>
        <v/>
      </c>
      <c r="Y5" s="21"/>
      <c r="Z5" s="22"/>
      <c r="AA5" s="12" t="s">
        <v>71</v>
      </c>
      <c r="AB5" s="12"/>
    </row>
    <row r="6" customFormat="false" ht="29.85" hidden="false" customHeight="false" outlineLevel="0" collapsed="false">
      <c r="A6" s="9" t="n">
        <v>5</v>
      </c>
      <c r="B6" s="9" t="s">
        <v>67</v>
      </c>
      <c r="C6" s="9" t="s">
        <v>72</v>
      </c>
      <c r="D6" s="10" t="s">
        <v>73</v>
      </c>
      <c r="E6" s="11" t="s">
        <v>74</v>
      </c>
      <c r="F6" s="15" t="s">
        <v>75</v>
      </c>
      <c r="G6" s="12" t="s">
        <v>76</v>
      </c>
      <c r="H6" s="13" t="n">
        <v>-0.809</v>
      </c>
      <c r="I6" s="14" t="s">
        <v>51</v>
      </c>
      <c r="J6" s="15" t="s">
        <v>52</v>
      </c>
      <c r="K6" s="9" t="n">
        <v>5</v>
      </c>
      <c r="L6" s="9"/>
      <c r="M6" s="16" t="s">
        <v>53</v>
      </c>
      <c r="N6" s="14"/>
      <c r="O6" s="17" t="s">
        <v>54</v>
      </c>
      <c r="P6" s="15" t="s">
        <v>77</v>
      </c>
      <c r="Q6" s="9"/>
      <c r="R6" s="18" t="s">
        <v>53</v>
      </c>
      <c r="S6" s="19"/>
      <c r="T6" s="15" t="str">
        <f aca="false">IF(R6="維持",J6,IF(R6="排除","無關新聞事件",IFERROR(INDEX(事件規則!$B$2:$B$53,MATCH(S6,事件規則!$A$2:$A$53,0)),"")))</f>
        <v>無關新聞事件</v>
      </c>
      <c r="U6" s="20" t="n">
        <f aca="false">IF(R6="維持",K6,IF(R6="排除",0,IFERROR(INDEX(事件規則!$C$2:$C$53,MATCH(S6,事件規則!$A$2:$A$53,0)),"")))</f>
        <v>0</v>
      </c>
      <c r="V6" s="21"/>
      <c r="W6" s="22"/>
      <c r="X6" s="10" t="str">
        <f aca="false">IF(AND(R6="修改",S6=""),"請選新事件代碼",IF(AND(R6&lt;&gt;"修改",S6&lt;&gt;""),"只有「修改」才需填代碼",""))</f>
        <v/>
      </c>
      <c r="Y6" s="21"/>
      <c r="Z6" s="22"/>
      <c r="AA6" s="12" t="s">
        <v>78</v>
      </c>
      <c r="AB6" s="12"/>
    </row>
    <row r="7" customFormat="false" ht="29.85" hidden="false" customHeight="false" outlineLevel="0" collapsed="false">
      <c r="A7" s="9" t="n">
        <v>6</v>
      </c>
      <c r="B7" s="9" t="s">
        <v>79</v>
      </c>
      <c r="C7" s="9" t="s">
        <v>80</v>
      </c>
      <c r="D7" s="10" t="s">
        <v>81</v>
      </c>
      <c r="E7" s="11" t="s">
        <v>82</v>
      </c>
      <c r="F7" s="15" t="s">
        <v>83</v>
      </c>
      <c r="G7" s="12" t="s">
        <v>84</v>
      </c>
      <c r="H7" s="13" t="n">
        <v>-0.757</v>
      </c>
      <c r="I7" s="14" t="s">
        <v>51</v>
      </c>
      <c r="J7" s="15" t="s">
        <v>52</v>
      </c>
      <c r="K7" s="9" t="n">
        <v>5</v>
      </c>
      <c r="L7" s="9"/>
      <c r="M7" s="16" t="s">
        <v>53</v>
      </c>
      <c r="N7" s="14"/>
      <c r="O7" s="17" t="s">
        <v>54</v>
      </c>
      <c r="P7" s="15" t="s">
        <v>77</v>
      </c>
      <c r="Q7" s="9"/>
      <c r="R7" s="18" t="s">
        <v>53</v>
      </c>
      <c r="S7" s="19"/>
      <c r="T7" s="15" t="str">
        <f aca="false">IF(R7="維持",J7,IF(R7="排除","無關新聞事件",IFERROR(INDEX(事件規則!$B$2:$B$53,MATCH(S7,事件規則!$A$2:$A$53,0)),"")))</f>
        <v>無關新聞事件</v>
      </c>
      <c r="U7" s="20" t="n">
        <f aca="false">IF(R7="維持",K7,IF(R7="排除",0,IFERROR(INDEX(事件規則!$C$2:$C$53,MATCH(S7,事件規則!$A$2:$A$53,0)),"")))</f>
        <v>0</v>
      </c>
      <c r="V7" s="21"/>
      <c r="W7" s="22"/>
      <c r="X7" s="10" t="str">
        <f aca="false">IF(AND(R7="修改",S7=""),"請選新事件代碼",IF(AND(R7&lt;&gt;"修改",S7&lt;&gt;""),"只有「修改」才需填代碼",""))</f>
        <v/>
      </c>
      <c r="Y7" s="21"/>
      <c r="Z7" s="22"/>
      <c r="AA7" s="12" t="s">
        <v>85</v>
      </c>
      <c r="AB7" s="12"/>
    </row>
    <row r="8" customFormat="false" ht="29.85" hidden="false" customHeight="false" outlineLevel="0" collapsed="false">
      <c r="A8" s="9" t="n">
        <v>7</v>
      </c>
      <c r="B8" s="9" t="s">
        <v>86</v>
      </c>
      <c r="C8" s="9" t="s">
        <v>72</v>
      </c>
      <c r="D8" s="10" t="s">
        <v>73</v>
      </c>
      <c r="E8" s="11" t="s">
        <v>87</v>
      </c>
      <c r="F8" s="15"/>
      <c r="G8" s="12" t="s">
        <v>88</v>
      </c>
      <c r="H8" s="13" t="n">
        <v>-0.781</v>
      </c>
      <c r="I8" s="14" t="s">
        <v>51</v>
      </c>
      <c r="J8" s="15" t="s">
        <v>52</v>
      </c>
      <c r="K8" s="9" t="n">
        <v>5</v>
      </c>
      <c r="L8" s="9"/>
      <c r="M8" s="16" t="s">
        <v>53</v>
      </c>
      <c r="N8" s="14"/>
      <c r="O8" s="17" t="s">
        <v>54</v>
      </c>
      <c r="P8" s="15" t="s">
        <v>77</v>
      </c>
      <c r="Q8" s="9"/>
      <c r="R8" s="18" t="s">
        <v>53</v>
      </c>
      <c r="S8" s="19"/>
      <c r="T8" s="15" t="str">
        <f aca="false">IF(R8="維持",J8,IF(R8="排除","無關新聞事件",IFERROR(INDEX(事件規則!$B$2:$B$53,MATCH(S8,事件規則!$A$2:$A$53,0)),"")))</f>
        <v>無關新聞事件</v>
      </c>
      <c r="U8" s="20" t="n">
        <f aca="false">IF(R8="維持",K8,IF(R8="排除",0,IFERROR(INDEX(事件規則!$C$2:$C$53,MATCH(S8,事件規則!$A$2:$A$53,0)),"")))</f>
        <v>0</v>
      </c>
      <c r="V8" s="21"/>
      <c r="W8" s="22"/>
      <c r="X8" s="10" t="str">
        <f aca="false">IF(AND(R8="修改",S8=""),"請選新事件代碼",IF(AND(R8&lt;&gt;"修改",S8&lt;&gt;""),"只有「修改」才需填代碼",""))</f>
        <v/>
      </c>
      <c r="Y8" s="21"/>
      <c r="Z8" s="22"/>
      <c r="AA8" s="12" t="s">
        <v>89</v>
      </c>
      <c r="AB8" s="12"/>
    </row>
    <row r="9" customFormat="false" ht="29.85" hidden="false" customHeight="false" outlineLevel="0" collapsed="false">
      <c r="A9" s="9" t="n">
        <v>8</v>
      </c>
      <c r="B9" s="9" t="s">
        <v>90</v>
      </c>
      <c r="C9" s="9" t="s">
        <v>91</v>
      </c>
      <c r="D9" s="10" t="s">
        <v>92</v>
      </c>
      <c r="E9" s="11" t="s">
        <v>93</v>
      </c>
      <c r="F9" s="15"/>
      <c r="G9" s="12" t="s">
        <v>94</v>
      </c>
      <c r="H9" s="13" t="n">
        <v>-0.89</v>
      </c>
      <c r="I9" s="14" t="s">
        <v>51</v>
      </c>
      <c r="J9" s="15" t="s">
        <v>52</v>
      </c>
      <c r="K9" s="9" t="n">
        <v>5</v>
      </c>
      <c r="L9" s="9"/>
      <c r="M9" s="16" t="s">
        <v>95</v>
      </c>
      <c r="N9" s="14" t="s">
        <v>96</v>
      </c>
      <c r="O9" s="17" t="s">
        <v>97</v>
      </c>
      <c r="P9" s="10" t="s">
        <v>98</v>
      </c>
      <c r="Q9" s="9"/>
      <c r="R9" s="18" t="s">
        <v>95</v>
      </c>
      <c r="S9" s="19" t="s">
        <v>96</v>
      </c>
      <c r="T9" s="15" t="str">
        <f aca="false">IF(R9="維持",J9,IF(R9="排除","無關新聞事件",IFERROR(INDEX(事件規則!$B$2:$B$53,MATCH(S9,事件規則!$A$2:$A$53,0)),"")))</f>
        <v>重大訴訟</v>
      </c>
      <c r="U9" s="20" t="n">
        <f aca="false">IF(R9="維持",K9,IF(R9="排除",0,IFERROR(INDEX(事件規則!$C$2:$C$53,MATCH(S9,事件規則!$A$2:$A$53,0)),"")))</f>
        <v>4</v>
      </c>
      <c r="V9" s="21"/>
      <c r="W9" s="22"/>
      <c r="X9" s="10" t="str">
        <f aca="false">IF(AND(R9="修改",S9=""),"請選新事件代碼",IF(AND(R9&lt;&gt;"修改",S9&lt;&gt;""),"只有「修改」才需填代碼",""))</f>
        <v/>
      </c>
      <c r="Y9" s="21"/>
      <c r="Z9" s="22"/>
      <c r="AA9" s="12" t="s">
        <v>99</v>
      </c>
      <c r="AB9" s="12"/>
    </row>
    <row r="10" customFormat="false" ht="29.85" hidden="false" customHeight="false" outlineLevel="0" collapsed="false">
      <c r="A10" s="9" t="n">
        <v>9</v>
      </c>
      <c r="B10" s="9" t="s">
        <v>100</v>
      </c>
      <c r="C10" s="9" t="s">
        <v>101</v>
      </c>
      <c r="D10" s="10" t="s">
        <v>102</v>
      </c>
      <c r="E10" s="11" t="s">
        <v>103</v>
      </c>
      <c r="F10" s="15"/>
      <c r="G10" s="12" t="s">
        <v>104</v>
      </c>
      <c r="H10" s="13" t="n">
        <v>-0.268</v>
      </c>
      <c r="I10" s="14" t="s">
        <v>51</v>
      </c>
      <c r="J10" s="15" t="s">
        <v>52</v>
      </c>
      <c r="K10" s="9" t="n">
        <v>5</v>
      </c>
      <c r="L10" s="9"/>
      <c r="M10" s="16" t="s">
        <v>105</v>
      </c>
      <c r="N10" s="14"/>
      <c r="O10" s="17" t="s">
        <v>54</v>
      </c>
      <c r="P10" s="10" t="s">
        <v>106</v>
      </c>
      <c r="Q10" s="9"/>
      <c r="R10" s="18" t="s">
        <v>105</v>
      </c>
      <c r="S10" s="19"/>
      <c r="T10" s="15" t="str">
        <f aca="false">IF(R10="維持",J10,IF(R10="排除","無關新聞事件",IFERROR(INDEX(事件規則!$B$2:$B$53,MATCH(S10,事件規則!$A$2:$A$53,0)),"")))</f>
        <v>破產</v>
      </c>
      <c r="U10" s="20" t="n">
        <f aca="false">IF(R10="維持",K10,IF(R10="排除",0,IFERROR(INDEX(事件規則!$C$2:$C$53,MATCH(S10,事件規則!$A$2:$A$53,0)),"")))</f>
        <v>5</v>
      </c>
      <c r="V10" s="21"/>
      <c r="W10" s="22"/>
      <c r="X10" s="10" t="str">
        <f aca="false">IF(AND(R10="修改",S10=""),"請選新事件代碼",IF(AND(R10&lt;&gt;"修改",S10&lt;&gt;""),"只有「修改」才需填代碼",""))</f>
        <v/>
      </c>
      <c r="Y10" s="21"/>
      <c r="Z10" s="22"/>
      <c r="AA10" s="12" t="s">
        <v>107</v>
      </c>
      <c r="AB10" s="12"/>
    </row>
    <row r="11" customFormat="false" ht="29.85" hidden="false" customHeight="false" outlineLevel="0" collapsed="false">
      <c r="A11" s="9" t="n">
        <v>10</v>
      </c>
      <c r="B11" s="9" t="s">
        <v>108</v>
      </c>
      <c r="C11" s="9" t="s">
        <v>101</v>
      </c>
      <c r="D11" s="10" t="s">
        <v>102</v>
      </c>
      <c r="E11" s="11" t="s">
        <v>109</v>
      </c>
      <c r="F11" s="15"/>
      <c r="G11" s="12" t="s">
        <v>110</v>
      </c>
      <c r="H11" s="13" t="n">
        <v>-0.563</v>
      </c>
      <c r="I11" s="14" t="s">
        <v>51</v>
      </c>
      <c r="J11" s="15" t="s">
        <v>52</v>
      </c>
      <c r="K11" s="9" t="n">
        <v>5</v>
      </c>
      <c r="L11" s="9"/>
      <c r="M11" s="16" t="s">
        <v>105</v>
      </c>
      <c r="N11" s="14"/>
      <c r="O11" s="17" t="s">
        <v>54</v>
      </c>
      <c r="P11" s="10" t="s">
        <v>106</v>
      </c>
      <c r="Q11" s="9"/>
      <c r="R11" s="18" t="s">
        <v>105</v>
      </c>
      <c r="S11" s="19"/>
      <c r="T11" s="15" t="str">
        <f aca="false">IF(R11="維持",J11,IF(R11="排除","無關新聞事件",IFERROR(INDEX(事件規則!$B$2:$B$53,MATCH(S11,事件規則!$A$2:$A$53,0)),"")))</f>
        <v>破產</v>
      </c>
      <c r="U11" s="20" t="n">
        <f aca="false">IF(R11="維持",K11,IF(R11="排除",0,IFERROR(INDEX(事件規則!$C$2:$C$53,MATCH(S11,事件規則!$A$2:$A$53,0)),"")))</f>
        <v>5</v>
      </c>
      <c r="V11" s="21"/>
      <c r="W11" s="22"/>
      <c r="X11" s="10" t="str">
        <f aca="false">IF(AND(R11="修改",S11=""),"請選新事件代碼",IF(AND(R11&lt;&gt;"修改",S11&lt;&gt;""),"只有「修改」才需填代碼",""))</f>
        <v/>
      </c>
      <c r="Y11" s="21"/>
      <c r="Z11" s="22"/>
      <c r="AA11" s="12" t="s">
        <v>111</v>
      </c>
      <c r="AB11" s="12"/>
    </row>
    <row r="12" customFormat="false" ht="35.05" hidden="false" customHeight="false" outlineLevel="0" collapsed="false">
      <c r="A12" s="9" t="n">
        <v>11</v>
      </c>
      <c r="B12" s="9" t="s">
        <v>112</v>
      </c>
      <c r="C12" s="9" t="s">
        <v>113</v>
      </c>
      <c r="D12" s="10" t="s">
        <v>114</v>
      </c>
      <c r="E12" s="11" t="s">
        <v>115</v>
      </c>
      <c r="F12" s="15"/>
      <c r="G12" s="12" t="s">
        <v>84</v>
      </c>
      <c r="H12" s="13" t="n">
        <v>-0.917</v>
      </c>
      <c r="I12" s="14" t="s">
        <v>51</v>
      </c>
      <c r="J12" s="15" t="s">
        <v>52</v>
      </c>
      <c r="K12" s="9" t="n">
        <v>5</v>
      </c>
      <c r="L12" s="9"/>
      <c r="M12" s="16" t="s">
        <v>105</v>
      </c>
      <c r="N12" s="14"/>
      <c r="O12" s="17" t="s">
        <v>97</v>
      </c>
      <c r="P12" s="10" t="s">
        <v>116</v>
      </c>
      <c r="Q12" s="9"/>
      <c r="R12" s="18" t="s">
        <v>105</v>
      </c>
      <c r="S12" s="19"/>
      <c r="T12" s="15" t="str">
        <f aca="false">IF(R12="維持",J12,IF(R12="排除","無關新聞事件",IFERROR(INDEX(事件規則!$B$2:$B$53,MATCH(S12,事件規則!$A$2:$A$53,0)),"")))</f>
        <v>破產</v>
      </c>
      <c r="U12" s="20" t="n">
        <f aca="false">IF(R12="維持",K12,IF(R12="排除",0,IFERROR(INDEX(事件規則!$C$2:$C$53,MATCH(S12,事件規則!$A$2:$A$53,0)),"")))</f>
        <v>5</v>
      </c>
      <c r="V12" s="21"/>
      <c r="W12" s="22"/>
      <c r="X12" s="10" t="str">
        <f aca="false">IF(AND(R12="修改",S12=""),"請選新事件代碼",IF(AND(R12&lt;&gt;"修改",S12&lt;&gt;""),"只有「修改」才需填代碼",""))</f>
        <v/>
      </c>
      <c r="Y12" s="21"/>
      <c r="Z12" s="22"/>
      <c r="AA12" s="12" t="s">
        <v>117</v>
      </c>
      <c r="AB12" s="12"/>
    </row>
    <row r="13" customFormat="false" ht="29.85" hidden="false" customHeight="false" outlineLevel="0" collapsed="false">
      <c r="A13" s="9" t="n">
        <v>12</v>
      </c>
      <c r="B13" s="9" t="s">
        <v>118</v>
      </c>
      <c r="C13" s="9" t="s">
        <v>119</v>
      </c>
      <c r="D13" s="10" t="s">
        <v>120</v>
      </c>
      <c r="E13" s="11" t="s">
        <v>121</v>
      </c>
      <c r="F13" s="15" t="s">
        <v>122</v>
      </c>
      <c r="G13" s="12" t="s">
        <v>123</v>
      </c>
      <c r="H13" s="13" t="n">
        <v>-0.646</v>
      </c>
      <c r="I13" s="14" t="s">
        <v>51</v>
      </c>
      <c r="J13" s="15" t="s">
        <v>52</v>
      </c>
      <c r="K13" s="9" t="n">
        <v>5</v>
      </c>
      <c r="L13" s="9"/>
      <c r="M13" s="16" t="s">
        <v>53</v>
      </c>
      <c r="N13" s="14"/>
      <c r="O13" s="17" t="s">
        <v>54</v>
      </c>
      <c r="P13" s="15" t="s">
        <v>124</v>
      </c>
      <c r="Q13" s="9"/>
      <c r="R13" s="18" t="s">
        <v>53</v>
      </c>
      <c r="S13" s="19"/>
      <c r="T13" s="15" t="str">
        <f aca="false">IF(R13="維持",J13,IF(R13="排除","無關新聞事件",IFERROR(INDEX(事件規則!$B$2:$B$53,MATCH(S13,事件規則!$A$2:$A$53,0)),"")))</f>
        <v>無關新聞事件</v>
      </c>
      <c r="U13" s="20" t="n">
        <f aca="false">IF(R13="維持",K13,IF(R13="排除",0,IFERROR(INDEX(事件規則!$C$2:$C$53,MATCH(S13,事件規則!$A$2:$A$53,0)),"")))</f>
        <v>0</v>
      </c>
      <c r="V13" s="21"/>
      <c r="W13" s="22"/>
      <c r="X13" s="10" t="str">
        <f aca="false">IF(AND(R13="修改",S13=""),"請選新事件代碼",IF(AND(R13&lt;&gt;"修改",S13&lt;&gt;""),"只有「修改」才需填代碼",""))</f>
        <v/>
      </c>
      <c r="Y13" s="21"/>
      <c r="Z13" s="22"/>
      <c r="AA13" s="12" t="s">
        <v>125</v>
      </c>
      <c r="AB13" s="12"/>
    </row>
    <row r="14" customFormat="false" ht="29.85" hidden="false" customHeight="false" outlineLevel="0" collapsed="false">
      <c r="A14" s="9" t="n">
        <v>13</v>
      </c>
      <c r="B14" s="9" t="s">
        <v>126</v>
      </c>
      <c r="C14" s="9" t="s">
        <v>127</v>
      </c>
      <c r="D14" s="10" t="s">
        <v>128</v>
      </c>
      <c r="E14" s="11" t="s">
        <v>129</v>
      </c>
      <c r="F14" s="10" t="s">
        <v>130</v>
      </c>
      <c r="G14" s="12" t="s">
        <v>131</v>
      </c>
      <c r="H14" s="13" t="n">
        <v>0.032</v>
      </c>
      <c r="I14" s="14" t="s">
        <v>132</v>
      </c>
      <c r="J14" s="15" t="s">
        <v>133</v>
      </c>
      <c r="K14" s="9" t="n">
        <v>5</v>
      </c>
      <c r="L14" s="9"/>
      <c r="M14" s="16" t="s">
        <v>53</v>
      </c>
      <c r="N14" s="14"/>
      <c r="O14" s="17" t="s">
        <v>54</v>
      </c>
      <c r="P14" s="10" t="s">
        <v>134</v>
      </c>
      <c r="Q14" s="9"/>
      <c r="R14" s="18" t="s">
        <v>53</v>
      </c>
      <c r="S14" s="19"/>
      <c r="T14" s="15" t="str">
        <f aca="false">IF(R14="維持",J14,IF(R14="排除","無關新聞事件",IFERROR(INDEX(事件規則!$B$2:$B$53,MATCH(S14,事件規則!$A$2:$A$53,0)),"")))</f>
        <v>無關新聞事件</v>
      </c>
      <c r="U14" s="20" t="n">
        <f aca="false">IF(R14="維持",K14,IF(R14="排除",0,IFERROR(INDEX(事件規則!$C$2:$C$53,MATCH(S14,事件規則!$A$2:$A$53,0)),"")))</f>
        <v>0</v>
      </c>
      <c r="V14" s="21"/>
      <c r="W14" s="22"/>
      <c r="X14" s="10" t="str">
        <f aca="false">IF(AND(R14="修改",S14=""),"請選新事件代碼",IF(AND(R14&lt;&gt;"修改",S14&lt;&gt;""),"只有「修改」才需填代碼",""))</f>
        <v/>
      </c>
      <c r="Y14" s="21"/>
      <c r="Z14" s="22"/>
      <c r="AA14" s="12" t="s">
        <v>135</v>
      </c>
      <c r="AB14" s="12"/>
    </row>
    <row r="15" customFormat="false" ht="29.85" hidden="false" customHeight="false" outlineLevel="0" collapsed="false">
      <c r="A15" s="9" t="n">
        <v>14</v>
      </c>
      <c r="B15" s="9" t="s">
        <v>126</v>
      </c>
      <c r="C15" s="9" t="s">
        <v>136</v>
      </c>
      <c r="D15" s="10" t="s">
        <v>137</v>
      </c>
      <c r="E15" s="11" t="s">
        <v>138</v>
      </c>
      <c r="F15" s="15" t="s">
        <v>139</v>
      </c>
      <c r="G15" s="12" t="s">
        <v>140</v>
      </c>
      <c r="H15" s="13" t="n">
        <v>0.901</v>
      </c>
      <c r="I15" s="14" t="s">
        <v>132</v>
      </c>
      <c r="J15" s="15" t="s">
        <v>133</v>
      </c>
      <c r="K15" s="9" t="n">
        <v>5</v>
      </c>
      <c r="L15" s="9"/>
      <c r="M15" s="16" t="s">
        <v>53</v>
      </c>
      <c r="N15" s="14"/>
      <c r="O15" s="17" t="s">
        <v>97</v>
      </c>
      <c r="P15" s="15" t="s">
        <v>141</v>
      </c>
      <c r="Q15" s="9"/>
      <c r="R15" s="18" t="s">
        <v>53</v>
      </c>
      <c r="S15" s="19"/>
      <c r="T15" s="15" t="str">
        <f aca="false">IF(R15="維持",J15,IF(R15="排除","無關新聞事件",IFERROR(INDEX(事件規則!$B$2:$B$53,MATCH(S15,事件規則!$A$2:$A$53,0)),"")))</f>
        <v>無關新聞事件</v>
      </c>
      <c r="U15" s="20" t="n">
        <f aca="false">IF(R15="維持",K15,IF(R15="排除",0,IFERROR(INDEX(事件規則!$C$2:$C$53,MATCH(S15,事件規則!$A$2:$A$53,0)),"")))</f>
        <v>0</v>
      </c>
      <c r="V15" s="21"/>
      <c r="W15" s="22"/>
      <c r="X15" s="10" t="str">
        <f aca="false">IF(AND(R15="修改",S15=""),"請選新事件代碼",IF(AND(R15&lt;&gt;"修改",S15&lt;&gt;""),"只有「修改」才需填代碼",""))</f>
        <v/>
      </c>
      <c r="Y15" s="21"/>
      <c r="Z15" s="22"/>
      <c r="AA15" s="12" t="s">
        <v>142</v>
      </c>
      <c r="AB15" s="12"/>
    </row>
    <row r="16" customFormat="false" ht="29.85" hidden="false" customHeight="false" outlineLevel="0" collapsed="false">
      <c r="A16" s="9" t="n">
        <v>15</v>
      </c>
      <c r="B16" s="9" t="s">
        <v>45</v>
      </c>
      <c r="C16" s="9" t="s">
        <v>143</v>
      </c>
      <c r="D16" s="10" t="s">
        <v>144</v>
      </c>
      <c r="E16" s="11" t="s">
        <v>145</v>
      </c>
      <c r="F16" s="10" t="s">
        <v>146</v>
      </c>
      <c r="G16" s="12" t="s">
        <v>147</v>
      </c>
      <c r="H16" s="13" t="n">
        <v>0.006</v>
      </c>
      <c r="I16" s="14" t="s">
        <v>132</v>
      </c>
      <c r="J16" s="15" t="s">
        <v>133</v>
      </c>
      <c r="K16" s="9" t="n">
        <v>5</v>
      </c>
      <c r="L16" s="9"/>
      <c r="M16" s="16" t="s">
        <v>53</v>
      </c>
      <c r="N16" s="14"/>
      <c r="O16" s="17" t="s">
        <v>54</v>
      </c>
      <c r="P16" s="10" t="s">
        <v>148</v>
      </c>
      <c r="Q16" s="9"/>
      <c r="R16" s="18" t="s">
        <v>53</v>
      </c>
      <c r="S16" s="19"/>
      <c r="T16" s="15" t="str">
        <f aca="false">IF(R16="維持",J16,IF(R16="排除","無關新聞事件",IFERROR(INDEX(事件規則!$B$2:$B$53,MATCH(S16,事件規則!$A$2:$A$53,0)),"")))</f>
        <v>無關新聞事件</v>
      </c>
      <c r="U16" s="20" t="n">
        <f aca="false">IF(R16="維持",K16,IF(R16="排除",0,IFERROR(INDEX(事件規則!$C$2:$C$53,MATCH(S16,事件規則!$A$2:$A$53,0)),"")))</f>
        <v>0</v>
      </c>
      <c r="V16" s="21"/>
      <c r="W16" s="22"/>
      <c r="X16" s="10" t="str">
        <f aca="false">IF(AND(R16="修改",S16=""),"請選新事件代碼",IF(AND(R16&lt;&gt;"修改",S16&lt;&gt;""),"只有「修改」才需填代碼",""))</f>
        <v/>
      </c>
      <c r="Y16" s="21"/>
      <c r="Z16" s="22"/>
      <c r="AA16" s="12" t="s">
        <v>149</v>
      </c>
      <c r="AB16" s="12"/>
    </row>
    <row r="17" customFormat="false" ht="29.85" hidden="false" customHeight="false" outlineLevel="0" collapsed="false">
      <c r="A17" s="9" t="n">
        <v>16</v>
      </c>
      <c r="B17" s="9" t="s">
        <v>45</v>
      </c>
      <c r="C17" s="9" t="s">
        <v>150</v>
      </c>
      <c r="D17" s="10" t="s">
        <v>151</v>
      </c>
      <c r="E17" s="11" t="s">
        <v>152</v>
      </c>
      <c r="F17" s="15" t="s">
        <v>153</v>
      </c>
      <c r="G17" s="12" t="s">
        <v>154</v>
      </c>
      <c r="H17" s="13" t="n">
        <v>0.031</v>
      </c>
      <c r="I17" s="14" t="s">
        <v>132</v>
      </c>
      <c r="J17" s="15" t="s">
        <v>133</v>
      </c>
      <c r="K17" s="9" t="n">
        <v>5</v>
      </c>
      <c r="L17" s="9"/>
      <c r="M17" s="16" t="s">
        <v>53</v>
      </c>
      <c r="N17" s="14"/>
      <c r="O17" s="17" t="s">
        <v>54</v>
      </c>
      <c r="P17" s="15" t="s">
        <v>155</v>
      </c>
      <c r="Q17" s="9"/>
      <c r="R17" s="18" t="s">
        <v>53</v>
      </c>
      <c r="S17" s="19"/>
      <c r="T17" s="15" t="str">
        <f aca="false">IF(R17="維持",J17,IF(R17="排除","無關新聞事件",IFERROR(INDEX(事件規則!$B$2:$B$53,MATCH(S17,事件規則!$A$2:$A$53,0)),"")))</f>
        <v>無關新聞事件</v>
      </c>
      <c r="U17" s="20" t="n">
        <f aca="false">IF(R17="維持",K17,IF(R17="排除",0,IFERROR(INDEX(事件規則!$C$2:$C$53,MATCH(S17,事件規則!$A$2:$A$53,0)),"")))</f>
        <v>0</v>
      </c>
      <c r="V17" s="21"/>
      <c r="W17" s="22"/>
      <c r="X17" s="10" t="str">
        <f aca="false">IF(AND(R17="修改",S17=""),"請選新事件代碼",IF(AND(R17&lt;&gt;"修改",S17&lt;&gt;""),"只有「修改」才需填代碼",""))</f>
        <v/>
      </c>
      <c r="Y17" s="21"/>
      <c r="Z17" s="22"/>
      <c r="AA17" s="12" t="s">
        <v>156</v>
      </c>
      <c r="AB17" s="12"/>
    </row>
    <row r="18" customFormat="false" ht="29.85" hidden="false" customHeight="false" outlineLevel="0" collapsed="false">
      <c r="A18" s="9" t="n">
        <v>17</v>
      </c>
      <c r="B18" s="9" t="s">
        <v>62</v>
      </c>
      <c r="C18" s="9" t="s">
        <v>143</v>
      </c>
      <c r="D18" s="10" t="s">
        <v>144</v>
      </c>
      <c r="E18" s="11" t="s">
        <v>157</v>
      </c>
      <c r="F18" s="10" t="s">
        <v>158</v>
      </c>
      <c r="G18" s="12" t="s">
        <v>147</v>
      </c>
      <c r="H18" s="13" t="n">
        <v>0.065</v>
      </c>
      <c r="I18" s="14" t="s">
        <v>132</v>
      </c>
      <c r="J18" s="15" t="s">
        <v>133</v>
      </c>
      <c r="K18" s="9" t="n">
        <v>5</v>
      </c>
      <c r="L18" s="9"/>
      <c r="M18" s="16" t="s">
        <v>53</v>
      </c>
      <c r="N18" s="14"/>
      <c r="O18" s="17" t="s">
        <v>54</v>
      </c>
      <c r="P18" s="10" t="s">
        <v>148</v>
      </c>
      <c r="Q18" s="9"/>
      <c r="R18" s="18" t="s">
        <v>53</v>
      </c>
      <c r="S18" s="19"/>
      <c r="T18" s="15" t="str">
        <f aca="false">IF(R18="維持",J18,IF(R18="排除","無關新聞事件",IFERROR(INDEX(事件規則!$B$2:$B$53,MATCH(S18,事件規則!$A$2:$A$53,0)),"")))</f>
        <v>無關新聞事件</v>
      </c>
      <c r="U18" s="20" t="n">
        <f aca="false">IF(R18="維持",K18,IF(R18="排除",0,IFERROR(INDEX(事件規則!$C$2:$C$53,MATCH(S18,事件規則!$A$2:$A$53,0)),"")))</f>
        <v>0</v>
      </c>
      <c r="V18" s="21"/>
      <c r="W18" s="22"/>
      <c r="X18" s="10" t="str">
        <f aca="false">IF(AND(R18="修改",S18=""),"請選新事件代碼",IF(AND(R18&lt;&gt;"修改",S18&lt;&gt;""),"只有「修改」才需填代碼",""))</f>
        <v/>
      </c>
      <c r="Y18" s="21"/>
      <c r="Z18" s="22"/>
      <c r="AA18" s="12" t="s">
        <v>159</v>
      </c>
      <c r="AB18" s="12"/>
    </row>
    <row r="19" customFormat="false" ht="29.85" hidden="false" customHeight="false" outlineLevel="0" collapsed="false">
      <c r="A19" s="9" t="n">
        <v>18</v>
      </c>
      <c r="B19" s="9" t="s">
        <v>160</v>
      </c>
      <c r="C19" s="9" t="s">
        <v>127</v>
      </c>
      <c r="D19" s="10" t="s">
        <v>128</v>
      </c>
      <c r="E19" s="11" t="s">
        <v>161</v>
      </c>
      <c r="F19" s="15"/>
      <c r="G19" s="12" t="s">
        <v>131</v>
      </c>
      <c r="H19" s="13" t="n">
        <v>0.032</v>
      </c>
      <c r="I19" s="14" t="s">
        <v>132</v>
      </c>
      <c r="J19" s="15" t="s">
        <v>133</v>
      </c>
      <c r="K19" s="9" t="n">
        <v>5</v>
      </c>
      <c r="L19" s="9"/>
      <c r="M19" s="16" t="s">
        <v>53</v>
      </c>
      <c r="N19" s="14"/>
      <c r="O19" s="17" t="s">
        <v>54</v>
      </c>
      <c r="P19" s="10" t="s">
        <v>134</v>
      </c>
      <c r="Q19" s="9"/>
      <c r="R19" s="18" t="s">
        <v>53</v>
      </c>
      <c r="S19" s="19"/>
      <c r="T19" s="15" t="str">
        <f aca="false">IF(R19="維持",J19,IF(R19="排除","無關新聞事件",IFERROR(INDEX(事件規則!$B$2:$B$53,MATCH(S19,事件規則!$A$2:$A$53,0)),"")))</f>
        <v>無關新聞事件</v>
      </c>
      <c r="U19" s="20" t="n">
        <f aca="false">IF(R19="維持",K19,IF(R19="排除",0,IFERROR(INDEX(事件規則!$C$2:$C$53,MATCH(S19,事件規則!$A$2:$A$53,0)),"")))</f>
        <v>0</v>
      </c>
      <c r="V19" s="21"/>
      <c r="W19" s="22"/>
      <c r="X19" s="10" t="str">
        <f aca="false">IF(AND(R19="修改",S19=""),"請選新事件代碼",IF(AND(R19&lt;&gt;"修改",S19&lt;&gt;""),"只有「修改」才需填代碼",""))</f>
        <v/>
      </c>
      <c r="Y19" s="21"/>
      <c r="Z19" s="22"/>
      <c r="AA19" s="12" t="s">
        <v>162</v>
      </c>
      <c r="AB19" s="12"/>
    </row>
    <row r="20" customFormat="false" ht="29.85" hidden="false" customHeight="false" outlineLevel="0" collapsed="false">
      <c r="A20" s="9" t="n">
        <v>19</v>
      </c>
      <c r="B20" s="9" t="s">
        <v>163</v>
      </c>
      <c r="C20" s="9" t="s">
        <v>164</v>
      </c>
      <c r="D20" s="10" t="s">
        <v>165</v>
      </c>
      <c r="E20" s="11" t="s">
        <v>166</v>
      </c>
      <c r="F20" s="15"/>
      <c r="G20" s="12" t="s">
        <v>167</v>
      </c>
      <c r="H20" s="13" t="n">
        <v>-0.665</v>
      </c>
      <c r="I20" s="14" t="s">
        <v>132</v>
      </c>
      <c r="J20" s="15" t="s">
        <v>133</v>
      </c>
      <c r="K20" s="9" t="n">
        <v>5</v>
      </c>
      <c r="L20" s="9"/>
      <c r="M20" s="16" t="s">
        <v>105</v>
      </c>
      <c r="N20" s="14"/>
      <c r="O20" s="17" t="s">
        <v>97</v>
      </c>
      <c r="P20" s="10" t="s">
        <v>168</v>
      </c>
      <c r="Q20" s="17" t="s">
        <v>169</v>
      </c>
      <c r="R20" s="18" t="s">
        <v>105</v>
      </c>
      <c r="S20" s="19"/>
      <c r="T20" s="15" t="str">
        <f aca="false">IF(R20="維持",J20,IF(R20="排除","無關新聞事件",IFERROR(INDEX(事件規則!$B$2:$B$53,MATCH(S20,事件規則!$A$2:$A$53,0)),"")))</f>
        <v>違約</v>
      </c>
      <c r="U20" s="20" t="n">
        <f aca="false">IF(R20="維持",K20,IF(R20="排除",0,IFERROR(INDEX(事件規則!$C$2:$C$53,MATCH(S20,事件規則!$A$2:$A$53,0)),"")))</f>
        <v>5</v>
      </c>
      <c r="V20" s="21"/>
      <c r="W20" s="22"/>
      <c r="X20" s="10" t="str">
        <f aca="false">IF(AND(R20="修改",S20=""),"請選新事件代碼",IF(AND(R20&lt;&gt;"修改",S20&lt;&gt;""),"只有「修改」才需填代碼",""))</f>
        <v/>
      </c>
      <c r="Y20" s="21"/>
      <c r="Z20" s="22"/>
      <c r="AA20" s="12" t="s">
        <v>170</v>
      </c>
      <c r="AB20" s="12"/>
    </row>
    <row r="21" customFormat="false" ht="23.85" hidden="false" customHeight="false" outlineLevel="0" collapsed="false">
      <c r="A21" s="9" t="n">
        <v>20</v>
      </c>
      <c r="B21" s="9" t="s">
        <v>171</v>
      </c>
      <c r="C21" s="9" t="s">
        <v>172</v>
      </c>
      <c r="D21" s="10" t="s">
        <v>173</v>
      </c>
      <c r="E21" s="11" t="s">
        <v>174</v>
      </c>
      <c r="F21" s="15"/>
      <c r="G21" s="12" t="s">
        <v>175</v>
      </c>
      <c r="H21" s="13" t="n">
        <v>-0.784</v>
      </c>
      <c r="I21" s="14" t="s">
        <v>132</v>
      </c>
      <c r="J21" s="15" t="s">
        <v>133</v>
      </c>
      <c r="K21" s="9" t="n">
        <v>5</v>
      </c>
      <c r="L21" s="9"/>
      <c r="M21" s="16" t="s">
        <v>53</v>
      </c>
      <c r="N21" s="14"/>
      <c r="O21" s="17" t="s">
        <v>54</v>
      </c>
      <c r="P21" s="15" t="s">
        <v>176</v>
      </c>
      <c r="Q21" s="17"/>
      <c r="R21" s="18" t="s">
        <v>53</v>
      </c>
      <c r="S21" s="19"/>
      <c r="T21" s="15" t="str">
        <f aca="false">IF(R21="維持",J21,IF(R21="排除","無關新聞事件",IFERROR(INDEX(事件規則!$B$2:$B$53,MATCH(S21,事件規則!$A$2:$A$53,0)),"")))</f>
        <v>無關新聞事件</v>
      </c>
      <c r="U21" s="20" t="n">
        <f aca="false">IF(R21="維持",K21,IF(R21="排除",0,IFERROR(INDEX(事件規則!$C$2:$C$53,MATCH(S21,事件規則!$A$2:$A$53,0)),"")))</f>
        <v>0</v>
      </c>
      <c r="V21" s="21"/>
      <c r="W21" s="22"/>
      <c r="X21" s="10" t="str">
        <f aca="false">IF(AND(R21="修改",S21=""),"請選新事件代碼",IF(AND(R21&lt;&gt;"修改",S21&lt;&gt;""),"只有「修改」才需填代碼",""))</f>
        <v/>
      </c>
      <c r="Y21" s="21"/>
      <c r="Z21" s="22"/>
      <c r="AA21" s="12" t="s">
        <v>177</v>
      </c>
      <c r="AB21" s="12"/>
    </row>
    <row r="22" customFormat="false" ht="29.85" hidden="false" customHeight="false" outlineLevel="0" collapsed="false">
      <c r="A22" s="9" t="n">
        <v>21</v>
      </c>
      <c r="B22" s="9" t="s">
        <v>171</v>
      </c>
      <c r="C22" s="9" t="s">
        <v>164</v>
      </c>
      <c r="D22" s="10" t="s">
        <v>165</v>
      </c>
      <c r="E22" s="11" t="s">
        <v>178</v>
      </c>
      <c r="F22" s="15"/>
      <c r="G22" s="12" t="s">
        <v>167</v>
      </c>
      <c r="H22" s="13" t="n">
        <v>-0.537</v>
      </c>
      <c r="I22" s="14" t="s">
        <v>132</v>
      </c>
      <c r="J22" s="15" t="s">
        <v>133</v>
      </c>
      <c r="K22" s="9" t="n">
        <v>5</v>
      </c>
      <c r="L22" s="9"/>
      <c r="M22" s="16" t="s">
        <v>105</v>
      </c>
      <c r="N22" s="14"/>
      <c r="O22" s="17" t="s">
        <v>97</v>
      </c>
      <c r="P22" s="10" t="s">
        <v>168</v>
      </c>
      <c r="Q22" s="17" t="s">
        <v>169</v>
      </c>
      <c r="R22" s="18" t="s">
        <v>105</v>
      </c>
      <c r="S22" s="19"/>
      <c r="T22" s="15" t="str">
        <f aca="false">IF(R22="維持",J22,IF(R22="排除","無關新聞事件",IFERROR(INDEX(事件規則!$B$2:$B$53,MATCH(S22,事件規則!$A$2:$A$53,0)),"")))</f>
        <v>違約</v>
      </c>
      <c r="U22" s="20" t="n">
        <f aca="false">IF(R22="維持",K22,IF(R22="排除",0,IFERROR(INDEX(事件規則!$C$2:$C$53,MATCH(S22,事件規則!$A$2:$A$53,0)),"")))</f>
        <v>5</v>
      </c>
      <c r="V22" s="21"/>
      <c r="W22" s="22"/>
      <c r="X22" s="10" t="str">
        <f aca="false">IF(AND(R22="修改",S22=""),"請選新事件代碼",IF(AND(R22&lt;&gt;"修改",S22&lt;&gt;""),"只有「修改」才需填代碼",""))</f>
        <v/>
      </c>
      <c r="Y22" s="21"/>
      <c r="Z22" s="22"/>
      <c r="AA22" s="12" t="s">
        <v>179</v>
      </c>
      <c r="AB22" s="12"/>
    </row>
    <row r="23" customFormat="false" ht="15" hidden="false" customHeight="false" outlineLevel="0" collapsed="false">
      <c r="A23" s="9" t="n">
        <v>22</v>
      </c>
      <c r="B23" s="9" t="s">
        <v>180</v>
      </c>
      <c r="C23" s="9" t="s">
        <v>181</v>
      </c>
      <c r="D23" s="10" t="s">
        <v>182</v>
      </c>
      <c r="E23" s="11" t="s">
        <v>183</v>
      </c>
      <c r="F23" s="15"/>
      <c r="G23" s="12" t="s">
        <v>84</v>
      </c>
      <c r="H23" s="13" t="n">
        <v>0.077</v>
      </c>
      <c r="I23" s="14" t="s">
        <v>132</v>
      </c>
      <c r="J23" s="15" t="s">
        <v>133</v>
      </c>
      <c r="K23" s="9" t="n">
        <v>5</v>
      </c>
      <c r="L23" s="9"/>
      <c r="M23" s="16" t="s">
        <v>53</v>
      </c>
      <c r="N23" s="14"/>
      <c r="O23" s="17" t="s">
        <v>54</v>
      </c>
      <c r="P23" s="15" t="s">
        <v>184</v>
      </c>
      <c r="Q23" s="17"/>
      <c r="R23" s="18" t="s">
        <v>53</v>
      </c>
      <c r="S23" s="19"/>
      <c r="T23" s="15" t="str">
        <f aca="false">IF(R23="維持",J23,IF(R23="排除","無關新聞事件",IFERROR(INDEX(事件規則!$B$2:$B$53,MATCH(S23,事件規則!$A$2:$A$53,0)),"")))</f>
        <v>無關新聞事件</v>
      </c>
      <c r="U23" s="20" t="n">
        <f aca="false">IF(R23="維持",K23,IF(R23="排除",0,IFERROR(INDEX(事件規則!$C$2:$C$53,MATCH(S23,事件規則!$A$2:$A$53,0)),"")))</f>
        <v>0</v>
      </c>
      <c r="V23" s="21"/>
      <c r="W23" s="22"/>
      <c r="X23" s="10" t="str">
        <f aca="false">IF(AND(R23="修改",S23=""),"請選新事件代碼",IF(AND(R23&lt;&gt;"修改",S23&lt;&gt;""),"只有「修改」才需填代碼",""))</f>
        <v/>
      </c>
      <c r="Y23" s="21"/>
      <c r="Z23" s="22"/>
      <c r="AA23" s="12" t="s">
        <v>185</v>
      </c>
      <c r="AB23" s="12"/>
    </row>
    <row r="24" customFormat="false" ht="35.05" hidden="false" customHeight="false" outlineLevel="0" collapsed="false">
      <c r="A24" s="9" t="n">
        <v>23</v>
      </c>
      <c r="B24" s="9" t="s">
        <v>186</v>
      </c>
      <c r="C24" s="9" t="s">
        <v>187</v>
      </c>
      <c r="D24" s="10" t="s">
        <v>188</v>
      </c>
      <c r="E24" s="11" t="s">
        <v>189</v>
      </c>
      <c r="F24" s="10" t="s">
        <v>190</v>
      </c>
      <c r="G24" s="12" t="s">
        <v>84</v>
      </c>
      <c r="H24" s="13" t="n">
        <v>0.24</v>
      </c>
      <c r="I24" s="14" t="s">
        <v>132</v>
      </c>
      <c r="J24" s="15" t="s">
        <v>133</v>
      </c>
      <c r="K24" s="9" t="n">
        <v>5</v>
      </c>
      <c r="L24" s="9"/>
      <c r="M24" s="16" t="s">
        <v>53</v>
      </c>
      <c r="N24" s="14"/>
      <c r="O24" s="17" t="s">
        <v>54</v>
      </c>
      <c r="P24" s="15" t="s">
        <v>184</v>
      </c>
      <c r="Q24" s="17"/>
      <c r="R24" s="18" t="s">
        <v>53</v>
      </c>
      <c r="S24" s="19"/>
      <c r="T24" s="15" t="str">
        <f aca="false">IF(R24="維持",J24,IF(R24="排除","無關新聞事件",IFERROR(INDEX(事件規則!$B$2:$B$53,MATCH(S24,事件規則!$A$2:$A$53,0)),"")))</f>
        <v>無關新聞事件</v>
      </c>
      <c r="U24" s="20" t="n">
        <f aca="false">IF(R24="維持",K24,IF(R24="排除",0,IFERROR(INDEX(事件規則!$C$2:$C$53,MATCH(S24,事件規則!$A$2:$A$53,0)),"")))</f>
        <v>0</v>
      </c>
      <c r="V24" s="21"/>
      <c r="W24" s="22"/>
      <c r="X24" s="10" t="str">
        <f aca="false">IF(AND(R24="修改",S24=""),"請選新事件代碼",IF(AND(R24&lt;&gt;"修改",S24&lt;&gt;""),"只有「修改」才需填代碼",""))</f>
        <v/>
      </c>
      <c r="Y24" s="21"/>
      <c r="Z24" s="22"/>
      <c r="AA24" s="12" t="s">
        <v>191</v>
      </c>
      <c r="AB24" s="12"/>
    </row>
    <row r="25" customFormat="false" ht="29.85" hidden="false" customHeight="false" outlineLevel="0" collapsed="false">
      <c r="A25" s="9" t="n">
        <v>24</v>
      </c>
      <c r="B25" s="9" t="s">
        <v>118</v>
      </c>
      <c r="C25" s="9" t="s">
        <v>192</v>
      </c>
      <c r="D25" s="10" t="s">
        <v>193</v>
      </c>
      <c r="E25" s="11" t="s">
        <v>194</v>
      </c>
      <c r="F25" s="15"/>
      <c r="G25" s="12" t="s">
        <v>195</v>
      </c>
      <c r="H25" s="13" t="n">
        <v>0.904</v>
      </c>
      <c r="I25" s="14" t="s">
        <v>132</v>
      </c>
      <c r="J25" s="15" t="s">
        <v>133</v>
      </c>
      <c r="K25" s="9" t="n">
        <v>5</v>
      </c>
      <c r="L25" s="9"/>
      <c r="M25" s="16" t="s">
        <v>95</v>
      </c>
      <c r="N25" s="14" t="s">
        <v>196</v>
      </c>
      <c r="O25" s="17" t="s">
        <v>54</v>
      </c>
      <c r="P25" s="10" t="s">
        <v>197</v>
      </c>
      <c r="Q25" s="17"/>
      <c r="R25" s="18" t="s">
        <v>95</v>
      </c>
      <c r="S25" s="19" t="s">
        <v>196</v>
      </c>
      <c r="T25" s="15" t="str">
        <f aca="false">IF(R25="維持",J25,IF(R25="排除","無關新聞事件",IFERROR(INDEX(事件規則!$B$2:$B$53,MATCH(S25,事件規則!$A$2:$A$53,0)),"")))</f>
        <v>CDS利差擴大／信用風險升高</v>
      </c>
      <c r="U25" s="20" t="n">
        <f aca="false">IF(R25="維持",K25,IF(R25="排除",0,IFERROR(INDEX(事件規則!$C$2:$C$53,MATCH(S25,事件規則!$A$2:$A$53,0)),"")))</f>
        <v>3</v>
      </c>
      <c r="V25" s="21"/>
      <c r="W25" s="22"/>
      <c r="X25" s="10" t="str">
        <f aca="false">IF(AND(R25="修改",S25=""),"請選新事件代碼",IF(AND(R25&lt;&gt;"修改",S25&lt;&gt;""),"只有「修改」才需填代碼",""))</f>
        <v/>
      </c>
      <c r="Y25" s="21"/>
      <c r="Z25" s="22"/>
      <c r="AA25" s="12" t="s">
        <v>198</v>
      </c>
      <c r="AB25" s="12"/>
    </row>
    <row r="26" customFormat="false" ht="29.85" hidden="false" customHeight="false" outlineLevel="0" collapsed="false">
      <c r="A26" s="9" t="n">
        <v>25</v>
      </c>
      <c r="B26" s="9" t="s">
        <v>118</v>
      </c>
      <c r="C26" s="9" t="s">
        <v>192</v>
      </c>
      <c r="D26" s="10" t="s">
        <v>193</v>
      </c>
      <c r="E26" s="11" t="s">
        <v>199</v>
      </c>
      <c r="F26" s="15"/>
      <c r="G26" s="12" t="s">
        <v>140</v>
      </c>
      <c r="H26" s="13" t="n">
        <v>-0.942</v>
      </c>
      <c r="I26" s="14" t="s">
        <v>132</v>
      </c>
      <c r="J26" s="15" t="s">
        <v>133</v>
      </c>
      <c r="K26" s="9" t="n">
        <v>5</v>
      </c>
      <c r="L26" s="9"/>
      <c r="M26" s="16" t="s">
        <v>95</v>
      </c>
      <c r="N26" s="14" t="s">
        <v>196</v>
      </c>
      <c r="O26" s="17" t="s">
        <v>54</v>
      </c>
      <c r="P26" s="10" t="s">
        <v>197</v>
      </c>
      <c r="Q26" s="17"/>
      <c r="R26" s="18" t="s">
        <v>95</v>
      </c>
      <c r="S26" s="19" t="s">
        <v>196</v>
      </c>
      <c r="T26" s="15" t="str">
        <f aca="false">IF(R26="維持",J26,IF(R26="排除","無關新聞事件",IFERROR(INDEX(事件規則!$B$2:$B$53,MATCH(S26,事件規則!$A$2:$A$53,0)),"")))</f>
        <v>CDS利差擴大／信用風險升高</v>
      </c>
      <c r="U26" s="20" t="n">
        <f aca="false">IF(R26="維持",K26,IF(R26="排除",0,IFERROR(INDEX(事件規則!$C$2:$C$53,MATCH(S26,事件規則!$A$2:$A$53,0)),"")))</f>
        <v>3</v>
      </c>
      <c r="V26" s="21"/>
      <c r="W26" s="22"/>
      <c r="X26" s="10" t="str">
        <f aca="false">IF(AND(R26="修改",S26=""),"請選新事件代碼",IF(AND(R26&lt;&gt;"修改",S26&lt;&gt;""),"只有「修改」才需填代碼",""))</f>
        <v/>
      </c>
      <c r="Y26" s="21"/>
      <c r="Z26" s="22"/>
      <c r="AA26" s="12" t="s">
        <v>200</v>
      </c>
      <c r="AB26" s="12"/>
    </row>
    <row r="27" customFormat="false" ht="29.85" hidden="false" customHeight="false" outlineLevel="0" collapsed="false">
      <c r="A27" s="9" t="n">
        <v>26</v>
      </c>
      <c r="B27" s="9" t="s">
        <v>57</v>
      </c>
      <c r="C27" s="9" t="s">
        <v>201</v>
      </c>
      <c r="D27" s="10" t="s">
        <v>202</v>
      </c>
      <c r="E27" s="11" t="s">
        <v>203</v>
      </c>
      <c r="F27" s="10" t="s">
        <v>204</v>
      </c>
      <c r="G27" s="12" t="s">
        <v>205</v>
      </c>
      <c r="H27" s="13" t="n">
        <v>-0.874</v>
      </c>
      <c r="I27" s="14" t="s">
        <v>206</v>
      </c>
      <c r="J27" s="15" t="s">
        <v>207</v>
      </c>
      <c r="K27" s="9" t="n">
        <v>5</v>
      </c>
      <c r="L27" s="9"/>
      <c r="M27" s="16" t="s">
        <v>53</v>
      </c>
      <c r="N27" s="14"/>
      <c r="O27" s="17" t="s">
        <v>54</v>
      </c>
      <c r="P27" s="10" t="s">
        <v>208</v>
      </c>
      <c r="Q27" s="17"/>
      <c r="R27" s="18" t="s">
        <v>53</v>
      </c>
      <c r="S27" s="19"/>
      <c r="T27" s="15" t="str">
        <f aca="false">IF(R27="維持",J27,IF(R27="排除","無關新聞事件",IFERROR(INDEX(事件規則!$B$2:$B$53,MATCH(S27,事件規則!$A$2:$A$53,0)),"")))</f>
        <v>無關新聞事件</v>
      </c>
      <c r="U27" s="20" t="n">
        <f aca="false">IF(R27="維持",K27,IF(R27="排除",0,IFERROR(INDEX(事件規則!$C$2:$C$53,MATCH(S27,事件規則!$A$2:$A$53,0)),"")))</f>
        <v>0</v>
      </c>
      <c r="V27" s="21"/>
      <c r="W27" s="22"/>
      <c r="X27" s="10" t="str">
        <f aca="false">IF(AND(R27="修改",S27=""),"請選新事件代碼",IF(AND(R27&lt;&gt;"修改",S27&lt;&gt;""),"只有「修改」才需填代碼",""))</f>
        <v/>
      </c>
      <c r="Y27" s="21"/>
      <c r="Z27" s="22"/>
      <c r="AA27" s="12" t="s">
        <v>209</v>
      </c>
      <c r="AB27" s="12"/>
    </row>
    <row r="28" customFormat="false" ht="29.85" hidden="false" customHeight="false" outlineLevel="0" collapsed="false">
      <c r="A28" s="9" t="n">
        <v>27</v>
      </c>
      <c r="B28" s="9" t="s">
        <v>57</v>
      </c>
      <c r="C28" s="9" t="s">
        <v>210</v>
      </c>
      <c r="D28" s="10" t="s">
        <v>211</v>
      </c>
      <c r="E28" s="11" t="s">
        <v>212</v>
      </c>
      <c r="F28" s="10" t="s">
        <v>213</v>
      </c>
      <c r="G28" s="12" t="s">
        <v>214</v>
      </c>
      <c r="H28" s="13" t="n">
        <v>-0.947</v>
      </c>
      <c r="I28" s="14" t="s">
        <v>206</v>
      </c>
      <c r="J28" s="15" t="s">
        <v>207</v>
      </c>
      <c r="K28" s="9" t="n">
        <v>5</v>
      </c>
      <c r="L28" s="9"/>
      <c r="M28" s="16" t="s">
        <v>53</v>
      </c>
      <c r="N28" s="14"/>
      <c r="O28" s="17" t="s">
        <v>54</v>
      </c>
      <c r="P28" s="10" t="s">
        <v>215</v>
      </c>
      <c r="Q28" s="17"/>
      <c r="R28" s="18" t="s">
        <v>53</v>
      </c>
      <c r="S28" s="19"/>
      <c r="T28" s="15" t="str">
        <f aca="false">IF(R28="維持",J28,IF(R28="排除","無關新聞事件",IFERROR(INDEX(事件規則!$B$2:$B$53,MATCH(S28,事件規則!$A$2:$A$53,0)),"")))</f>
        <v>無關新聞事件</v>
      </c>
      <c r="U28" s="20" t="n">
        <f aca="false">IF(R28="維持",K28,IF(R28="排除",0,IFERROR(INDEX(事件規則!$C$2:$C$53,MATCH(S28,事件規則!$A$2:$A$53,0)),"")))</f>
        <v>0</v>
      </c>
      <c r="V28" s="21"/>
      <c r="W28" s="22"/>
      <c r="X28" s="10" t="str">
        <f aca="false">IF(AND(R28="修改",S28=""),"請選新事件代碼",IF(AND(R28&lt;&gt;"修改",S28&lt;&gt;""),"只有「修改」才需填代碼",""))</f>
        <v/>
      </c>
      <c r="Y28" s="21"/>
      <c r="Z28" s="22"/>
      <c r="AA28" s="12" t="s">
        <v>216</v>
      </c>
      <c r="AB28" s="12"/>
    </row>
    <row r="29" customFormat="false" ht="29.85" hidden="false" customHeight="false" outlineLevel="0" collapsed="false">
      <c r="A29" s="9" t="n">
        <v>28</v>
      </c>
      <c r="B29" s="9" t="s">
        <v>67</v>
      </c>
      <c r="C29" s="9" t="s">
        <v>201</v>
      </c>
      <c r="D29" s="10" t="s">
        <v>202</v>
      </c>
      <c r="E29" s="11" t="s">
        <v>203</v>
      </c>
      <c r="F29" s="10" t="s">
        <v>204</v>
      </c>
      <c r="G29" s="12" t="s">
        <v>217</v>
      </c>
      <c r="H29" s="13" t="n">
        <v>-0.874</v>
      </c>
      <c r="I29" s="14" t="s">
        <v>206</v>
      </c>
      <c r="J29" s="15" t="s">
        <v>207</v>
      </c>
      <c r="K29" s="9" t="n">
        <v>5</v>
      </c>
      <c r="L29" s="9"/>
      <c r="M29" s="16" t="s">
        <v>53</v>
      </c>
      <c r="N29" s="14"/>
      <c r="O29" s="17" t="s">
        <v>54</v>
      </c>
      <c r="P29" s="10" t="s">
        <v>208</v>
      </c>
      <c r="Q29" s="17"/>
      <c r="R29" s="18" t="s">
        <v>53</v>
      </c>
      <c r="S29" s="19"/>
      <c r="T29" s="15" t="str">
        <f aca="false">IF(R29="維持",J29,IF(R29="排除","無關新聞事件",IFERROR(INDEX(事件規則!$B$2:$B$53,MATCH(S29,事件規則!$A$2:$A$53,0)),"")))</f>
        <v>無關新聞事件</v>
      </c>
      <c r="U29" s="20" t="n">
        <f aca="false">IF(R29="維持",K29,IF(R29="排除",0,IFERROR(INDEX(事件規則!$C$2:$C$53,MATCH(S29,事件規則!$A$2:$A$53,0)),"")))</f>
        <v>0</v>
      </c>
      <c r="V29" s="21"/>
      <c r="W29" s="22"/>
      <c r="X29" s="10" t="str">
        <f aca="false">IF(AND(R29="修改",S29=""),"請選新事件代碼",IF(AND(R29&lt;&gt;"修改",S29&lt;&gt;""),"只有「修改」才需填代碼",""))</f>
        <v/>
      </c>
      <c r="Y29" s="21"/>
      <c r="Z29" s="22"/>
      <c r="AA29" s="12" t="s">
        <v>218</v>
      </c>
      <c r="AB29" s="12"/>
    </row>
    <row r="30" customFormat="false" ht="29.85" hidden="false" customHeight="false" outlineLevel="0" collapsed="false">
      <c r="A30" s="9" t="n">
        <v>29</v>
      </c>
      <c r="B30" s="9" t="s">
        <v>219</v>
      </c>
      <c r="C30" s="9" t="s">
        <v>201</v>
      </c>
      <c r="D30" s="10" t="s">
        <v>202</v>
      </c>
      <c r="E30" s="11" t="s">
        <v>220</v>
      </c>
      <c r="F30" s="15"/>
      <c r="G30" s="12" t="s">
        <v>221</v>
      </c>
      <c r="H30" s="13" t="n">
        <v>-0.923</v>
      </c>
      <c r="I30" s="14" t="s">
        <v>206</v>
      </c>
      <c r="J30" s="15" t="s">
        <v>207</v>
      </c>
      <c r="K30" s="9" t="n">
        <v>5</v>
      </c>
      <c r="L30" s="9"/>
      <c r="M30" s="16" t="s">
        <v>53</v>
      </c>
      <c r="N30" s="14"/>
      <c r="O30" s="17" t="s">
        <v>54</v>
      </c>
      <c r="P30" s="10" t="s">
        <v>208</v>
      </c>
      <c r="Q30" s="17"/>
      <c r="R30" s="18" t="s">
        <v>53</v>
      </c>
      <c r="S30" s="19"/>
      <c r="T30" s="15" t="str">
        <f aca="false">IF(R30="維持",J30,IF(R30="排除","無關新聞事件",IFERROR(INDEX(事件規則!$B$2:$B$53,MATCH(S30,事件規則!$A$2:$A$53,0)),"")))</f>
        <v>無關新聞事件</v>
      </c>
      <c r="U30" s="20" t="n">
        <f aca="false">IF(R30="維持",K30,IF(R30="排除",0,IFERROR(INDEX(事件規則!$C$2:$C$53,MATCH(S30,事件規則!$A$2:$A$53,0)),"")))</f>
        <v>0</v>
      </c>
      <c r="V30" s="21"/>
      <c r="W30" s="22"/>
      <c r="X30" s="10" t="str">
        <f aca="false">IF(AND(R30="修改",S30=""),"請選新事件代碼",IF(AND(R30&lt;&gt;"修改",S30&lt;&gt;""),"只有「修改」才需填代碼",""))</f>
        <v/>
      </c>
      <c r="Y30" s="21"/>
      <c r="Z30" s="22"/>
      <c r="AA30" s="12" t="s">
        <v>222</v>
      </c>
      <c r="AB30" s="12"/>
    </row>
    <row r="31" customFormat="false" ht="44" hidden="false" customHeight="false" outlineLevel="0" collapsed="false">
      <c r="A31" s="9" t="n">
        <v>30</v>
      </c>
      <c r="B31" s="9" t="s">
        <v>223</v>
      </c>
      <c r="C31" s="9" t="s">
        <v>224</v>
      </c>
      <c r="D31" s="10" t="s">
        <v>225</v>
      </c>
      <c r="E31" s="11" t="s">
        <v>226</v>
      </c>
      <c r="F31" s="15" t="s">
        <v>227</v>
      </c>
      <c r="G31" s="12" t="s">
        <v>228</v>
      </c>
      <c r="H31" s="13" t="n">
        <v>-0.025</v>
      </c>
      <c r="I31" s="14" t="s">
        <v>206</v>
      </c>
      <c r="J31" s="15" t="s">
        <v>207</v>
      </c>
      <c r="K31" s="9" t="n">
        <v>5</v>
      </c>
      <c r="L31" s="9"/>
      <c r="M31" s="16" t="s">
        <v>53</v>
      </c>
      <c r="N31" s="14"/>
      <c r="O31" s="17" t="s">
        <v>54</v>
      </c>
      <c r="P31" s="10" t="s">
        <v>229</v>
      </c>
      <c r="Q31" s="17"/>
      <c r="R31" s="18" t="s">
        <v>53</v>
      </c>
      <c r="S31" s="19"/>
      <c r="T31" s="15" t="str">
        <f aca="false">IF(R31="維持",J31,IF(R31="排除","無關新聞事件",IFERROR(INDEX(事件規則!$B$2:$B$53,MATCH(S31,事件規則!$A$2:$A$53,0)),"")))</f>
        <v>無關新聞事件</v>
      </c>
      <c r="U31" s="20" t="n">
        <f aca="false">IF(R31="維持",K31,IF(R31="排除",0,IFERROR(INDEX(事件規則!$C$2:$C$53,MATCH(S31,事件規則!$A$2:$A$53,0)),"")))</f>
        <v>0</v>
      </c>
      <c r="V31" s="21"/>
      <c r="W31" s="22"/>
      <c r="X31" s="10" t="str">
        <f aca="false">IF(AND(R31="修改",S31=""),"請選新事件代碼",IF(AND(R31&lt;&gt;"修改",S31&lt;&gt;""),"只有「修改」才需填代碼",""))</f>
        <v/>
      </c>
      <c r="Y31" s="21"/>
      <c r="Z31" s="22"/>
      <c r="AA31" s="12" t="s">
        <v>230</v>
      </c>
      <c r="AB31" s="12"/>
    </row>
    <row r="32" customFormat="false" ht="29.85" hidden="false" customHeight="false" outlineLevel="0" collapsed="false">
      <c r="A32" s="9" t="n">
        <v>31</v>
      </c>
      <c r="B32" s="9" t="s">
        <v>57</v>
      </c>
      <c r="C32" s="9" t="s">
        <v>231</v>
      </c>
      <c r="D32" s="10" t="s">
        <v>232</v>
      </c>
      <c r="E32" s="11" t="s">
        <v>233</v>
      </c>
      <c r="F32" s="10" t="s">
        <v>234</v>
      </c>
      <c r="G32" s="12" t="s">
        <v>235</v>
      </c>
      <c r="H32" s="13" t="n">
        <v>-0.523</v>
      </c>
      <c r="I32" s="14" t="s">
        <v>236</v>
      </c>
      <c r="J32" s="15" t="s">
        <v>237</v>
      </c>
      <c r="K32" s="9" t="n">
        <v>4</v>
      </c>
      <c r="L32" s="9"/>
      <c r="M32" s="16" t="s">
        <v>105</v>
      </c>
      <c r="N32" s="14"/>
      <c r="O32" s="17" t="s">
        <v>97</v>
      </c>
      <c r="P32" s="15" t="s">
        <v>238</v>
      </c>
      <c r="Q32" s="17"/>
      <c r="R32" s="18" t="s">
        <v>105</v>
      </c>
      <c r="S32" s="19"/>
      <c r="T32" s="15" t="str">
        <f aca="false">IF(R32="維持",J32,IF(R32="排除","無關新聞事件",IFERROR(INDEX(事件規則!$B$2:$B$53,MATCH(S32,事件規則!$A$2:$A$53,0)),"")))</f>
        <v>反壟斷調查</v>
      </c>
      <c r="U32" s="20" t="n">
        <f aca="false">IF(R32="維持",K32,IF(R32="排除",0,IFERROR(INDEX(事件規則!$C$2:$C$53,MATCH(S32,事件規則!$A$2:$A$53,0)),"")))</f>
        <v>4</v>
      </c>
      <c r="V32" s="21"/>
      <c r="W32" s="22"/>
      <c r="X32" s="10" t="str">
        <f aca="false">IF(AND(R32="修改",S32=""),"請選新事件代碼",IF(AND(R32&lt;&gt;"修改",S32&lt;&gt;""),"只有「修改」才需填代碼",""))</f>
        <v/>
      </c>
      <c r="Y32" s="21"/>
      <c r="Z32" s="22"/>
      <c r="AA32" s="12" t="s">
        <v>239</v>
      </c>
      <c r="AB32" s="12"/>
    </row>
    <row r="33" customFormat="false" ht="29.85" hidden="false" customHeight="false" outlineLevel="0" collapsed="false">
      <c r="A33" s="9" t="n">
        <v>32</v>
      </c>
      <c r="B33" s="9" t="s">
        <v>57</v>
      </c>
      <c r="C33" s="9" t="s">
        <v>240</v>
      </c>
      <c r="D33" s="10" t="s">
        <v>241</v>
      </c>
      <c r="E33" s="11" t="s">
        <v>242</v>
      </c>
      <c r="F33" s="15" t="s">
        <v>243</v>
      </c>
      <c r="G33" s="12" t="s">
        <v>244</v>
      </c>
      <c r="H33" s="13" t="n">
        <v>0.007</v>
      </c>
      <c r="I33" s="14" t="s">
        <v>236</v>
      </c>
      <c r="J33" s="15" t="s">
        <v>237</v>
      </c>
      <c r="K33" s="9" t="n">
        <v>4</v>
      </c>
      <c r="L33" s="9"/>
      <c r="M33" s="16" t="s">
        <v>105</v>
      </c>
      <c r="N33" s="14"/>
      <c r="O33" s="17" t="s">
        <v>97</v>
      </c>
      <c r="P33" s="10" t="s">
        <v>245</v>
      </c>
      <c r="Q33" s="17"/>
      <c r="R33" s="18" t="s">
        <v>105</v>
      </c>
      <c r="S33" s="19"/>
      <c r="T33" s="15" t="str">
        <f aca="false">IF(R33="維持",J33,IF(R33="排除","無關新聞事件",IFERROR(INDEX(事件規則!$B$2:$B$53,MATCH(S33,事件規則!$A$2:$A$53,0)),"")))</f>
        <v>反壟斷調查</v>
      </c>
      <c r="U33" s="20" t="n">
        <f aca="false">IF(R33="維持",K33,IF(R33="排除",0,IFERROR(INDEX(事件規則!$C$2:$C$53,MATCH(S33,事件規則!$A$2:$A$53,0)),"")))</f>
        <v>4</v>
      </c>
      <c r="V33" s="21"/>
      <c r="W33" s="22"/>
      <c r="X33" s="10" t="str">
        <f aca="false">IF(AND(R33="修改",S33=""),"請選新事件代碼",IF(AND(R33&lt;&gt;"修改",S33&lt;&gt;""),"只有「修改」才需填代碼",""))</f>
        <v/>
      </c>
      <c r="Y33" s="21"/>
      <c r="Z33" s="22"/>
      <c r="AA33" s="12" t="s">
        <v>246</v>
      </c>
      <c r="AB33" s="12"/>
    </row>
    <row r="34" customFormat="false" ht="29.85" hidden="false" customHeight="false" outlineLevel="0" collapsed="false">
      <c r="A34" s="9" t="n">
        <v>33</v>
      </c>
      <c r="B34" s="9" t="s">
        <v>57</v>
      </c>
      <c r="C34" s="9" t="s">
        <v>247</v>
      </c>
      <c r="D34" s="10" t="s">
        <v>248</v>
      </c>
      <c r="E34" s="11" t="s">
        <v>249</v>
      </c>
      <c r="F34" s="15" t="s">
        <v>250</v>
      </c>
      <c r="G34" s="12" t="s">
        <v>251</v>
      </c>
      <c r="H34" s="13" t="n">
        <v>-0.059</v>
      </c>
      <c r="I34" s="14" t="s">
        <v>236</v>
      </c>
      <c r="J34" s="15" t="s">
        <v>237</v>
      </c>
      <c r="K34" s="9" t="n">
        <v>4</v>
      </c>
      <c r="L34" s="9"/>
      <c r="M34" s="16" t="s">
        <v>53</v>
      </c>
      <c r="N34" s="14"/>
      <c r="O34" s="17" t="s">
        <v>97</v>
      </c>
      <c r="P34" s="10" t="s">
        <v>252</v>
      </c>
      <c r="Q34" s="17"/>
      <c r="R34" s="18" t="s">
        <v>53</v>
      </c>
      <c r="S34" s="19"/>
      <c r="T34" s="15" t="str">
        <f aca="false">IF(R34="維持",J34,IF(R34="排除","無關新聞事件",IFERROR(INDEX(事件規則!$B$2:$B$53,MATCH(S34,事件規則!$A$2:$A$53,0)),"")))</f>
        <v>無關新聞事件</v>
      </c>
      <c r="U34" s="20" t="n">
        <f aca="false">IF(R34="維持",K34,IF(R34="排除",0,IFERROR(INDEX(事件規則!$C$2:$C$53,MATCH(S34,事件規則!$A$2:$A$53,0)),"")))</f>
        <v>0</v>
      </c>
      <c r="V34" s="21"/>
      <c r="W34" s="22"/>
      <c r="X34" s="10" t="str">
        <f aca="false">IF(AND(R34="修改",S34=""),"請選新事件代碼",IF(AND(R34&lt;&gt;"修改",S34&lt;&gt;""),"只有「修改」才需填代碼",""))</f>
        <v/>
      </c>
      <c r="Y34" s="21"/>
      <c r="Z34" s="22"/>
      <c r="AA34" s="12" t="s">
        <v>253</v>
      </c>
      <c r="AB34" s="12"/>
    </row>
    <row r="35" customFormat="false" ht="29.85" hidden="false" customHeight="false" outlineLevel="0" collapsed="false">
      <c r="A35" s="9" t="n">
        <v>34</v>
      </c>
      <c r="B35" s="9" t="s">
        <v>62</v>
      </c>
      <c r="C35" s="9" t="s">
        <v>254</v>
      </c>
      <c r="D35" s="10" t="s">
        <v>255</v>
      </c>
      <c r="E35" s="11" t="s">
        <v>256</v>
      </c>
      <c r="F35" s="10" t="s">
        <v>257</v>
      </c>
      <c r="G35" s="12" t="s">
        <v>94</v>
      </c>
      <c r="H35" s="13" t="n">
        <v>-0.074</v>
      </c>
      <c r="I35" s="14" t="s">
        <v>236</v>
      </c>
      <c r="J35" s="15" t="s">
        <v>237</v>
      </c>
      <c r="K35" s="9" t="n">
        <v>4</v>
      </c>
      <c r="L35" s="9"/>
      <c r="M35" s="16" t="s">
        <v>105</v>
      </c>
      <c r="N35" s="14"/>
      <c r="O35" s="17" t="s">
        <v>97</v>
      </c>
      <c r="P35" s="10" t="s">
        <v>258</v>
      </c>
      <c r="Q35" s="17"/>
      <c r="R35" s="18" t="s">
        <v>105</v>
      </c>
      <c r="S35" s="19"/>
      <c r="T35" s="15" t="str">
        <f aca="false">IF(R35="維持",J35,IF(R35="排除","無關新聞事件",IFERROR(INDEX(事件規則!$B$2:$B$53,MATCH(S35,事件規則!$A$2:$A$53,0)),"")))</f>
        <v>反壟斷調查</v>
      </c>
      <c r="U35" s="20" t="n">
        <f aca="false">IF(R35="維持",K35,IF(R35="排除",0,IFERROR(INDEX(事件規則!$C$2:$C$53,MATCH(S35,事件規則!$A$2:$A$53,0)),"")))</f>
        <v>4</v>
      </c>
      <c r="V35" s="21"/>
      <c r="W35" s="22"/>
      <c r="X35" s="10" t="str">
        <f aca="false">IF(AND(R35="修改",S35=""),"請選新事件代碼",IF(AND(R35&lt;&gt;"修改",S35&lt;&gt;""),"只有「修改」才需填代碼",""))</f>
        <v/>
      </c>
      <c r="Y35" s="21"/>
      <c r="Z35" s="22"/>
      <c r="AA35" s="12" t="s">
        <v>259</v>
      </c>
      <c r="AB35" s="12"/>
    </row>
    <row r="36" customFormat="false" ht="23.85" hidden="false" customHeight="false" outlineLevel="0" collapsed="false">
      <c r="A36" s="9" t="n">
        <v>35</v>
      </c>
      <c r="B36" s="9" t="s">
        <v>108</v>
      </c>
      <c r="C36" s="9" t="s">
        <v>260</v>
      </c>
      <c r="D36" s="10" t="s">
        <v>261</v>
      </c>
      <c r="E36" s="11" t="s">
        <v>262</v>
      </c>
      <c r="F36" s="15"/>
      <c r="G36" s="12" t="s">
        <v>263</v>
      </c>
      <c r="H36" s="13" t="n">
        <v>-0.526</v>
      </c>
      <c r="I36" s="14" t="s">
        <v>236</v>
      </c>
      <c r="J36" s="15" t="s">
        <v>237</v>
      </c>
      <c r="K36" s="9" t="n">
        <v>4</v>
      </c>
      <c r="L36" s="9"/>
      <c r="M36" s="16" t="s">
        <v>53</v>
      </c>
      <c r="N36" s="14"/>
      <c r="O36" s="17" t="s">
        <v>97</v>
      </c>
      <c r="P36" s="15" t="s">
        <v>264</v>
      </c>
      <c r="Q36" s="17"/>
      <c r="R36" s="18" t="s">
        <v>53</v>
      </c>
      <c r="S36" s="19"/>
      <c r="T36" s="15" t="str">
        <f aca="false">IF(R36="維持",J36,IF(R36="排除","無關新聞事件",IFERROR(INDEX(事件規則!$B$2:$B$53,MATCH(S36,事件規則!$A$2:$A$53,0)),"")))</f>
        <v>無關新聞事件</v>
      </c>
      <c r="U36" s="20" t="n">
        <f aca="false">IF(R36="維持",K36,IF(R36="排除",0,IFERROR(INDEX(事件規則!$C$2:$C$53,MATCH(S36,事件規則!$A$2:$A$53,0)),"")))</f>
        <v>0</v>
      </c>
      <c r="V36" s="21"/>
      <c r="W36" s="22"/>
      <c r="X36" s="10" t="str">
        <f aca="false">IF(AND(R36="修改",S36=""),"請選新事件代碼",IF(AND(R36&lt;&gt;"修改",S36&lt;&gt;""),"只有「修改」才需填代碼",""))</f>
        <v/>
      </c>
      <c r="Y36" s="21"/>
      <c r="Z36" s="22"/>
      <c r="AA36" s="12" t="s">
        <v>265</v>
      </c>
      <c r="AB36" s="12"/>
    </row>
    <row r="37" customFormat="false" ht="29.85" hidden="false" customHeight="false" outlineLevel="0" collapsed="false">
      <c r="A37" s="9" t="n">
        <v>36</v>
      </c>
      <c r="B37" s="9" t="s">
        <v>266</v>
      </c>
      <c r="C37" s="9" t="s">
        <v>80</v>
      </c>
      <c r="D37" s="10" t="s">
        <v>81</v>
      </c>
      <c r="E37" s="11" t="s">
        <v>267</v>
      </c>
      <c r="F37" s="15"/>
      <c r="G37" s="12" t="s">
        <v>195</v>
      </c>
      <c r="H37" s="13" t="n">
        <v>-0.93</v>
      </c>
      <c r="I37" s="14" t="s">
        <v>236</v>
      </c>
      <c r="J37" s="15" t="s">
        <v>237</v>
      </c>
      <c r="K37" s="9" t="n">
        <v>4</v>
      </c>
      <c r="L37" s="9"/>
      <c r="M37" s="16" t="s">
        <v>105</v>
      </c>
      <c r="N37" s="14"/>
      <c r="O37" s="17" t="s">
        <v>54</v>
      </c>
      <c r="P37" s="10" t="s">
        <v>268</v>
      </c>
      <c r="Q37" s="17"/>
      <c r="R37" s="18" t="s">
        <v>105</v>
      </c>
      <c r="S37" s="19"/>
      <c r="T37" s="15" t="str">
        <f aca="false">IF(R37="維持",J37,IF(R37="排除","無關新聞事件",IFERROR(INDEX(事件規則!$B$2:$B$53,MATCH(S37,事件規則!$A$2:$A$53,0)),"")))</f>
        <v>反壟斷調查</v>
      </c>
      <c r="U37" s="20" t="n">
        <f aca="false">IF(R37="維持",K37,IF(R37="排除",0,IFERROR(INDEX(事件規則!$C$2:$C$53,MATCH(S37,事件規則!$A$2:$A$53,0)),"")))</f>
        <v>4</v>
      </c>
      <c r="V37" s="21"/>
      <c r="W37" s="22"/>
      <c r="X37" s="10" t="str">
        <f aca="false">IF(AND(R37="修改",S37=""),"請選新事件代碼",IF(AND(R37&lt;&gt;"修改",S37&lt;&gt;""),"只有「修改」才需填代碼",""))</f>
        <v/>
      </c>
      <c r="Y37" s="21"/>
      <c r="Z37" s="22"/>
      <c r="AA37" s="12" t="s">
        <v>269</v>
      </c>
      <c r="AB37" s="12"/>
    </row>
    <row r="38" customFormat="false" ht="23.85" hidden="false" customHeight="false" outlineLevel="0" collapsed="false">
      <c r="A38" s="9" t="n">
        <v>37</v>
      </c>
      <c r="B38" s="9" t="s">
        <v>270</v>
      </c>
      <c r="C38" s="9" t="s">
        <v>119</v>
      </c>
      <c r="D38" s="10" t="s">
        <v>120</v>
      </c>
      <c r="E38" s="11" t="s">
        <v>271</v>
      </c>
      <c r="F38" s="15"/>
      <c r="G38" s="12" t="s">
        <v>251</v>
      </c>
      <c r="H38" s="13" t="n">
        <v>-0.892</v>
      </c>
      <c r="I38" s="14" t="s">
        <v>236</v>
      </c>
      <c r="J38" s="15" t="s">
        <v>237</v>
      </c>
      <c r="K38" s="9" t="n">
        <v>4</v>
      </c>
      <c r="L38" s="9"/>
      <c r="M38" s="16" t="s">
        <v>105</v>
      </c>
      <c r="N38" s="14"/>
      <c r="O38" s="17" t="s">
        <v>54</v>
      </c>
      <c r="P38" s="15" t="s">
        <v>272</v>
      </c>
      <c r="Q38" s="17"/>
      <c r="R38" s="18" t="s">
        <v>105</v>
      </c>
      <c r="S38" s="19"/>
      <c r="T38" s="15" t="str">
        <f aca="false">IF(R38="維持",J38,IF(R38="排除","無關新聞事件",IFERROR(INDEX(事件規則!$B$2:$B$53,MATCH(S38,事件規則!$A$2:$A$53,0)),"")))</f>
        <v>反壟斷調查</v>
      </c>
      <c r="U38" s="20" t="n">
        <f aca="false">IF(R38="維持",K38,IF(R38="排除",0,IFERROR(INDEX(事件規則!$C$2:$C$53,MATCH(S38,事件規則!$A$2:$A$53,0)),"")))</f>
        <v>4</v>
      </c>
      <c r="V38" s="21"/>
      <c r="W38" s="22"/>
      <c r="X38" s="10" t="str">
        <f aca="false">IF(AND(R38="修改",S38=""),"請選新事件代碼",IF(AND(R38&lt;&gt;"修改",S38&lt;&gt;""),"只有「修改」才需填代碼",""))</f>
        <v/>
      </c>
      <c r="Y38" s="21"/>
      <c r="Z38" s="22"/>
      <c r="AA38" s="12" t="s">
        <v>273</v>
      </c>
      <c r="AB38" s="12"/>
    </row>
    <row r="39" customFormat="false" ht="23.85" hidden="false" customHeight="false" outlineLevel="0" collapsed="false">
      <c r="A39" s="9" t="n">
        <v>38</v>
      </c>
      <c r="B39" s="9" t="s">
        <v>270</v>
      </c>
      <c r="C39" s="9" t="s">
        <v>119</v>
      </c>
      <c r="D39" s="10" t="s">
        <v>120</v>
      </c>
      <c r="E39" s="11" t="s">
        <v>274</v>
      </c>
      <c r="F39" s="15"/>
      <c r="G39" s="12" t="s">
        <v>195</v>
      </c>
      <c r="H39" s="13" t="n">
        <v>-0.878</v>
      </c>
      <c r="I39" s="14" t="s">
        <v>236</v>
      </c>
      <c r="J39" s="15" t="s">
        <v>237</v>
      </c>
      <c r="K39" s="9" t="n">
        <v>4</v>
      </c>
      <c r="L39" s="9"/>
      <c r="M39" s="16" t="s">
        <v>105</v>
      </c>
      <c r="N39" s="14"/>
      <c r="O39" s="17" t="s">
        <v>54</v>
      </c>
      <c r="P39" s="15" t="s">
        <v>272</v>
      </c>
      <c r="Q39" s="17"/>
      <c r="R39" s="18" t="s">
        <v>105</v>
      </c>
      <c r="S39" s="19"/>
      <c r="T39" s="15" t="str">
        <f aca="false">IF(R39="維持",J39,IF(R39="排除","無關新聞事件",IFERROR(INDEX(事件規則!$B$2:$B$53,MATCH(S39,事件規則!$A$2:$A$53,0)),"")))</f>
        <v>反壟斷調查</v>
      </c>
      <c r="U39" s="20" t="n">
        <f aca="false">IF(R39="維持",K39,IF(R39="排除",0,IFERROR(INDEX(事件規則!$C$2:$C$53,MATCH(S39,事件規則!$A$2:$A$53,0)),"")))</f>
        <v>4</v>
      </c>
      <c r="V39" s="21"/>
      <c r="W39" s="22"/>
      <c r="X39" s="10" t="str">
        <f aca="false">IF(AND(R39="修改",S39=""),"請選新事件代碼",IF(AND(R39&lt;&gt;"修改",S39&lt;&gt;""),"只有「修改」才需填代碼",""))</f>
        <v/>
      </c>
      <c r="Y39" s="21"/>
      <c r="Z39" s="22"/>
      <c r="AA39" s="12" t="s">
        <v>275</v>
      </c>
      <c r="AB39" s="12"/>
    </row>
    <row r="40" customFormat="false" ht="23.85" hidden="false" customHeight="false" outlineLevel="0" collapsed="false">
      <c r="A40" s="9" t="n">
        <v>39</v>
      </c>
      <c r="B40" s="9" t="s">
        <v>270</v>
      </c>
      <c r="C40" s="9" t="s">
        <v>119</v>
      </c>
      <c r="D40" s="10" t="s">
        <v>120</v>
      </c>
      <c r="E40" s="11" t="s">
        <v>276</v>
      </c>
      <c r="F40" s="15"/>
      <c r="G40" s="12" t="s">
        <v>277</v>
      </c>
      <c r="H40" s="13" t="n">
        <v>-0.875</v>
      </c>
      <c r="I40" s="14" t="s">
        <v>236</v>
      </c>
      <c r="J40" s="15" t="s">
        <v>237</v>
      </c>
      <c r="K40" s="9" t="n">
        <v>4</v>
      </c>
      <c r="L40" s="9"/>
      <c r="M40" s="16" t="s">
        <v>105</v>
      </c>
      <c r="N40" s="14"/>
      <c r="O40" s="17" t="s">
        <v>54</v>
      </c>
      <c r="P40" s="15" t="s">
        <v>272</v>
      </c>
      <c r="Q40" s="17"/>
      <c r="R40" s="18" t="s">
        <v>105</v>
      </c>
      <c r="S40" s="19"/>
      <c r="T40" s="15" t="str">
        <f aca="false">IF(R40="維持",J40,IF(R40="排除","無關新聞事件",IFERROR(INDEX(事件規則!$B$2:$B$53,MATCH(S40,事件規則!$A$2:$A$53,0)),"")))</f>
        <v>反壟斷調查</v>
      </c>
      <c r="U40" s="20" t="n">
        <f aca="false">IF(R40="維持",K40,IF(R40="排除",0,IFERROR(INDEX(事件規則!$C$2:$C$53,MATCH(S40,事件規則!$A$2:$A$53,0)),"")))</f>
        <v>4</v>
      </c>
      <c r="V40" s="21"/>
      <c r="W40" s="22"/>
      <c r="X40" s="10" t="str">
        <f aca="false">IF(AND(R40="修改",S40=""),"請選新事件代碼",IF(AND(R40&lt;&gt;"修改",S40&lt;&gt;""),"只有「修改」才需填代碼",""))</f>
        <v/>
      </c>
      <c r="Y40" s="21"/>
      <c r="Z40" s="22"/>
      <c r="AA40" s="12" t="s">
        <v>278</v>
      </c>
      <c r="AB40" s="12"/>
    </row>
    <row r="41" customFormat="false" ht="29.85" hidden="false" customHeight="false" outlineLevel="0" collapsed="false">
      <c r="A41" s="9" t="n">
        <v>40</v>
      </c>
      <c r="B41" s="9" t="s">
        <v>279</v>
      </c>
      <c r="C41" s="9" t="s">
        <v>280</v>
      </c>
      <c r="D41" s="10" t="s">
        <v>281</v>
      </c>
      <c r="E41" s="11" t="s">
        <v>282</v>
      </c>
      <c r="F41" s="15"/>
      <c r="G41" s="12" t="s">
        <v>283</v>
      </c>
      <c r="H41" s="13" t="n">
        <v>0.027</v>
      </c>
      <c r="I41" s="14" t="s">
        <v>236</v>
      </c>
      <c r="J41" s="15" t="s">
        <v>237</v>
      </c>
      <c r="K41" s="9" t="n">
        <v>4</v>
      </c>
      <c r="L41" s="9"/>
      <c r="M41" s="16" t="s">
        <v>105</v>
      </c>
      <c r="N41" s="14"/>
      <c r="O41" s="17" t="s">
        <v>97</v>
      </c>
      <c r="P41" s="15" t="s">
        <v>284</v>
      </c>
      <c r="Q41" s="17"/>
      <c r="R41" s="18" t="s">
        <v>105</v>
      </c>
      <c r="S41" s="19"/>
      <c r="T41" s="15" t="str">
        <f aca="false">IF(R41="維持",J41,IF(R41="排除","無關新聞事件",IFERROR(INDEX(事件規則!$B$2:$B$53,MATCH(S41,事件規則!$A$2:$A$53,0)),"")))</f>
        <v>反壟斷調查</v>
      </c>
      <c r="U41" s="20" t="n">
        <f aca="false">IF(R41="維持",K41,IF(R41="排除",0,IFERROR(INDEX(事件規則!$C$2:$C$53,MATCH(S41,事件規則!$A$2:$A$53,0)),"")))</f>
        <v>4</v>
      </c>
      <c r="V41" s="21"/>
      <c r="W41" s="22"/>
      <c r="X41" s="10" t="str">
        <f aca="false">IF(AND(R41="修改",S41=""),"請選新事件代碼",IF(AND(R41&lt;&gt;"修改",S41&lt;&gt;""),"只有「修改」才需填代碼",""))</f>
        <v/>
      </c>
      <c r="Y41" s="21"/>
      <c r="Z41" s="22"/>
      <c r="AA41" s="12" t="s">
        <v>285</v>
      </c>
      <c r="AB41" s="12"/>
    </row>
    <row r="42" customFormat="false" ht="29.85" hidden="false" customHeight="false" outlineLevel="0" collapsed="false">
      <c r="A42" s="9" t="n">
        <v>41</v>
      </c>
      <c r="B42" s="9" t="s">
        <v>286</v>
      </c>
      <c r="C42" s="9" t="s">
        <v>240</v>
      </c>
      <c r="D42" s="10" t="s">
        <v>241</v>
      </c>
      <c r="E42" s="11" t="s">
        <v>287</v>
      </c>
      <c r="F42" s="15"/>
      <c r="G42" s="12" t="s">
        <v>288</v>
      </c>
      <c r="H42" s="13" t="n">
        <v>-0.915</v>
      </c>
      <c r="I42" s="14" t="s">
        <v>236</v>
      </c>
      <c r="J42" s="15" t="s">
        <v>237</v>
      </c>
      <c r="K42" s="9" t="n">
        <v>4</v>
      </c>
      <c r="L42" s="9"/>
      <c r="M42" s="16" t="s">
        <v>105</v>
      </c>
      <c r="N42" s="14"/>
      <c r="O42" s="17" t="s">
        <v>97</v>
      </c>
      <c r="P42" s="10" t="s">
        <v>245</v>
      </c>
      <c r="Q42" s="17"/>
      <c r="R42" s="18" t="s">
        <v>105</v>
      </c>
      <c r="S42" s="19"/>
      <c r="T42" s="15" t="str">
        <f aca="false">IF(R42="維持",J42,IF(R42="排除","無關新聞事件",IFERROR(INDEX(事件規則!$B$2:$B$53,MATCH(S42,事件規則!$A$2:$A$53,0)),"")))</f>
        <v>反壟斷調查</v>
      </c>
      <c r="U42" s="20" t="n">
        <f aca="false">IF(R42="維持",K42,IF(R42="排除",0,IFERROR(INDEX(事件規則!$C$2:$C$53,MATCH(S42,事件規則!$A$2:$A$53,0)),"")))</f>
        <v>4</v>
      </c>
      <c r="V42" s="21"/>
      <c r="W42" s="22"/>
      <c r="X42" s="10" t="str">
        <f aca="false">IF(AND(R42="修改",S42=""),"請選新事件代碼",IF(AND(R42&lt;&gt;"修改",S42&lt;&gt;""),"只有「修改」才需填代碼",""))</f>
        <v/>
      </c>
      <c r="Y42" s="21"/>
      <c r="Z42" s="22"/>
      <c r="AA42" s="12" t="s">
        <v>289</v>
      </c>
      <c r="AB42" s="12"/>
    </row>
    <row r="43" customFormat="false" ht="29.85" hidden="false" customHeight="false" outlineLevel="0" collapsed="false">
      <c r="A43" s="9" t="n">
        <v>42</v>
      </c>
      <c r="B43" s="9" t="s">
        <v>286</v>
      </c>
      <c r="C43" s="9" t="s">
        <v>72</v>
      </c>
      <c r="D43" s="10" t="s">
        <v>73</v>
      </c>
      <c r="E43" s="11" t="s">
        <v>290</v>
      </c>
      <c r="F43" s="15"/>
      <c r="G43" s="12" t="s">
        <v>291</v>
      </c>
      <c r="H43" s="13" t="n">
        <v>-0.109</v>
      </c>
      <c r="I43" s="14" t="s">
        <v>236</v>
      </c>
      <c r="J43" s="15" t="s">
        <v>237</v>
      </c>
      <c r="K43" s="9" t="n">
        <v>4</v>
      </c>
      <c r="L43" s="9"/>
      <c r="M43" s="16" t="s">
        <v>105</v>
      </c>
      <c r="N43" s="14"/>
      <c r="O43" s="17" t="s">
        <v>292</v>
      </c>
      <c r="P43" s="15" t="s">
        <v>293</v>
      </c>
      <c r="Q43" s="17" t="s">
        <v>169</v>
      </c>
      <c r="R43" s="18" t="s">
        <v>105</v>
      </c>
      <c r="S43" s="19"/>
      <c r="T43" s="15" t="str">
        <f aca="false">IF(R43="維持",J43,IF(R43="排除","無關新聞事件",IFERROR(INDEX(事件規則!$B$2:$B$53,MATCH(S43,事件規則!$A$2:$A$53,0)),"")))</f>
        <v>反壟斷調查</v>
      </c>
      <c r="U43" s="20" t="n">
        <f aca="false">IF(R43="維持",K43,IF(R43="排除",0,IFERROR(INDEX(事件規則!$C$2:$C$53,MATCH(S43,事件規則!$A$2:$A$53,0)),"")))</f>
        <v>4</v>
      </c>
      <c r="V43" s="21"/>
      <c r="W43" s="22"/>
      <c r="X43" s="10" t="str">
        <f aca="false">IF(AND(R43="修改",S43=""),"請選新事件代碼",IF(AND(R43&lt;&gt;"修改",S43&lt;&gt;""),"只有「修改」才需填代碼",""))</f>
        <v/>
      </c>
      <c r="Y43" s="21"/>
      <c r="Z43" s="22"/>
      <c r="AA43" s="12" t="s">
        <v>294</v>
      </c>
      <c r="AB43" s="12"/>
    </row>
    <row r="44" customFormat="false" ht="29.85" hidden="false" customHeight="false" outlineLevel="0" collapsed="false">
      <c r="A44" s="9" t="n">
        <v>43</v>
      </c>
      <c r="B44" s="9" t="s">
        <v>295</v>
      </c>
      <c r="C44" s="9" t="s">
        <v>240</v>
      </c>
      <c r="D44" s="10" t="s">
        <v>241</v>
      </c>
      <c r="E44" s="11" t="s">
        <v>296</v>
      </c>
      <c r="F44" s="15"/>
      <c r="G44" s="12" t="s">
        <v>297</v>
      </c>
      <c r="H44" s="13" t="n">
        <v>-0.683</v>
      </c>
      <c r="I44" s="14" t="s">
        <v>236</v>
      </c>
      <c r="J44" s="15" t="s">
        <v>237</v>
      </c>
      <c r="K44" s="9" t="n">
        <v>4</v>
      </c>
      <c r="L44" s="9"/>
      <c r="M44" s="16" t="s">
        <v>105</v>
      </c>
      <c r="N44" s="14"/>
      <c r="O44" s="17" t="s">
        <v>97</v>
      </c>
      <c r="P44" s="10" t="s">
        <v>245</v>
      </c>
      <c r="Q44" s="17"/>
      <c r="R44" s="18" t="s">
        <v>105</v>
      </c>
      <c r="S44" s="19"/>
      <c r="T44" s="15" t="str">
        <f aca="false">IF(R44="維持",J44,IF(R44="排除","無關新聞事件",IFERROR(INDEX(事件規則!$B$2:$B$53,MATCH(S44,事件規則!$A$2:$A$53,0)),"")))</f>
        <v>反壟斷調查</v>
      </c>
      <c r="U44" s="20" t="n">
        <f aca="false">IF(R44="維持",K44,IF(R44="排除",0,IFERROR(INDEX(事件規則!$C$2:$C$53,MATCH(S44,事件規則!$A$2:$A$53,0)),"")))</f>
        <v>4</v>
      </c>
      <c r="V44" s="21"/>
      <c r="W44" s="22"/>
      <c r="X44" s="10" t="str">
        <f aca="false">IF(AND(R44="修改",S44=""),"請選新事件代碼",IF(AND(R44&lt;&gt;"修改",S44&lt;&gt;""),"只有「修改」才需填代碼",""))</f>
        <v/>
      </c>
      <c r="Y44" s="21"/>
      <c r="Z44" s="22"/>
      <c r="AA44" s="12" t="s">
        <v>298</v>
      </c>
      <c r="AB44" s="12"/>
    </row>
    <row r="45" customFormat="false" ht="29.85" hidden="false" customHeight="false" outlineLevel="0" collapsed="false">
      <c r="A45" s="9" t="n">
        <v>44</v>
      </c>
      <c r="B45" s="9" t="s">
        <v>295</v>
      </c>
      <c r="C45" s="9" t="s">
        <v>299</v>
      </c>
      <c r="D45" s="10" t="s">
        <v>300</v>
      </c>
      <c r="E45" s="11" t="s">
        <v>301</v>
      </c>
      <c r="F45" s="15"/>
      <c r="G45" s="12" t="s">
        <v>84</v>
      </c>
      <c r="H45" s="13" t="n">
        <v>-0.489</v>
      </c>
      <c r="I45" s="14" t="s">
        <v>236</v>
      </c>
      <c r="J45" s="15" t="s">
        <v>237</v>
      </c>
      <c r="K45" s="9" t="n">
        <v>4</v>
      </c>
      <c r="L45" s="9"/>
      <c r="M45" s="16" t="s">
        <v>105</v>
      </c>
      <c r="N45" s="14"/>
      <c r="O45" s="17" t="s">
        <v>54</v>
      </c>
      <c r="P45" s="10" t="s">
        <v>302</v>
      </c>
      <c r="Q45" s="17"/>
      <c r="R45" s="18" t="s">
        <v>105</v>
      </c>
      <c r="S45" s="19"/>
      <c r="T45" s="15" t="str">
        <f aca="false">IF(R45="維持",J45,IF(R45="排除","無關新聞事件",IFERROR(INDEX(事件規則!$B$2:$B$53,MATCH(S45,事件規則!$A$2:$A$53,0)),"")))</f>
        <v>反壟斷調查</v>
      </c>
      <c r="U45" s="20" t="n">
        <f aca="false">IF(R45="維持",K45,IF(R45="排除",0,IFERROR(INDEX(事件規則!$C$2:$C$53,MATCH(S45,事件規則!$A$2:$A$53,0)),"")))</f>
        <v>4</v>
      </c>
      <c r="V45" s="21"/>
      <c r="W45" s="22"/>
      <c r="X45" s="10" t="str">
        <f aca="false">IF(AND(R45="修改",S45=""),"請選新事件代碼",IF(AND(R45&lt;&gt;"修改",S45&lt;&gt;""),"只有「修改」才需填代碼",""))</f>
        <v/>
      </c>
      <c r="Y45" s="21"/>
      <c r="Z45" s="22"/>
      <c r="AA45" s="12" t="s">
        <v>303</v>
      </c>
      <c r="AB45" s="12"/>
    </row>
    <row r="46" customFormat="false" ht="29.85" hidden="false" customHeight="false" outlineLevel="0" collapsed="false">
      <c r="A46" s="9" t="n">
        <v>45</v>
      </c>
      <c r="B46" s="9" t="s">
        <v>295</v>
      </c>
      <c r="C46" s="9" t="s">
        <v>299</v>
      </c>
      <c r="D46" s="10" t="s">
        <v>300</v>
      </c>
      <c r="E46" s="11" t="s">
        <v>304</v>
      </c>
      <c r="F46" s="15"/>
      <c r="G46" s="12" t="s">
        <v>305</v>
      </c>
      <c r="H46" s="13" t="n">
        <v>-0.297</v>
      </c>
      <c r="I46" s="14" t="s">
        <v>236</v>
      </c>
      <c r="J46" s="15" t="s">
        <v>237</v>
      </c>
      <c r="K46" s="9" t="n">
        <v>4</v>
      </c>
      <c r="L46" s="9"/>
      <c r="M46" s="16" t="s">
        <v>105</v>
      </c>
      <c r="N46" s="14"/>
      <c r="O46" s="17" t="s">
        <v>54</v>
      </c>
      <c r="P46" s="10" t="s">
        <v>302</v>
      </c>
      <c r="Q46" s="17"/>
      <c r="R46" s="18" t="s">
        <v>105</v>
      </c>
      <c r="S46" s="19"/>
      <c r="T46" s="15" t="str">
        <f aca="false">IF(R46="維持",J46,IF(R46="排除","無關新聞事件",IFERROR(INDEX(事件規則!$B$2:$B$53,MATCH(S46,事件規則!$A$2:$A$53,0)),"")))</f>
        <v>反壟斷調查</v>
      </c>
      <c r="U46" s="20" t="n">
        <f aca="false">IF(R46="維持",K46,IF(R46="排除",0,IFERROR(INDEX(事件規則!$C$2:$C$53,MATCH(S46,事件規則!$A$2:$A$53,0)),"")))</f>
        <v>4</v>
      </c>
      <c r="V46" s="21"/>
      <c r="W46" s="22"/>
      <c r="X46" s="10" t="str">
        <f aca="false">IF(AND(R46="修改",S46=""),"請選新事件代碼",IF(AND(R46&lt;&gt;"修改",S46&lt;&gt;""),"只有「修改」才需填代碼",""))</f>
        <v/>
      </c>
      <c r="Y46" s="21"/>
      <c r="Z46" s="22"/>
      <c r="AA46" s="12" t="s">
        <v>306</v>
      </c>
      <c r="AB46" s="12"/>
    </row>
    <row r="47" customFormat="false" ht="23.85" hidden="false" customHeight="false" outlineLevel="0" collapsed="false">
      <c r="A47" s="9" t="n">
        <v>46</v>
      </c>
      <c r="B47" s="9" t="s">
        <v>112</v>
      </c>
      <c r="C47" s="9" t="s">
        <v>72</v>
      </c>
      <c r="D47" s="10" t="s">
        <v>73</v>
      </c>
      <c r="E47" s="11" t="s">
        <v>307</v>
      </c>
      <c r="F47" s="15"/>
      <c r="G47" s="12" t="s">
        <v>84</v>
      </c>
      <c r="H47" s="13" t="n">
        <v>-0.865</v>
      </c>
      <c r="I47" s="14" t="s">
        <v>236</v>
      </c>
      <c r="J47" s="15" t="s">
        <v>237</v>
      </c>
      <c r="K47" s="9" t="n">
        <v>4</v>
      </c>
      <c r="L47" s="9"/>
      <c r="M47" s="16" t="s">
        <v>105</v>
      </c>
      <c r="N47" s="14"/>
      <c r="O47" s="17" t="s">
        <v>97</v>
      </c>
      <c r="P47" s="10" t="s">
        <v>308</v>
      </c>
      <c r="Q47" s="17"/>
      <c r="R47" s="18" t="s">
        <v>105</v>
      </c>
      <c r="S47" s="19"/>
      <c r="T47" s="15" t="str">
        <f aca="false">IF(R47="維持",J47,IF(R47="排除","無關新聞事件",IFERROR(INDEX(事件規則!$B$2:$B$53,MATCH(S47,事件規則!$A$2:$A$53,0)),"")))</f>
        <v>反壟斷調查</v>
      </c>
      <c r="U47" s="20" t="n">
        <f aca="false">IF(R47="維持",K47,IF(R47="排除",0,IFERROR(INDEX(事件規則!$C$2:$C$53,MATCH(S47,事件規則!$A$2:$A$53,0)),"")))</f>
        <v>4</v>
      </c>
      <c r="V47" s="21"/>
      <c r="W47" s="22"/>
      <c r="X47" s="10" t="str">
        <f aca="false">IF(AND(R47="修改",S47=""),"請選新事件代碼",IF(AND(R47&lt;&gt;"修改",S47&lt;&gt;""),"只有「修改」才需填代碼",""))</f>
        <v/>
      </c>
      <c r="Y47" s="21"/>
      <c r="Z47" s="22"/>
      <c r="AA47" s="12" t="s">
        <v>309</v>
      </c>
      <c r="AB47" s="12"/>
    </row>
    <row r="48" customFormat="false" ht="29.85" hidden="false" customHeight="false" outlineLevel="0" collapsed="false">
      <c r="A48" s="9" t="n">
        <v>47</v>
      </c>
      <c r="B48" s="9" t="s">
        <v>310</v>
      </c>
      <c r="C48" s="9" t="s">
        <v>240</v>
      </c>
      <c r="D48" s="10" t="s">
        <v>241</v>
      </c>
      <c r="E48" s="11" t="s">
        <v>311</v>
      </c>
      <c r="F48" s="15"/>
      <c r="G48" s="12" t="s">
        <v>312</v>
      </c>
      <c r="H48" s="13" t="n">
        <v>-0.858</v>
      </c>
      <c r="I48" s="14" t="s">
        <v>236</v>
      </c>
      <c r="J48" s="15" t="s">
        <v>237</v>
      </c>
      <c r="K48" s="9" t="n">
        <v>4</v>
      </c>
      <c r="L48" s="9"/>
      <c r="M48" s="16" t="s">
        <v>105</v>
      </c>
      <c r="N48" s="14"/>
      <c r="O48" s="17" t="s">
        <v>97</v>
      </c>
      <c r="P48" s="10" t="s">
        <v>245</v>
      </c>
      <c r="Q48" s="17"/>
      <c r="R48" s="18" t="s">
        <v>105</v>
      </c>
      <c r="S48" s="19"/>
      <c r="T48" s="15" t="str">
        <f aca="false">IF(R48="維持",J48,IF(R48="排除","無關新聞事件",IFERROR(INDEX(事件規則!$B$2:$B$53,MATCH(S48,事件規則!$A$2:$A$53,0)),"")))</f>
        <v>反壟斷調查</v>
      </c>
      <c r="U48" s="20" t="n">
        <f aca="false">IF(R48="維持",K48,IF(R48="排除",0,IFERROR(INDEX(事件規則!$C$2:$C$53,MATCH(S48,事件規則!$A$2:$A$53,0)),"")))</f>
        <v>4</v>
      </c>
      <c r="V48" s="21"/>
      <c r="W48" s="22"/>
      <c r="X48" s="10" t="str">
        <f aca="false">IF(AND(R48="修改",S48=""),"請選新事件代碼",IF(AND(R48&lt;&gt;"修改",S48&lt;&gt;""),"只有「修改」才需填代碼",""))</f>
        <v/>
      </c>
      <c r="Y48" s="21"/>
      <c r="Z48" s="22"/>
      <c r="AA48" s="12" t="s">
        <v>313</v>
      </c>
      <c r="AB48" s="12"/>
    </row>
    <row r="49" customFormat="false" ht="29.85" hidden="false" customHeight="false" outlineLevel="0" collapsed="false">
      <c r="A49" s="9" t="n">
        <v>48</v>
      </c>
      <c r="B49" s="9" t="s">
        <v>310</v>
      </c>
      <c r="C49" s="9" t="s">
        <v>240</v>
      </c>
      <c r="D49" s="10" t="s">
        <v>241</v>
      </c>
      <c r="E49" s="11" t="s">
        <v>314</v>
      </c>
      <c r="F49" s="15"/>
      <c r="G49" s="12" t="s">
        <v>244</v>
      </c>
      <c r="H49" s="13" t="n">
        <v>0.285</v>
      </c>
      <c r="I49" s="14" t="s">
        <v>236</v>
      </c>
      <c r="J49" s="15" t="s">
        <v>237</v>
      </c>
      <c r="K49" s="9" t="n">
        <v>4</v>
      </c>
      <c r="L49" s="9"/>
      <c r="M49" s="16" t="s">
        <v>105</v>
      </c>
      <c r="N49" s="14"/>
      <c r="O49" s="17" t="s">
        <v>97</v>
      </c>
      <c r="P49" s="10" t="s">
        <v>245</v>
      </c>
      <c r="Q49" s="17"/>
      <c r="R49" s="18" t="s">
        <v>105</v>
      </c>
      <c r="S49" s="19"/>
      <c r="T49" s="15" t="str">
        <f aca="false">IF(R49="維持",J49,IF(R49="排除","無關新聞事件",IFERROR(INDEX(事件規則!$B$2:$B$53,MATCH(S49,事件規則!$A$2:$A$53,0)),"")))</f>
        <v>反壟斷調查</v>
      </c>
      <c r="U49" s="20" t="n">
        <f aca="false">IF(R49="維持",K49,IF(R49="排除",0,IFERROR(INDEX(事件規則!$C$2:$C$53,MATCH(S49,事件規則!$A$2:$A$53,0)),"")))</f>
        <v>4</v>
      </c>
      <c r="V49" s="21"/>
      <c r="W49" s="22"/>
      <c r="X49" s="10" t="str">
        <f aca="false">IF(AND(R49="修改",S49=""),"請選新事件代碼",IF(AND(R49&lt;&gt;"修改",S49&lt;&gt;""),"只有「修改」才需填代碼",""))</f>
        <v/>
      </c>
      <c r="Y49" s="21"/>
      <c r="Z49" s="22"/>
      <c r="AA49" s="12" t="s">
        <v>315</v>
      </c>
      <c r="AB49" s="12"/>
    </row>
    <row r="50" customFormat="false" ht="29.85" hidden="false" customHeight="false" outlineLevel="0" collapsed="false">
      <c r="A50" s="9" t="n">
        <v>49</v>
      </c>
      <c r="B50" s="9" t="s">
        <v>316</v>
      </c>
      <c r="C50" s="9"/>
      <c r="D50" s="10" t="s">
        <v>317</v>
      </c>
      <c r="E50" s="23" t="s">
        <v>318</v>
      </c>
      <c r="F50" s="15"/>
      <c r="G50" s="12" t="s">
        <v>319</v>
      </c>
      <c r="H50" s="13" t="n">
        <v>0.091</v>
      </c>
      <c r="I50" s="14" t="s">
        <v>236</v>
      </c>
      <c r="J50" s="15" t="s">
        <v>237</v>
      </c>
      <c r="K50" s="9" t="n">
        <v>4</v>
      </c>
      <c r="L50" s="17" t="s">
        <v>320</v>
      </c>
      <c r="M50" s="16" t="s">
        <v>53</v>
      </c>
      <c r="N50" s="14"/>
      <c r="O50" s="17" t="s">
        <v>97</v>
      </c>
      <c r="P50" s="15" t="s">
        <v>321</v>
      </c>
      <c r="Q50" s="17"/>
      <c r="R50" s="18" t="s">
        <v>53</v>
      </c>
      <c r="S50" s="19"/>
      <c r="T50" s="15" t="str">
        <f aca="false">IF(R50="維持",J50,IF(R50="排除","無關新聞事件",IFERROR(INDEX(事件規則!$B$2:$B$53,MATCH(S50,事件規則!$A$2:$A$53,0)),"")))</f>
        <v>無關新聞事件</v>
      </c>
      <c r="U50" s="20" t="n">
        <f aca="false">IF(R50="維持",K50,IF(R50="排除",0,IFERROR(INDEX(事件規則!$C$2:$C$53,MATCH(S50,事件規則!$A$2:$A$53,0)),"")))</f>
        <v>0</v>
      </c>
      <c r="V50" s="21"/>
      <c r="W50" s="22"/>
      <c r="X50" s="10" t="str">
        <f aca="false">IF(AND(R50="修改",S50=""),"請選新事件代碼",IF(AND(R50&lt;&gt;"修改",S50&lt;&gt;""),"只有「修改」才需填代碼",""))</f>
        <v/>
      </c>
      <c r="Y50" s="21"/>
      <c r="Z50" s="22"/>
      <c r="AA50" s="12" t="s">
        <v>322</v>
      </c>
      <c r="AB50" s="12"/>
    </row>
    <row r="51" customFormat="false" ht="29.85" hidden="false" customHeight="false" outlineLevel="0" collapsed="false">
      <c r="A51" s="17" t="n">
        <v>50</v>
      </c>
      <c r="B51" s="9" t="s">
        <v>323</v>
      </c>
      <c r="C51" s="9" t="s">
        <v>324</v>
      </c>
      <c r="D51" s="10" t="s">
        <v>325</v>
      </c>
      <c r="E51" s="11" t="s">
        <v>326</v>
      </c>
      <c r="F51" s="10" t="s">
        <v>327</v>
      </c>
      <c r="G51" s="12" t="s">
        <v>328</v>
      </c>
      <c r="H51" s="13" t="n">
        <v>-0.217</v>
      </c>
      <c r="I51" s="14" t="s">
        <v>236</v>
      </c>
      <c r="J51" s="15" t="s">
        <v>237</v>
      </c>
      <c r="K51" s="9" t="n">
        <v>4</v>
      </c>
      <c r="L51" s="17"/>
      <c r="M51" s="16" t="s">
        <v>53</v>
      </c>
      <c r="N51" s="14"/>
      <c r="O51" s="17" t="s">
        <v>54</v>
      </c>
      <c r="P51" s="10" t="s">
        <v>329</v>
      </c>
      <c r="Q51" s="17"/>
      <c r="R51" s="18" t="s">
        <v>53</v>
      </c>
      <c r="S51" s="19"/>
      <c r="T51" s="15" t="str">
        <f aca="false">IF(R51="維持",J51,IF(R51="排除","無關新聞事件",IFERROR(INDEX(事件規則!$B$2:$B$53,MATCH(S51,事件規則!$A$2:$A$53,0)),"")))</f>
        <v>無關新聞事件</v>
      </c>
      <c r="U51" s="20" t="n">
        <f aca="false">IF(R51="維持",K51,IF(R51="排除",0,IFERROR(INDEX(事件規則!$C$2:$C$53,MATCH(S51,事件規則!$A$2:$A$53,0)),"")))</f>
        <v>0</v>
      </c>
      <c r="V51" s="21"/>
      <c r="W51" s="22"/>
      <c r="X51" s="10" t="str">
        <f aca="false">IF(AND(R51="修改",S51=""),"請選新事件代碼",IF(AND(R51&lt;&gt;"修改",S51&lt;&gt;""),"只有「修改」才需填代碼",""))</f>
        <v/>
      </c>
      <c r="Y51" s="21"/>
      <c r="Z51" s="22"/>
      <c r="AA51" s="12" t="s">
        <v>330</v>
      </c>
      <c r="AB51" s="12"/>
    </row>
    <row r="52" customFormat="false" ht="29.85" hidden="false" customHeight="false" outlineLevel="0" collapsed="false">
      <c r="A52" s="17" t="n">
        <v>51</v>
      </c>
      <c r="B52" s="9" t="s">
        <v>323</v>
      </c>
      <c r="C52" s="9" t="s">
        <v>324</v>
      </c>
      <c r="D52" s="10" t="s">
        <v>325</v>
      </c>
      <c r="E52" s="11" t="s">
        <v>331</v>
      </c>
      <c r="F52" s="10" t="s">
        <v>332</v>
      </c>
      <c r="G52" s="12" t="s">
        <v>84</v>
      </c>
      <c r="H52" s="13" t="n">
        <v>-0.813</v>
      </c>
      <c r="I52" s="14" t="s">
        <v>236</v>
      </c>
      <c r="J52" s="15" t="s">
        <v>237</v>
      </c>
      <c r="K52" s="9" t="n">
        <v>4</v>
      </c>
      <c r="L52" s="17"/>
      <c r="M52" s="16" t="s">
        <v>53</v>
      </c>
      <c r="N52" s="14"/>
      <c r="O52" s="17" t="s">
        <v>54</v>
      </c>
      <c r="P52" s="10" t="s">
        <v>329</v>
      </c>
      <c r="Q52" s="17"/>
      <c r="R52" s="18" t="s">
        <v>53</v>
      </c>
      <c r="S52" s="19"/>
      <c r="T52" s="15" t="str">
        <f aca="false">IF(R52="維持",J52,IF(R52="排除","無關新聞事件",IFERROR(INDEX(事件規則!$B$2:$B$53,MATCH(S52,事件規則!$A$2:$A$53,0)),"")))</f>
        <v>無關新聞事件</v>
      </c>
      <c r="U52" s="20" t="n">
        <f aca="false">IF(R52="維持",K52,IF(R52="排除",0,IFERROR(INDEX(事件規則!$C$2:$C$53,MATCH(S52,事件規則!$A$2:$A$53,0)),"")))</f>
        <v>0</v>
      </c>
      <c r="V52" s="21"/>
      <c r="W52" s="22"/>
      <c r="X52" s="10" t="str">
        <f aca="false">IF(AND(R52="修改",S52=""),"請選新事件代碼",IF(AND(R52&lt;&gt;"修改",S52&lt;&gt;""),"只有「修改」才需填代碼",""))</f>
        <v/>
      </c>
      <c r="Y52" s="21"/>
      <c r="Z52" s="22"/>
      <c r="AA52" s="12" t="s">
        <v>333</v>
      </c>
      <c r="AB52" s="12"/>
    </row>
    <row r="53" customFormat="false" ht="29.85" hidden="false" customHeight="false" outlineLevel="0" collapsed="false">
      <c r="A53" s="17" t="n">
        <v>52</v>
      </c>
      <c r="B53" s="9" t="s">
        <v>186</v>
      </c>
      <c r="C53" s="9" t="s">
        <v>324</v>
      </c>
      <c r="D53" s="10" t="s">
        <v>325</v>
      </c>
      <c r="E53" s="11" t="s">
        <v>334</v>
      </c>
      <c r="F53" s="10" t="s">
        <v>335</v>
      </c>
      <c r="G53" s="12" t="s">
        <v>336</v>
      </c>
      <c r="H53" s="13" t="n">
        <v>-0.069</v>
      </c>
      <c r="I53" s="14" t="s">
        <v>236</v>
      </c>
      <c r="J53" s="15" t="s">
        <v>237</v>
      </c>
      <c r="K53" s="9" t="n">
        <v>4</v>
      </c>
      <c r="L53" s="17"/>
      <c r="M53" s="16" t="s">
        <v>53</v>
      </c>
      <c r="N53" s="14"/>
      <c r="O53" s="17" t="s">
        <v>54</v>
      </c>
      <c r="P53" s="10" t="s">
        <v>329</v>
      </c>
      <c r="Q53" s="17"/>
      <c r="R53" s="18" t="s">
        <v>53</v>
      </c>
      <c r="S53" s="19"/>
      <c r="T53" s="15" t="str">
        <f aca="false">IF(R53="維持",J53,IF(R53="排除","無關新聞事件",IFERROR(INDEX(事件規則!$B$2:$B$53,MATCH(S53,事件規則!$A$2:$A$53,0)),"")))</f>
        <v>無關新聞事件</v>
      </c>
      <c r="U53" s="20" t="n">
        <f aca="false">IF(R53="維持",K53,IF(R53="排除",0,IFERROR(INDEX(事件規則!$C$2:$C$53,MATCH(S53,事件規則!$A$2:$A$53,0)),"")))</f>
        <v>0</v>
      </c>
      <c r="V53" s="21"/>
      <c r="W53" s="22"/>
      <c r="X53" s="10" t="str">
        <f aca="false">IF(AND(R53="修改",S53=""),"請選新事件代碼",IF(AND(R53&lt;&gt;"修改",S53&lt;&gt;""),"只有「修改」才需填代碼",""))</f>
        <v/>
      </c>
      <c r="Y53" s="21"/>
      <c r="Z53" s="22"/>
      <c r="AA53" s="12" t="s">
        <v>337</v>
      </c>
      <c r="AB53" s="12"/>
    </row>
    <row r="54" customFormat="false" ht="29.85" hidden="false" customHeight="false" outlineLevel="0" collapsed="false">
      <c r="A54" s="17" t="n">
        <v>53</v>
      </c>
      <c r="B54" s="9" t="s">
        <v>118</v>
      </c>
      <c r="C54" s="9" t="s">
        <v>324</v>
      </c>
      <c r="D54" s="10" t="s">
        <v>325</v>
      </c>
      <c r="E54" s="11" t="s">
        <v>338</v>
      </c>
      <c r="F54" s="15" t="s">
        <v>339</v>
      </c>
      <c r="G54" s="12" t="s">
        <v>340</v>
      </c>
      <c r="H54" s="13" t="n">
        <v>0.491</v>
      </c>
      <c r="I54" s="14" t="s">
        <v>236</v>
      </c>
      <c r="J54" s="15" t="s">
        <v>237</v>
      </c>
      <c r="K54" s="9" t="n">
        <v>4</v>
      </c>
      <c r="L54" s="17"/>
      <c r="M54" s="16" t="s">
        <v>53</v>
      </c>
      <c r="N54" s="14"/>
      <c r="O54" s="17" t="s">
        <v>54</v>
      </c>
      <c r="P54" s="10" t="s">
        <v>329</v>
      </c>
      <c r="Q54" s="17"/>
      <c r="R54" s="18" t="s">
        <v>53</v>
      </c>
      <c r="S54" s="19"/>
      <c r="T54" s="15" t="str">
        <f aca="false">IF(R54="維持",J54,IF(R54="排除","無關新聞事件",IFERROR(INDEX(事件規則!$B$2:$B$53,MATCH(S54,事件規則!$A$2:$A$53,0)),"")))</f>
        <v>無關新聞事件</v>
      </c>
      <c r="U54" s="20" t="n">
        <f aca="false">IF(R54="維持",K54,IF(R54="排除",0,IFERROR(INDEX(事件規則!$C$2:$C$53,MATCH(S54,事件規則!$A$2:$A$53,0)),"")))</f>
        <v>0</v>
      </c>
      <c r="V54" s="21"/>
      <c r="W54" s="22"/>
      <c r="X54" s="10" t="str">
        <f aca="false">IF(AND(R54="修改",S54=""),"請選新事件代碼",IF(AND(R54&lt;&gt;"修改",S54&lt;&gt;""),"只有「修改」才需填代碼",""))</f>
        <v/>
      </c>
      <c r="Y54" s="21"/>
      <c r="Z54" s="22"/>
      <c r="AA54" s="12" t="s">
        <v>341</v>
      </c>
      <c r="AB54" s="12"/>
    </row>
    <row r="55" customFormat="false" ht="29.85" hidden="false" customHeight="false" outlineLevel="0" collapsed="false">
      <c r="A55" s="17" t="n">
        <v>54</v>
      </c>
      <c r="B55" s="9" t="s">
        <v>126</v>
      </c>
      <c r="C55" s="17"/>
      <c r="D55" s="10" t="s">
        <v>342</v>
      </c>
      <c r="E55" s="11" t="s">
        <v>343</v>
      </c>
      <c r="F55" s="15" t="s">
        <v>344</v>
      </c>
      <c r="G55" s="12" t="s">
        <v>345</v>
      </c>
      <c r="H55" s="13" t="n">
        <v>-0.834</v>
      </c>
      <c r="I55" s="14" t="s">
        <v>346</v>
      </c>
      <c r="J55" s="15" t="s">
        <v>347</v>
      </c>
      <c r="K55" s="9" t="n">
        <v>4</v>
      </c>
      <c r="L55" s="17" t="s">
        <v>320</v>
      </c>
      <c r="M55" s="16" t="s">
        <v>53</v>
      </c>
      <c r="N55" s="14"/>
      <c r="O55" s="17" t="s">
        <v>54</v>
      </c>
      <c r="P55" s="15" t="s">
        <v>348</v>
      </c>
      <c r="Q55" s="17"/>
      <c r="R55" s="18" t="s">
        <v>53</v>
      </c>
      <c r="S55" s="19"/>
      <c r="T55" s="15" t="str">
        <f aca="false">IF(R55="維持",J55,IF(R55="排除","無關新聞事件",IFERROR(INDEX(事件規則!$B$2:$B$53,MATCH(S55,事件規則!$A$2:$A$53,0)),"")))</f>
        <v>無關新聞事件</v>
      </c>
      <c r="U55" s="20" t="n">
        <f aca="false">IF(R55="維持",K55,IF(R55="排除",0,IFERROR(INDEX(事件規則!$C$2:$C$53,MATCH(S55,事件規則!$A$2:$A$53,0)),"")))</f>
        <v>0</v>
      </c>
      <c r="V55" s="21"/>
      <c r="W55" s="22"/>
      <c r="X55" s="10" t="str">
        <f aca="false">IF(AND(R55="修改",S55=""),"請選新事件代碼",IF(AND(R55&lt;&gt;"修改",S55&lt;&gt;""),"只有「修改」才需填代碼",""))</f>
        <v/>
      </c>
      <c r="Y55" s="21"/>
      <c r="Z55" s="22"/>
      <c r="AA55" s="12" t="s">
        <v>349</v>
      </c>
      <c r="AB55" s="12"/>
    </row>
    <row r="56" customFormat="false" ht="29.85" hidden="false" customHeight="false" outlineLevel="0" collapsed="false">
      <c r="A56" s="17" t="n">
        <v>55</v>
      </c>
      <c r="B56" s="9" t="s">
        <v>126</v>
      </c>
      <c r="C56" s="17"/>
      <c r="D56" s="10" t="s">
        <v>350</v>
      </c>
      <c r="E56" s="11" t="s">
        <v>351</v>
      </c>
      <c r="F56" s="15" t="s">
        <v>352</v>
      </c>
      <c r="G56" s="12" t="s">
        <v>94</v>
      </c>
      <c r="H56" s="13" t="n">
        <v>-0.922</v>
      </c>
      <c r="I56" s="14" t="s">
        <v>346</v>
      </c>
      <c r="J56" s="15" t="s">
        <v>347</v>
      </c>
      <c r="K56" s="9" t="n">
        <v>4</v>
      </c>
      <c r="L56" s="17" t="s">
        <v>320</v>
      </c>
      <c r="M56" s="16" t="s">
        <v>53</v>
      </c>
      <c r="N56" s="14"/>
      <c r="O56" s="17" t="s">
        <v>54</v>
      </c>
      <c r="P56" s="15" t="s">
        <v>348</v>
      </c>
      <c r="Q56" s="17"/>
      <c r="R56" s="18" t="s">
        <v>53</v>
      </c>
      <c r="S56" s="19"/>
      <c r="T56" s="15" t="str">
        <f aca="false">IF(R56="維持",J56,IF(R56="排除","無關新聞事件",IFERROR(INDEX(事件規則!$B$2:$B$53,MATCH(S56,事件規則!$A$2:$A$53,0)),"")))</f>
        <v>無關新聞事件</v>
      </c>
      <c r="U56" s="20" t="n">
        <f aca="false">IF(R56="維持",K56,IF(R56="排除",0,IFERROR(INDEX(事件規則!$C$2:$C$53,MATCH(S56,事件規則!$A$2:$A$53,0)),"")))</f>
        <v>0</v>
      </c>
      <c r="V56" s="21"/>
      <c r="W56" s="22"/>
      <c r="X56" s="10" t="str">
        <f aca="false">IF(AND(R56="修改",S56=""),"請選新事件代碼",IF(AND(R56&lt;&gt;"修改",S56&lt;&gt;""),"只有「修改」才需填代碼",""))</f>
        <v/>
      </c>
      <c r="Y56" s="21"/>
      <c r="Z56" s="22"/>
      <c r="AA56" s="12" t="s">
        <v>353</v>
      </c>
      <c r="AB56" s="12"/>
    </row>
    <row r="57" customFormat="false" ht="29.85" hidden="false" customHeight="false" outlineLevel="0" collapsed="false">
      <c r="A57" s="17" t="n">
        <v>56</v>
      </c>
      <c r="B57" s="9" t="s">
        <v>67</v>
      </c>
      <c r="C57" s="9" t="s">
        <v>119</v>
      </c>
      <c r="D57" s="10" t="s">
        <v>120</v>
      </c>
      <c r="E57" s="11" t="s">
        <v>354</v>
      </c>
      <c r="F57" s="15" t="s">
        <v>355</v>
      </c>
      <c r="G57" s="12" t="s">
        <v>356</v>
      </c>
      <c r="H57" s="13" t="n">
        <v>-0.827</v>
      </c>
      <c r="I57" s="14" t="s">
        <v>346</v>
      </c>
      <c r="J57" s="15" t="s">
        <v>347</v>
      </c>
      <c r="K57" s="9" t="n">
        <v>4</v>
      </c>
      <c r="L57" s="17"/>
      <c r="M57" s="16" t="s">
        <v>53</v>
      </c>
      <c r="N57" s="14"/>
      <c r="O57" s="17" t="s">
        <v>97</v>
      </c>
      <c r="P57" s="15" t="s">
        <v>357</v>
      </c>
      <c r="Q57" s="17"/>
      <c r="R57" s="18" t="s">
        <v>53</v>
      </c>
      <c r="S57" s="19"/>
      <c r="T57" s="15" t="str">
        <f aca="false">IF(R57="維持",J57,IF(R57="排除","無關新聞事件",IFERROR(INDEX(事件規則!$B$2:$B$53,MATCH(S57,事件規則!$A$2:$A$53,0)),"")))</f>
        <v>無關新聞事件</v>
      </c>
      <c r="U57" s="20" t="n">
        <f aca="false">IF(R57="維持",K57,IF(R57="排除",0,IFERROR(INDEX(事件規則!$C$2:$C$53,MATCH(S57,事件規則!$A$2:$A$53,0)),"")))</f>
        <v>0</v>
      </c>
      <c r="V57" s="21"/>
      <c r="W57" s="22"/>
      <c r="X57" s="10" t="str">
        <f aca="false">IF(AND(R57="修改",S57=""),"請選新事件代碼",IF(AND(R57&lt;&gt;"修改",S57&lt;&gt;""),"只有「修改」才需填代碼",""))</f>
        <v/>
      </c>
      <c r="Y57" s="21"/>
      <c r="Z57" s="22"/>
      <c r="AA57" s="12" t="s">
        <v>358</v>
      </c>
      <c r="AB57" s="12"/>
    </row>
    <row r="58" customFormat="false" ht="23.85" hidden="false" customHeight="false" outlineLevel="0" collapsed="false">
      <c r="A58" s="17" t="n">
        <v>57</v>
      </c>
      <c r="B58" s="9" t="s">
        <v>86</v>
      </c>
      <c r="C58" s="9" t="s">
        <v>359</v>
      </c>
      <c r="D58" s="10" t="s">
        <v>360</v>
      </c>
      <c r="E58" s="11" t="s">
        <v>361</v>
      </c>
      <c r="F58" s="15"/>
      <c r="G58" s="12" t="s">
        <v>362</v>
      </c>
      <c r="H58" s="13" t="n">
        <v>-0.928</v>
      </c>
      <c r="I58" s="14" t="s">
        <v>346</v>
      </c>
      <c r="J58" s="15" t="s">
        <v>347</v>
      </c>
      <c r="K58" s="9" t="n">
        <v>4</v>
      </c>
      <c r="L58" s="17"/>
      <c r="M58" s="16" t="s">
        <v>105</v>
      </c>
      <c r="N58" s="14"/>
      <c r="O58" s="17" t="s">
        <v>54</v>
      </c>
      <c r="P58" s="10" t="s">
        <v>363</v>
      </c>
      <c r="Q58" s="17"/>
      <c r="R58" s="18" t="s">
        <v>105</v>
      </c>
      <c r="S58" s="19"/>
      <c r="T58" s="15" t="str">
        <f aca="false">IF(R58="維持",J58,IF(R58="排除","無關新聞事件",IFERROR(INDEX(事件規則!$B$2:$B$53,MATCH(S58,事件規則!$A$2:$A$53,0)),"")))</f>
        <v>高管不當行為</v>
      </c>
      <c r="U58" s="20" t="n">
        <f aca="false">IF(R58="維持",K58,IF(R58="排除",0,IFERROR(INDEX(事件規則!$C$2:$C$53,MATCH(S58,事件規則!$A$2:$A$53,0)),"")))</f>
        <v>4</v>
      </c>
      <c r="V58" s="21"/>
      <c r="W58" s="22"/>
      <c r="X58" s="10" t="str">
        <f aca="false">IF(AND(R58="修改",S58=""),"請選新事件代碼",IF(AND(R58&lt;&gt;"修改",S58&lt;&gt;""),"只有「修改」才需填代碼",""))</f>
        <v/>
      </c>
      <c r="Y58" s="21"/>
      <c r="Z58" s="22"/>
      <c r="AA58" s="12" t="s">
        <v>364</v>
      </c>
      <c r="AB58" s="12"/>
    </row>
    <row r="59" customFormat="false" ht="23.85" hidden="false" customHeight="false" outlineLevel="0" collapsed="false">
      <c r="A59" s="17" t="n">
        <v>58</v>
      </c>
      <c r="B59" s="9" t="s">
        <v>100</v>
      </c>
      <c r="C59" s="17"/>
      <c r="D59" s="10" t="s">
        <v>365</v>
      </c>
      <c r="E59" s="11" t="s">
        <v>366</v>
      </c>
      <c r="F59" s="15"/>
      <c r="G59" s="12" t="s">
        <v>367</v>
      </c>
      <c r="H59" s="13" t="n">
        <v>-0.037</v>
      </c>
      <c r="I59" s="14" t="s">
        <v>346</v>
      </c>
      <c r="J59" s="15" t="s">
        <v>347</v>
      </c>
      <c r="K59" s="9" t="n">
        <v>4</v>
      </c>
      <c r="L59" s="17" t="s">
        <v>320</v>
      </c>
      <c r="M59" s="16" t="s">
        <v>53</v>
      </c>
      <c r="N59" s="14"/>
      <c r="O59" s="17" t="s">
        <v>54</v>
      </c>
      <c r="P59" s="15" t="s">
        <v>368</v>
      </c>
      <c r="Q59" s="17"/>
      <c r="R59" s="18" t="s">
        <v>53</v>
      </c>
      <c r="S59" s="19"/>
      <c r="T59" s="15" t="str">
        <f aca="false">IF(R59="維持",J59,IF(R59="排除","無關新聞事件",IFERROR(INDEX(事件規則!$B$2:$B$53,MATCH(S59,事件規則!$A$2:$A$53,0)),"")))</f>
        <v>無關新聞事件</v>
      </c>
      <c r="U59" s="20" t="n">
        <f aca="false">IF(R59="維持",K59,IF(R59="排除",0,IFERROR(INDEX(事件規則!$C$2:$C$53,MATCH(S59,事件規則!$A$2:$A$53,0)),"")))</f>
        <v>0</v>
      </c>
      <c r="V59" s="21"/>
      <c r="W59" s="22"/>
      <c r="X59" s="10" t="str">
        <f aca="false">IF(AND(R59="修改",S59=""),"請選新事件代碼",IF(AND(R59&lt;&gt;"修改",S59&lt;&gt;""),"只有「修改」才需填代碼",""))</f>
        <v/>
      </c>
      <c r="Y59" s="21"/>
      <c r="Z59" s="22"/>
      <c r="AA59" s="12" t="s">
        <v>369</v>
      </c>
      <c r="AB59" s="12"/>
    </row>
    <row r="60" customFormat="false" ht="35.05" hidden="false" customHeight="false" outlineLevel="0" collapsed="false">
      <c r="A60" s="17" t="n">
        <v>59</v>
      </c>
      <c r="B60" s="9" t="s">
        <v>160</v>
      </c>
      <c r="C60" s="9" t="s">
        <v>370</v>
      </c>
      <c r="D60" s="10" t="s">
        <v>371</v>
      </c>
      <c r="E60" s="11" t="s">
        <v>372</v>
      </c>
      <c r="F60" s="15"/>
      <c r="G60" s="12" t="s">
        <v>373</v>
      </c>
      <c r="H60" s="13" t="n">
        <v>-0.722</v>
      </c>
      <c r="I60" s="14" t="s">
        <v>374</v>
      </c>
      <c r="J60" s="15" t="s">
        <v>375</v>
      </c>
      <c r="K60" s="9" t="n">
        <v>4</v>
      </c>
      <c r="L60" s="17"/>
      <c r="M60" s="16" t="s">
        <v>105</v>
      </c>
      <c r="N60" s="14"/>
      <c r="O60" s="17" t="s">
        <v>97</v>
      </c>
      <c r="P60" s="10" t="s">
        <v>376</v>
      </c>
      <c r="Q60" s="17"/>
      <c r="R60" s="18" t="s">
        <v>105</v>
      </c>
      <c r="S60" s="19"/>
      <c r="T60" s="15" t="str">
        <f aca="false">IF(R60="維持",J60,IF(R60="排除","無關新聞事件",IFERROR(INDEX(事件規則!$B$2:$B$53,MATCH(S60,事件規則!$A$2:$A$53,0)),"")))</f>
        <v>內線交易</v>
      </c>
      <c r="U60" s="20" t="n">
        <f aca="false">IF(R60="維持",K60,IF(R60="排除",0,IFERROR(INDEX(事件規則!$C$2:$C$53,MATCH(S60,事件規則!$A$2:$A$53,0)),"")))</f>
        <v>4</v>
      </c>
      <c r="V60" s="21"/>
      <c r="W60" s="22"/>
      <c r="X60" s="10" t="str">
        <f aca="false">IF(AND(R60="修改",S60=""),"請選新事件代碼",IF(AND(R60&lt;&gt;"修改",S60&lt;&gt;""),"只有「修改」才需填代碼",""))</f>
        <v/>
      </c>
      <c r="Y60" s="21"/>
      <c r="Z60" s="22"/>
      <c r="AA60" s="12" t="s">
        <v>377</v>
      </c>
      <c r="AB60" s="12"/>
    </row>
    <row r="61" customFormat="false" ht="35.05" hidden="false" customHeight="false" outlineLevel="0" collapsed="false">
      <c r="A61" s="17" t="n">
        <v>60</v>
      </c>
      <c r="B61" s="9" t="s">
        <v>378</v>
      </c>
      <c r="C61" s="9" t="s">
        <v>370</v>
      </c>
      <c r="D61" s="10" t="s">
        <v>371</v>
      </c>
      <c r="E61" s="11" t="s">
        <v>379</v>
      </c>
      <c r="F61" s="15"/>
      <c r="G61" s="12" t="s">
        <v>84</v>
      </c>
      <c r="H61" s="13" t="n">
        <v>-0.359</v>
      </c>
      <c r="I61" s="14" t="s">
        <v>374</v>
      </c>
      <c r="J61" s="15" t="s">
        <v>375</v>
      </c>
      <c r="K61" s="9" t="n">
        <v>4</v>
      </c>
      <c r="L61" s="17"/>
      <c r="M61" s="16" t="s">
        <v>105</v>
      </c>
      <c r="N61" s="14"/>
      <c r="O61" s="17" t="s">
        <v>97</v>
      </c>
      <c r="P61" s="10" t="s">
        <v>376</v>
      </c>
      <c r="Q61" s="17"/>
      <c r="R61" s="18" t="s">
        <v>105</v>
      </c>
      <c r="S61" s="19"/>
      <c r="T61" s="15" t="str">
        <f aca="false">IF(R61="維持",J61,IF(R61="排除","無關新聞事件",IFERROR(INDEX(事件規則!$B$2:$B$53,MATCH(S61,事件規則!$A$2:$A$53,0)),"")))</f>
        <v>內線交易</v>
      </c>
      <c r="U61" s="20" t="n">
        <f aca="false">IF(R61="維持",K61,IF(R61="排除",0,IFERROR(INDEX(事件規則!$C$2:$C$53,MATCH(S61,事件規則!$A$2:$A$53,0)),"")))</f>
        <v>4</v>
      </c>
      <c r="V61" s="21"/>
      <c r="W61" s="22"/>
      <c r="X61" s="10" t="str">
        <f aca="false">IF(AND(R61="修改",S61=""),"請選新事件代碼",IF(AND(R61&lt;&gt;"修改",S61&lt;&gt;""),"只有「修改」才需填代碼",""))</f>
        <v/>
      </c>
      <c r="Y61" s="21"/>
      <c r="Z61" s="22"/>
      <c r="AA61" s="12" t="s">
        <v>380</v>
      </c>
      <c r="AB61" s="12"/>
    </row>
    <row r="62" customFormat="false" ht="35.05" hidden="false" customHeight="false" outlineLevel="0" collapsed="false">
      <c r="A62" s="17" t="n">
        <v>61</v>
      </c>
      <c r="B62" s="9" t="s">
        <v>381</v>
      </c>
      <c r="C62" s="9" t="s">
        <v>370</v>
      </c>
      <c r="D62" s="10" t="s">
        <v>371</v>
      </c>
      <c r="E62" s="11" t="s">
        <v>382</v>
      </c>
      <c r="F62" s="15"/>
      <c r="G62" s="12" t="s">
        <v>383</v>
      </c>
      <c r="H62" s="13" t="n">
        <v>-0.779</v>
      </c>
      <c r="I62" s="14" t="s">
        <v>374</v>
      </c>
      <c r="J62" s="15" t="s">
        <v>375</v>
      </c>
      <c r="K62" s="9" t="n">
        <v>4</v>
      </c>
      <c r="L62" s="17"/>
      <c r="M62" s="16" t="s">
        <v>105</v>
      </c>
      <c r="N62" s="14"/>
      <c r="O62" s="17" t="s">
        <v>97</v>
      </c>
      <c r="P62" s="10" t="s">
        <v>376</v>
      </c>
      <c r="Q62" s="17"/>
      <c r="R62" s="18" t="s">
        <v>105</v>
      </c>
      <c r="S62" s="19"/>
      <c r="T62" s="15" t="str">
        <f aca="false">IF(R62="維持",J62,IF(R62="排除","無關新聞事件",IFERROR(INDEX(事件規則!$B$2:$B$53,MATCH(S62,事件規則!$A$2:$A$53,0)),"")))</f>
        <v>內線交易</v>
      </c>
      <c r="U62" s="20" t="n">
        <f aca="false">IF(R62="維持",K62,IF(R62="排除",0,IFERROR(INDEX(事件規則!$C$2:$C$53,MATCH(S62,事件規則!$A$2:$A$53,0)),"")))</f>
        <v>4</v>
      </c>
      <c r="V62" s="21"/>
      <c r="W62" s="22"/>
      <c r="X62" s="10" t="str">
        <f aca="false">IF(AND(R62="修改",S62=""),"請選新事件代碼",IF(AND(R62&lt;&gt;"修改",S62&lt;&gt;""),"只有「修改」才需填代碼",""))</f>
        <v/>
      </c>
      <c r="Y62" s="21"/>
      <c r="Z62" s="22"/>
      <c r="AA62" s="12" t="s">
        <v>384</v>
      </c>
      <c r="AB62" s="12"/>
    </row>
    <row r="63" customFormat="false" ht="29.85" hidden="false" customHeight="false" outlineLevel="0" collapsed="false">
      <c r="A63" s="17" t="n">
        <v>62</v>
      </c>
      <c r="B63" s="9" t="s">
        <v>385</v>
      </c>
      <c r="C63" s="9" t="s">
        <v>386</v>
      </c>
      <c r="D63" s="10" t="s">
        <v>387</v>
      </c>
      <c r="E63" s="11" t="s">
        <v>388</v>
      </c>
      <c r="F63" s="15"/>
      <c r="G63" s="12" t="s">
        <v>340</v>
      </c>
      <c r="H63" s="13" t="n">
        <v>-0.053</v>
      </c>
      <c r="I63" s="14" t="s">
        <v>374</v>
      </c>
      <c r="J63" s="15" t="s">
        <v>375</v>
      </c>
      <c r="K63" s="9" t="n">
        <v>4</v>
      </c>
      <c r="L63" s="17"/>
      <c r="M63" s="16" t="s">
        <v>53</v>
      </c>
      <c r="N63" s="14"/>
      <c r="O63" s="17" t="s">
        <v>54</v>
      </c>
      <c r="P63" s="10" t="s">
        <v>389</v>
      </c>
      <c r="Q63" s="17"/>
      <c r="R63" s="18" t="s">
        <v>53</v>
      </c>
      <c r="S63" s="19"/>
      <c r="T63" s="15" t="str">
        <f aca="false">IF(R63="維持",J63,IF(R63="排除","無關新聞事件",IFERROR(INDEX(事件規則!$B$2:$B$53,MATCH(S63,事件規則!$A$2:$A$53,0)),"")))</f>
        <v>無關新聞事件</v>
      </c>
      <c r="U63" s="20" t="n">
        <f aca="false">IF(R63="維持",K63,IF(R63="排除",0,IFERROR(INDEX(事件規則!$C$2:$C$53,MATCH(S63,事件規則!$A$2:$A$53,0)),"")))</f>
        <v>0</v>
      </c>
      <c r="V63" s="21"/>
      <c r="W63" s="22"/>
      <c r="X63" s="10" t="str">
        <f aca="false">IF(AND(R63="修改",S63=""),"請選新事件代碼",IF(AND(R63&lt;&gt;"修改",S63&lt;&gt;""),"只有「修改」才需填代碼",""))</f>
        <v/>
      </c>
      <c r="Y63" s="21"/>
      <c r="Z63" s="22"/>
      <c r="AA63" s="12" t="s">
        <v>390</v>
      </c>
      <c r="AB63" s="12"/>
    </row>
    <row r="64" customFormat="false" ht="55.2" hidden="false" customHeight="false" outlineLevel="0" collapsed="false">
      <c r="A64" s="17" t="n">
        <v>63</v>
      </c>
      <c r="B64" s="9" t="s">
        <v>391</v>
      </c>
      <c r="C64" s="9" t="s">
        <v>392</v>
      </c>
      <c r="D64" s="10" t="s">
        <v>393</v>
      </c>
      <c r="E64" s="11" t="s">
        <v>394</v>
      </c>
      <c r="F64" s="10" t="s">
        <v>395</v>
      </c>
      <c r="G64" s="12" t="s">
        <v>396</v>
      </c>
      <c r="H64" s="13" t="n">
        <v>-0.107</v>
      </c>
      <c r="I64" s="14" t="s">
        <v>96</v>
      </c>
      <c r="J64" s="15" t="s">
        <v>397</v>
      </c>
      <c r="K64" s="9" t="n">
        <v>4</v>
      </c>
      <c r="L64" s="17"/>
      <c r="M64" s="16" t="s">
        <v>105</v>
      </c>
      <c r="N64" s="14"/>
      <c r="O64" s="17" t="s">
        <v>97</v>
      </c>
      <c r="P64" s="10" t="s">
        <v>398</v>
      </c>
      <c r="Q64" s="17"/>
      <c r="R64" s="18" t="s">
        <v>105</v>
      </c>
      <c r="S64" s="19"/>
      <c r="T64" s="15" t="str">
        <f aca="false">IF(R64="維持",J64,IF(R64="排除","無關新聞事件",IFERROR(INDEX(事件規則!$B$2:$B$53,MATCH(S64,事件規則!$A$2:$A$53,0)),"")))</f>
        <v>重大訴訟</v>
      </c>
      <c r="U64" s="20" t="n">
        <f aca="false">IF(R64="維持",K64,IF(R64="排除",0,IFERROR(INDEX(事件規則!$C$2:$C$53,MATCH(S64,事件規則!$A$2:$A$53,0)),"")))</f>
        <v>4</v>
      </c>
      <c r="V64" s="21"/>
      <c r="W64" s="22"/>
      <c r="X64" s="10" t="str">
        <f aca="false">IF(AND(R64="修改",S64=""),"請選新事件代碼",IF(AND(R64&lt;&gt;"修改",S64&lt;&gt;""),"只有「修改」才需填代碼",""))</f>
        <v/>
      </c>
      <c r="Y64" s="21"/>
      <c r="Z64" s="22"/>
      <c r="AA64" s="12" t="s">
        <v>399</v>
      </c>
      <c r="AB64" s="12"/>
    </row>
    <row r="65" customFormat="false" ht="58.2" hidden="false" customHeight="false" outlineLevel="0" collapsed="false">
      <c r="A65" s="17" t="n">
        <v>64</v>
      </c>
      <c r="B65" s="9" t="s">
        <v>391</v>
      </c>
      <c r="C65" s="9" t="s">
        <v>392</v>
      </c>
      <c r="D65" s="10" t="s">
        <v>393</v>
      </c>
      <c r="E65" s="11" t="s">
        <v>400</v>
      </c>
      <c r="F65" s="10" t="s">
        <v>401</v>
      </c>
      <c r="G65" s="12" t="s">
        <v>402</v>
      </c>
      <c r="H65" s="13" t="n">
        <v>-0.486</v>
      </c>
      <c r="I65" s="14" t="s">
        <v>96</v>
      </c>
      <c r="J65" s="15" t="s">
        <v>397</v>
      </c>
      <c r="K65" s="9" t="n">
        <v>4</v>
      </c>
      <c r="L65" s="17"/>
      <c r="M65" s="16" t="s">
        <v>105</v>
      </c>
      <c r="N65" s="14"/>
      <c r="O65" s="17" t="s">
        <v>97</v>
      </c>
      <c r="P65" s="10" t="s">
        <v>398</v>
      </c>
      <c r="Q65" s="17"/>
      <c r="R65" s="18" t="s">
        <v>105</v>
      </c>
      <c r="S65" s="19"/>
      <c r="T65" s="15" t="str">
        <f aca="false">IF(R65="維持",J65,IF(R65="排除","無關新聞事件",IFERROR(INDEX(事件規則!$B$2:$B$53,MATCH(S65,事件規則!$A$2:$A$53,0)),"")))</f>
        <v>重大訴訟</v>
      </c>
      <c r="U65" s="20" t="n">
        <f aca="false">IF(R65="維持",K65,IF(R65="排除",0,IFERROR(INDEX(事件規則!$C$2:$C$53,MATCH(S65,事件規則!$A$2:$A$53,0)),"")))</f>
        <v>4</v>
      </c>
      <c r="V65" s="21"/>
      <c r="W65" s="22"/>
      <c r="X65" s="10" t="str">
        <f aca="false">IF(AND(R65="修改",S65=""),"請選新事件代碼",IF(AND(R65&lt;&gt;"修改",S65&lt;&gt;""),"只有「修改」才需填代碼",""))</f>
        <v/>
      </c>
      <c r="Y65" s="21"/>
      <c r="Z65" s="22"/>
      <c r="AA65" s="12" t="s">
        <v>403</v>
      </c>
      <c r="AB65" s="12"/>
    </row>
    <row r="66" customFormat="false" ht="58.2" hidden="false" customHeight="false" outlineLevel="0" collapsed="false">
      <c r="A66" s="17" t="n">
        <v>65</v>
      </c>
      <c r="B66" s="9" t="s">
        <v>404</v>
      </c>
      <c r="C66" s="9" t="s">
        <v>405</v>
      </c>
      <c r="D66" s="10" t="s">
        <v>406</v>
      </c>
      <c r="E66" s="11" t="s">
        <v>407</v>
      </c>
      <c r="F66" s="10" t="s">
        <v>408</v>
      </c>
      <c r="G66" s="12" t="s">
        <v>409</v>
      </c>
      <c r="H66" s="13" t="n">
        <v>0.01</v>
      </c>
      <c r="I66" s="14" t="s">
        <v>96</v>
      </c>
      <c r="J66" s="15" t="s">
        <v>397</v>
      </c>
      <c r="K66" s="9" t="n">
        <v>4</v>
      </c>
      <c r="L66" s="17"/>
      <c r="M66" s="16" t="s">
        <v>105</v>
      </c>
      <c r="N66" s="14"/>
      <c r="O66" s="17" t="s">
        <v>97</v>
      </c>
      <c r="P66" s="10" t="s">
        <v>410</v>
      </c>
      <c r="Q66" s="17"/>
      <c r="R66" s="18" t="s">
        <v>105</v>
      </c>
      <c r="S66" s="19"/>
      <c r="T66" s="15" t="str">
        <f aca="false">IF(R66="維持",J66,IF(R66="排除","無關新聞事件",IFERROR(INDEX(事件規則!$B$2:$B$53,MATCH(S66,事件規則!$A$2:$A$53,0)),"")))</f>
        <v>重大訴訟</v>
      </c>
      <c r="U66" s="20" t="n">
        <f aca="false">IF(R66="維持",K66,IF(R66="排除",0,IFERROR(INDEX(事件規則!$C$2:$C$53,MATCH(S66,事件規則!$A$2:$A$53,0)),"")))</f>
        <v>4</v>
      </c>
      <c r="V66" s="21"/>
      <c r="W66" s="22"/>
      <c r="X66" s="10" t="str">
        <f aca="false">IF(AND(R66="修改",S66=""),"請選新事件代碼",IF(AND(R66&lt;&gt;"修改",S66&lt;&gt;""),"只有「修改」才需填代碼",""))</f>
        <v/>
      </c>
      <c r="Y66" s="21"/>
      <c r="Z66" s="22"/>
      <c r="AA66" s="12" t="s">
        <v>411</v>
      </c>
      <c r="AB66" s="12"/>
    </row>
    <row r="67" customFormat="false" ht="44" hidden="false" customHeight="false" outlineLevel="0" collapsed="false">
      <c r="A67" s="17" t="n">
        <v>66</v>
      </c>
      <c r="B67" s="9" t="s">
        <v>404</v>
      </c>
      <c r="C67" s="9" t="s">
        <v>412</v>
      </c>
      <c r="D67" s="10" t="s">
        <v>413</v>
      </c>
      <c r="E67" s="11" t="s">
        <v>414</v>
      </c>
      <c r="F67" s="10" t="s">
        <v>415</v>
      </c>
      <c r="G67" s="12" t="s">
        <v>416</v>
      </c>
      <c r="H67" s="13" t="n">
        <v>-0.06</v>
      </c>
      <c r="I67" s="14" t="s">
        <v>96</v>
      </c>
      <c r="J67" s="15" t="s">
        <v>397</v>
      </c>
      <c r="K67" s="9" t="n">
        <v>4</v>
      </c>
      <c r="L67" s="17"/>
      <c r="M67" s="16" t="s">
        <v>105</v>
      </c>
      <c r="N67" s="14"/>
      <c r="O67" s="17" t="s">
        <v>97</v>
      </c>
      <c r="P67" s="10" t="s">
        <v>417</v>
      </c>
      <c r="Q67" s="17"/>
      <c r="R67" s="18" t="s">
        <v>105</v>
      </c>
      <c r="S67" s="19"/>
      <c r="T67" s="15" t="str">
        <f aca="false">IF(R67="維持",J67,IF(R67="排除","無關新聞事件",IFERROR(INDEX(事件規則!$B$2:$B$53,MATCH(S67,事件規則!$A$2:$A$53,0)),"")))</f>
        <v>重大訴訟</v>
      </c>
      <c r="U67" s="20" t="n">
        <f aca="false">IF(R67="維持",K67,IF(R67="排除",0,IFERROR(INDEX(事件規則!$C$2:$C$53,MATCH(S67,事件規則!$A$2:$A$53,0)),"")))</f>
        <v>4</v>
      </c>
      <c r="V67" s="21"/>
      <c r="W67" s="22"/>
      <c r="X67" s="10" t="str">
        <f aca="false">IF(AND(R67="修改",S67=""),"請選新事件代碼",IF(AND(R67&lt;&gt;"修改",S67&lt;&gt;""),"只有「修改」才需填代碼",""))</f>
        <v/>
      </c>
      <c r="Y67" s="21"/>
      <c r="Z67" s="22"/>
      <c r="AA67" s="12" t="s">
        <v>418</v>
      </c>
      <c r="AB67" s="12"/>
    </row>
    <row r="68" customFormat="false" ht="41" hidden="false" customHeight="false" outlineLevel="0" collapsed="false">
      <c r="A68" s="17" t="n">
        <v>67</v>
      </c>
      <c r="B68" s="9" t="s">
        <v>404</v>
      </c>
      <c r="C68" s="9" t="s">
        <v>419</v>
      </c>
      <c r="D68" s="10" t="s">
        <v>420</v>
      </c>
      <c r="E68" s="11" t="s">
        <v>421</v>
      </c>
      <c r="F68" s="15" t="s">
        <v>422</v>
      </c>
      <c r="G68" s="12" t="s">
        <v>416</v>
      </c>
      <c r="H68" s="13" t="n">
        <v>-0.036</v>
      </c>
      <c r="I68" s="14" t="s">
        <v>96</v>
      </c>
      <c r="J68" s="15" t="s">
        <v>397</v>
      </c>
      <c r="K68" s="9" t="n">
        <v>4</v>
      </c>
      <c r="L68" s="17"/>
      <c r="M68" s="16" t="s">
        <v>105</v>
      </c>
      <c r="N68" s="14"/>
      <c r="O68" s="17" t="s">
        <v>97</v>
      </c>
      <c r="P68" s="10" t="s">
        <v>423</v>
      </c>
      <c r="Q68" s="17"/>
      <c r="R68" s="18" t="s">
        <v>105</v>
      </c>
      <c r="S68" s="19"/>
      <c r="T68" s="15" t="str">
        <f aca="false">IF(R68="維持",J68,IF(R68="排除","無關新聞事件",IFERROR(INDEX(事件規則!$B$2:$B$53,MATCH(S68,事件規則!$A$2:$A$53,0)),"")))</f>
        <v>重大訴訟</v>
      </c>
      <c r="U68" s="20" t="n">
        <f aca="false">IF(R68="維持",K68,IF(R68="排除",0,IFERROR(INDEX(事件規則!$C$2:$C$53,MATCH(S68,事件規則!$A$2:$A$53,0)),"")))</f>
        <v>4</v>
      </c>
      <c r="V68" s="21"/>
      <c r="W68" s="22"/>
      <c r="X68" s="10" t="str">
        <f aca="false">IF(AND(R68="修改",S68=""),"請選新事件代碼",IF(AND(R68&lt;&gt;"修改",S68&lt;&gt;""),"只有「修改」才需填代碼",""))</f>
        <v/>
      </c>
      <c r="Y68" s="21"/>
      <c r="Z68" s="22"/>
      <c r="AA68" s="12" t="s">
        <v>424</v>
      </c>
      <c r="AB68" s="12"/>
    </row>
    <row r="69" customFormat="false" ht="29.85" hidden="false" customHeight="false" outlineLevel="0" collapsed="false">
      <c r="A69" s="17" t="n">
        <v>68</v>
      </c>
      <c r="B69" s="9" t="s">
        <v>404</v>
      </c>
      <c r="C69" s="9" t="s">
        <v>392</v>
      </c>
      <c r="D69" s="10" t="s">
        <v>393</v>
      </c>
      <c r="E69" s="11" t="s">
        <v>425</v>
      </c>
      <c r="F69" s="10" t="s">
        <v>426</v>
      </c>
      <c r="G69" s="12" t="s">
        <v>427</v>
      </c>
      <c r="H69" s="13" t="n">
        <v>-0.148</v>
      </c>
      <c r="I69" s="14" t="s">
        <v>96</v>
      </c>
      <c r="J69" s="15" t="s">
        <v>397</v>
      </c>
      <c r="K69" s="9" t="n">
        <v>4</v>
      </c>
      <c r="L69" s="17"/>
      <c r="M69" s="16" t="s">
        <v>105</v>
      </c>
      <c r="N69" s="14"/>
      <c r="O69" s="17" t="s">
        <v>97</v>
      </c>
      <c r="P69" s="10" t="s">
        <v>398</v>
      </c>
      <c r="Q69" s="17"/>
      <c r="R69" s="18" t="s">
        <v>105</v>
      </c>
      <c r="S69" s="19"/>
      <c r="T69" s="15" t="str">
        <f aca="false">IF(R69="維持",J69,IF(R69="排除","無關新聞事件",IFERROR(INDEX(事件規則!$B$2:$B$53,MATCH(S69,事件規則!$A$2:$A$53,0)),"")))</f>
        <v>重大訴訟</v>
      </c>
      <c r="U69" s="20" t="n">
        <f aca="false">IF(R69="維持",K69,IF(R69="排除",0,IFERROR(INDEX(事件規則!$C$2:$C$53,MATCH(S69,事件規則!$A$2:$A$53,0)),"")))</f>
        <v>4</v>
      </c>
      <c r="V69" s="21"/>
      <c r="W69" s="22"/>
      <c r="X69" s="10" t="str">
        <f aca="false">IF(AND(R69="修改",S69=""),"請選新事件代碼",IF(AND(R69&lt;&gt;"修改",S69&lt;&gt;""),"只有「修改」才需填代碼",""))</f>
        <v/>
      </c>
      <c r="Y69" s="21"/>
      <c r="Z69" s="22"/>
      <c r="AA69" s="12" t="s">
        <v>428</v>
      </c>
      <c r="AB69" s="12"/>
    </row>
    <row r="70" customFormat="false" ht="29.85" hidden="false" customHeight="false" outlineLevel="0" collapsed="false">
      <c r="A70" s="17" t="n">
        <v>69</v>
      </c>
      <c r="B70" s="9" t="s">
        <v>404</v>
      </c>
      <c r="C70" s="17"/>
      <c r="D70" s="10" t="s">
        <v>429</v>
      </c>
      <c r="E70" s="11" t="s">
        <v>430</v>
      </c>
      <c r="F70" s="10" t="s">
        <v>431</v>
      </c>
      <c r="G70" s="12" t="s">
        <v>432</v>
      </c>
      <c r="H70" s="13" t="n">
        <v>-0.932</v>
      </c>
      <c r="I70" s="14" t="s">
        <v>96</v>
      </c>
      <c r="J70" s="15" t="s">
        <v>397</v>
      </c>
      <c r="K70" s="9" t="n">
        <v>4</v>
      </c>
      <c r="L70" s="17" t="s">
        <v>320</v>
      </c>
      <c r="M70" s="16" t="s">
        <v>53</v>
      </c>
      <c r="N70" s="14"/>
      <c r="O70" s="17" t="s">
        <v>54</v>
      </c>
      <c r="P70" s="15" t="s">
        <v>433</v>
      </c>
      <c r="Q70" s="17"/>
      <c r="R70" s="18" t="s">
        <v>53</v>
      </c>
      <c r="S70" s="19"/>
      <c r="T70" s="15" t="str">
        <f aca="false">IF(R70="維持",J70,IF(R70="排除","無關新聞事件",IFERROR(INDEX(事件規則!$B$2:$B$53,MATCH(S70,事件規則!$A$2:$A$53,0)),"")))</f>
        <v>無關新聞事件</v>
      </c>
      <c r="U70" s="20" t="n">
        <f aca="false">IF(R70="維持",K70,IF(R70="排除",0,IFERROR(INDEX(事件規則!$C$2:$C$53,MATCH(S70,事件規則!$A$2:$A$53,0)),"")))</f>
        <v>0</v>
      </c>
      <c r="V70" s="21"/>
      <c r="W70" s="22"/>
      <c r="X70" s="10" t="str">
        <f aca="false">IF(AND(R70="修改",S70=""),"請選新事件代碼",IF(AND(R70&lt;&gt;"修改",S70&lt;&gt;""),"只有「修改」才需填代碼",""))</f>
        <v/>
      </c>
      <c r="Y70" s="21"/>
      <c r="Z70" s="22"/>
      <c r="AA70" s="12" t="s">
        <v>434</v>
      </c>
      <c r="AB70" s="12"/>
    </row>
    <row r="71" customFormat="false" ht="58.2" hidden="false" customHeight="false" outlineLevel="0" collapsed="false">
      <c r="A71" s="17" t="n">
        <v>70</v>
      </c>
      <c r="B71" s="9" t="s">
        <v>404</v>
      </c>
      <c r="C71" s="9" t="s">
        <v>419</v>
      </c>
      <c r="D71" s="10" t="s">
        <v>420</v>
      </c>
      <c r="E71" s="11" t="s">
        <v>435</v>
      </c>
      <c r="F71" s="10" t="s">
        <v>436</v>
      </c>
      <c r="G71" s="12" t="s">
        <v>437</v>
      </c>
      <c r="H71" s="13" t="n">
        <v>-0.611</v>
      </c>
      <c r="I71" s="14" t="s">
        <v>96</v>
      </c>
      <c r="J71" s="15" t="s">
        <v>397</v>
      </c>
      <c r="K71" s="9" t="n">
        <v>4</v>
      </c>
      <c r="L71" s="17"/>
      <c r="M71" s="16" t="s">
        <v>105</v>
      </c>
      <c r="N71" s="14"/>
      <c r="O71" s="17" t="s">
        <v>97</v>
      </c>
      <c r="P71" s="10" t="s">
        <v>423</v>
      </c>
      <c r="Q71" s="17"/>
      <c r="R71" s="18" t="s">
        <v>105</v>
      </c>
      <c r="S71" s="19"/>
      <c r="T71" s="15" t="str">
        <f aca="false">IF(R71="維持",J71,IF(R71="排除","無關新聞事件",IFERROR(INDEX(事件規則!$B$2:$B$53,MATCH(S71,事件規則!$A$2:$A$53,0)),"")))</f>
        <v>重大訴訟</v>
      </c>
      <c r="U71" s="20" t="n">
        <f aca="false">IF(R71="維持",K71,IF(R71="排除",0,IFERROR(INDEX(事件規則!$C$2:$C$53,MATCH(S71,事件規則!$A$2:$A$53,0)),"")))</f>
        <v>4</v>
      </c>
      <c r="V71" s="21"/>
      <c r="W71" s="22"/>
      <c r="X71" s="10" t="str">
        <f aca="false">IF(AND(R71="修改",S71=""),"請選新事件代碼",IF(AND(R71&lt;&gt;"修改",S71&lt;&gt;""),"只有「修改」才需填代碼",""))</f>
        <v/>
      </c>
      <c r="Y71" s="21"/>
      <c r="Z71" s="22"/>
      <c r="AA71" s="12" t="s">
        <v>438</v>
      </c>
      <c r="AB71" s="12"/>
    </row>
    <row r="72" customFormat="false" ht="58.2" hidden="false" customHeight="false" outlineLevel="0" collapsed="false">
      <c r="A72" s="17" t="n">
        <v>71</v>
      </c>
      <c r="B72" s="9" t="s">
        <v>126</v>
      </c>
      <c r="C72" s="9" t="s">
        <v>419</v>
      </c>
      <c r="D72" s="10" t="s">
        <v>420</v>
      </c>
      <c r="E72" s="11" t="s">
        <v>439</v>
      </c>
      <c r="F72" s="10" t="s">
        <v>440</v>
      </c>
      <c r="G72" s="12" t="s">
        <v>441</v>
      </c>
      <c r="H72" s="13" t="n">
        <v>-0.769</v>
      </c>
      <c r="I72" s="14" t="s">
        <v>96</v>
      </c>
      <c r="J72" s="15" t="s">
        <v>397</v>
      </c>
      <c r="K72" s="9" t="n">
        <v>4</v>
      </c>
      <c r="L72" s="17"/>
      <c r="M72" s="16" t="s">
        <v>105</v>
      </c>
      <c r="N72" s="14"/>
      <c r="O72" s="17" t="s">
        <v>97</v>
      </c>
      <c r="P72" s="10" t="s">
        <v>423</v>
      </c>
      <c r="Q72" s="17"/>
      <c r="R72" s="18" t="s">
        <v>105</v>
      </c>
      <c r="S72" s="19"/>
      <c r="T72" s="15" t="str">
        <f aca="false">IF(R72="維持",J72,IF(R72="排除","無關新聞事件",IFERROR(INDEX(事件規則!$B$2:$B$53,MATCH(S72,事件規則!$A$2:$A$53,0)),"")))</f>
        <v>重大訴訟</v>
      </c>
      <c r="U72" s="20" t="n">
        <f aca="false">IF(R72="維持",K72,IF(R72="排除",0,IFERROR(INDEX(事件規則!$C$2:$C$53,MATCH(S72,事件規則!$A$2:$A$53,0)),"")))</f>
        <v>4</v>
      </c>
      <c r="V72" s="21"/>
      <c r="W72" s="22"/>
      <c r="X72" s="10" t="str">
        <f aca="false">IF(AND(R72="修改",S72=""),"請選新事件代碼",IF(AND(R72&lt;&gt;"修改",S72&lt;&gt;""),"只有「修改」才需填代碼",""))</f>
        <v/>
      </c>
      <c r="Y72" s="21"/>
      <c r="Z72" s="22"/>
      <c r="AA72" s="12" t="s">
        <v>442</v>
      </c>
      <c r="AB72" s="12"/>
    </row>
    <row r="73" customFormat="false" ht="29.85" hidden="false" customHeight="false" outlineLevel="0" collapsed="false">
      <c r="A73" s="17" t="n">
        <v>72</v>
      </c>
      <c r="B73" s="9" t="s">
        <v>126</v>
      </c>
      <c r="C73" s="9" t="s">
        <v>443</v>
      </c>
      <c r="D73" s="10" t="s">
        <v>444</v>
      </c>
      <c r="E73" s="23" t="s">
        <v>445</v>
      </c>
      <c r="F73" s="15" t="s">
        <v>446</v>
      </c>
      <c r="G73" s="12" t="s">
        <v>319</v>
      </c>
      <c r="H73" s="13"/>
      <c r="I73" s="14" t="s">
        <v>96</v>
      </c>
      <c r="J73" s="15" t="s">
        <v>397</v>
      </c>
      <c r="K73" s="9" t="n">
        <v>4</v>
      </c>
      <c r="L73" s="17"/>
      <c r="M73" s="16" t="s">
        <v>105</v>
      </c>
      <c r="N73" s="14"/>
      <c r="O73" s="17" t="s">
        <v>54</v>
      </c>
      <c r="P73" s="15" t="s">
        <v>447</v>
      </c>
      <c r="Q73" s="17"/>
      <c r="R73" s="18" t="s">
        <v>105</v>
      </c>
      <c r="S73" s="19"/>
      <c r="T73" s="15" t="str">
        <f aca="false">IF(R73="維持",J73,IF(R73="排除","無關新聞事件",IFERROR(INDEX(事件規則!$B$2:$B$53,MATCH(S73,事件規則!$A$2:$A$53,0)),"")))</f>
        <v>重大訴訟</v>
      </c>
      <c r="U73" s="20" t="n">
        <f aca="false">IF(R73="維持",K73,IF(R73="排除",0,IFERROR(INDEX(事件規則!$C$2:$C$53,MATCH(S73,事件規則!$A$2:$A$53,0)),"")))</f>
        <v>4</v>
      </c>
      <c r="V73" s="21"/>
      <c r="W73" s="22"/>
      <c r="X73" s="10" t="str">
        <f aca="false">IF(AND(R73="修改",S73=""),"請選新事件代碼",IF(AND(R73&lt;&gt;"修改",S73&lt;&gt;""),"只有「修改」才需填代碼",""))</f>
        <v/>
      </c>
      <c r="Y73" s="21"/>
      <c r="Z73" s="22"/>
      <c r="AA73" s="12" t="s">
        <v>448</v>
      </c>
      <c r="AB73" s="12"/>
    </row>
    <row r="74" customFormat="false" ht="41" hidden="false" customHeight="false" outlineLevel="0" collapsed="false">
      <c r="A74" s="17" t="n">
        <v>73</v>
      </c>
      <c r="B74" s="9" t="s">
        <v>126</v>
      </c>
      <c r="C74" s="9" t="s">
        <v>449</v>
      </c>
      <c r="D74" s="10" t="s">
        <v>450</v>
      </c>
      <c r="E74" s="11" t="s">
        <v>451</v>
      </c>
      <c r="F74" s="15" t="s">
        <v>452</v>
      </c>
      <c r="G74" s="12" t="s">
        <v>453</v>
      </c>
      <c r="H74" s="13" t="n">
        <v>-0.498</v>
      </c>
      <c r="I74" s="14" t="s">
        <v>96</v>
      </c>
      <c r="J74" s="15" t="s">
        <v>397</v>
      </c>
      <c r="K74" s="9" t="n">
        <v>4</v>
      </c>
      <c r="L74" s="17"/>
      <c r="M74" s="16" t="s">
        <v>53</v>
      </c>
      <c r="N74" s="14"/>
      <c r="O74" s="17" t="s">
        <v>54</v>
      </c>
      <c r="P74" s="15" t="s">
        <v>454</v>
      </c>
      <c r="Q74" s="17"/>
      <c r="R74" s="18" t="s">
        <v>53</v>
      </c>
      <c r="S74" s="19"/>
      <c r="T74" s="15" t="str">
        <f aca="false">IF(R74="維持",J74,IF(R74="排除","無關新聞事件",IFERROR(INDEX(事件規則!$B$2:$B$53,MATCH(S74,事件規則!$A$2:$A$53,0)),"")))</f>
        <v>無關新聞事件</v>
      </c>
      <c r="U74" s="20" t="n">
        <f aca="false">IF(R74="維持",K74,IF(R74="排除",0,IFERROR(INDEX(事件規則!$C$2:$C$53,MATCH(S74,事件規則!$A$2:$A$53,0)),"")))</f>
        <v>0</v>
      </c>
      <c r="V74" s="21"/>
      <c r="W74" s="22"/>
      <c r="X74" s="10" t="str">
        <f aca="false">IF(AND(R74="修改",S74=""),"請選新事件代碼",IF(AND(R74&lt;&gt;"修改",S74&lt;&gt;""),"只有「修改」才需填代碼",""))</f>
        <v/>
      </c>
      <c r="Y74" s="21"/>
      <c r="Z74" s="22"/>
      <c r="AA74" s="12" t="s">
        <v>455</v>
      </c>
      <c r="AB74" s="12"/>
    </row>
    <row r="75" customFormat="false" ht="29.85" hidden="false" customHeight="false" outlineLevel="0" collapsed="false">
      <c r="A75" s="17" t="n">
        <v>74</v>
      </c>
      <c r="B75" s="9" t="s">
        <v>126</v>
      </c>
      <c r="C75" s="9" t="s">
        <v>456</v>
      </c>
      <c r="D75" s="10" t="s">
        <v>457</v>
      </c>
      <c r="E75" s="11" t="s">
        <v>458</v>
      </c>
      <c r="F75" s="10" t="s">
        <v>459</v>
      </c>
      <c r="G75" s="12" t="s">
        <v>94</v>
      </c>
      <c r="H75" s="13" t="n">
        <v>-0.186</v>
      </c>
      <c r="I75" s="14" t="s">
        <v>96</v>
      </c>
      <c r="J75" s="15" t="s">
        <v>397</v>
      </c>
      <c r="K75" s="9" t="n">
        <v>4</v>
      </c>
      <c r="L75" s="17"/>
      <c r="M75" s="16" t="s">
        <v>53</v>
      </c>
      <c r="N75" s="14"/>
      <c r="O75" s="17" t="s">
        <v>97</v>
      </c>
      <c r="P75" s="15" t="s">
        <v>460</v>
      </c>
      <c r="Q75" s="17"/>
      <c r="R75" s="18" t="s">
        <v>53</v>
      </c>
      <c r="S75" s="19"/>
      <c r="T75" s="15" t="str">
        <f aca="false">IF(R75="維持",J75,IF(R75="排除","無關新聞事件",IFERROR(INDEX(事件規則!$B$2:$B$53,MATCH(S75,事件規則!$A$2:$A$53,0)),"")))</f>
        <v>無關新聞事件</v>
      </c>
      <c r="U75" s="20" t="n">
        <f aca="false">IF(R75="維持",K75,IF(R75="排除",0,IFERROR(INDEX(事件規則!$C$2:$C$53,MATCH(S75,事件規則!$A$2:$A$53,0)),"")))</f>
        <v>0</v>
      </c>
      <c r="V75" s="21"/>
      <c r="W75" s="22"/>
      <c r="X75" s="10" t="str">
        <f aca="false">IF(AND(R75="修改",S75=""),"請選新事件代碼",IF(AND(R75&lt;&gt;"修改",S75&lt;&gt;""),"只有「修改」才需填代碼",""))</f>
        <v/>
      </c>
      <c r="Y75" s="21"/>
      <c r="Z75" s="22"/>
      <c r="AA75" s="12" t="s">
        <v>461</v>
      </c>
      <c r="AB75" s="12"/>
    </row>
    <row r="76" customFormat="false" ht="23.85" hidden="false" customHeight="false" outlineLevel="0" collapsed="false">
      <c r="A76" s="17" t="n">
        <v>75</v>
      </c>
      <c r="B76" s="9" t="s">
        <v>126</v>
      </c>
      <c r="C76" s="9" t="s">
        <v>462</v>
      </c>
      <c r="D76" s="10" t="s">
        <v>463</v>
      </c>
      <c r="E76" s="11" t="s">
        <v>464</v>
      </c>
      <c r="F76" s="10" t="s">
        <v>465</v>
      </c>
      <c r="G76" s="12" t="s">
        <v>466</v>
      </c>
      <c r="H76" s="13" t="n">
        <v>-0.448</v>
      </c>
      <c r="I76" s="14" t="s">
        <v>96</v>
      </c>
      <c r="J76" s="15" t="s">
        <v>397</v>
      </c>
      <c r="K76" s="9" t="n">
        <v>4</v>
      </c>
      <c r="L76" s="17"/>
      <c r="M76" s="16" t="s">
        <v>105</v>
      </c>
      <c r="N76" s="14"/>
      <c r="O76" s="17" t="s">
        <v>97</v>
      </c>
      <c r="P76" s="10" t="s">
        <v>467</v>
      </c>
      <c r="Q76" s="17"/>
      <c r="R76" s="18" t="s">
        <v>105</v>
      </c>
      <c r="S76" s="19"/>
      <c r="T76" s="15" t="str">
        <f aca="false">IF(R76="維持",J76,IF(R76="排除","無關新聞事件",IFERROR(INDEX(事件規則!$B$2:$B$53,MATCH(S76,事件規則!$A$2:$A$53,0)),"")))</f>
        <v>重大訴訟</v>
      </c>
      <c r="U76" s="20" t="n">
        <f aca="false">IF(R76="維持",K76,IF(R76="排除",0,IFERROR(INDEX(事件規則!$C$2:$C$53,MATCH(S76,事件規則!$A$2:$A$53,0)),"")))</f>
        <v>4</v>
      </c>
      <c r="V76" s="21"/>
      <c r="W76" s="22"/>
      <c r="X76" s="10" t="str">
        <f aca="false">IF(AND(R76="修改",S76=""),"請選新事件代碼",IF(AND(R76&lt;&gt;"修改",S76&lt;&gt;""),"只有「修改」才需填代碼",""))</f>
        <v/>
      </c>
      <c r="Y76" s="21"/>
      <c r="Z76" s="22"/>
      <c r="AA76" s="12" t="s">
        <v>468</v>
      </c>
      <c r="AB76" s="12"/>
    </row>
    <row r="77" customFormat="false" ht="29.85" hidden="false" customHeight="false" outlineLevel="0" collapsed="false">
      <c r="A77" s="17" t="n">
        <v>76</v>
      </c>
      <c r="B77" s="9" t="s">
        <v>126</v>
      </c>
      <c r="C77" s="9" t="s">
        <v>462</v>
      </c>
      <c r="D77" s="10" t="s">
        <v>463</v>
      </c>
      <c r="E77" s="11" t="s">
        <v>469</v>
      </c>
      <c r="F77" s="10" t="s">
        <v>470</v>
      </c>
      <c r="G77" s="12" t="s">
        <v>416</v>
      </c>
      <c r="H77" s="13" t="n">
        <v>0.033</v>
      </c>
      <c r="I77" s="14" t="s">
        <v>96</v>
      </c>
      <c r="J77" s="15" t="s">
        <v>397</v>
      </c>
      <c r="K77" s="9" t="n">
        <v>4</v>
      </c>
      <c r="L77" s="17"/>
      <c r="M77" s="16" t="s">
        <v>105</v>
      </c>
      <c r="N77" s="14"/>
      <c r="O77" s="17" t="s">
        <v>292</v>
      </c>
      <c r="P77" s="15" t="s">
        <v>471</v>
      </c>
      <c r="Q77" s="17" t="s">
        <v>169</v>
      </c>
      <c r="R77" s="18" t="s">
        <v>105</v>
      </c>
      <c r="S77" s="19"/>
      <c r="T77" s="15" t="str">
        <f aca="false">IF(R77="維持",J77,IF(R77="排除","無關新聞事件",IFERROR(INDEX(事件規則!$B$2:$B$53,MATCH(S77,事件規則!$A$2:$A$53,0)),"")))</f>
        <v>重大訴訟</v>
      </c>
      <c r="U77" s="20" t="n">
        <f aca="false">IF(R77="維持",K77,IF(R77="排除",0,IFERROR(INDEX(事件規則!$C$2:$C$53,MATCH(S77,事件規則!$A$2:$A$53,0)),"")))</f>
        <v>4</v>
      </c>
      <c r="V77" s="21"/>
      <c r="W77" s="22"/>
      <c r="X77" s="10" t="str">
        <f aca="false">IF(AND(R77="修改",S77=""),"請選新事件代碼",IF(AND(R77&lt;&gt;"修改",S77&lt;&gt;""),"只有「修改」才需填代碼",""))</f>
        <v/>
      </c>
      <c r="Y77" s="21"/>
      <c r="Z77" s="22"/>
      <c r="AA77" s="12" t="s">
        <v>472</v>
      </c>
      <c r="AB77" s="12"/>
    </row>
    <row r="78" customFormat="false" ht="29.85" hidden="false" customHeight="false" outlineLevel="0" collapsed="false">
      <c r="A78" s="17" t="n">
        <v>77</v>
      </c>
      <c r="B78" s="9" t="s">
        <v>126</v>
      </c>
      <c r="C78" s="9" t="s">
        <v>412</v>
      </c>
      <c r="D78" s="10" t="s">
        <v>413</v>
      </c>
      <c r="E78" s="11" t="s">
        <v>473</v>
      </c>
      <c r="F78" s="10" t="s">
        <v>474</v>
      </c>
      <c r="G78" s="12" t="s">
        <v>475</v>
      </c>
      <c r="H78" s="13" t="n">
        <v>-0.757</v>
      </c>
      <c r="I78" s="14" t="s">
        <v>96</v>
      </c>
      <c r="J78" s="15" t="s">
        <v>397</v>
      </c>
      <c r="K78" s="9" t="n">
        <v>4</v>
      </c>
      <c r="L78" s="17"/>
      <c r="M78" s="16" t="s">
        <v>105</v>
      </c>
      <c r="N78" s="14"/>
      <c r="O78" s="17" t="s">
        <v>97</v>
      </c>
      <c r="P78" s="10" t="s">
        <v>417</v>
      </c>
      <c r="Q78" s="17"/>
      <c r="R78" s="18" t="s">
        <v>105</v>
      </c>
      <c r="S78" s="19"/>
      <c r="T78" s="15" t="str">
        <f aca="false">IF(R78="維持",J78,IF(R78="排除","無關新聞事件",IFERROR(INDEX(事件規則!$B$2:$B$53,MATCH(S78,事件規則!$A$2:$A$53,0)),"")))</f>
        <v>重大訴訟</v>
      </c>
      <c r="U78" s="20" t="n">
        <f aca="false">IF(R78="維持",K78,IF(R78="排除",0,IFERROR(INDEX(事件規則!$C$2:$C$53,MATCH(S78,事件規則!$A$2:$A$53,0)),"")))</f>
        <v>4</v>
      </c>
      <c r="V78" s="21"/>
      <c r="W78" s="22"/>
      <c r="X78" s="10" t="str">
        <f aca="false">IF(AND(R78="修改",S78=""),"請選新事件代碼",IF(AND(R78&lt;&gt;"修改",S78&lt;&gt;""),"只有「修改」才需填代碼",""))</f>
        <v/>
      </c>
      <c r="Y78" s="21"/>
      <c r="Z78" s="22"/>
      <c r="AA78" s="12" t="s">
        <v>476</v>
      </c>
      <c r="AB78" s="12"/>
    </row>
    <row r="79" customFormat="false" ht="29.85" hidden="false" customHeight="false" outlineLevel="0" collapsed="false">
      <c r="A79" s="17" t="n">
        <v>78</v>
      </c>
      <c r="B79" s="9" t="s">
        <v>126</v>
      </c>
      <c r="C79" s="9" t="s">
        <v>443</v>
      </c>
      <c r="D79" s="10" t="s">
        <v>444</v>
      </c>
      <c r="E79" s="11" t="s">
        <v>477</v>
      </c>
      <c r="F79" s="15" t="s">
        <v>478</v>
      </c>
      <c r="G79" s="12" t="s">
        <v>479</v>
      </c>
      <c r="H79" s="13" t="n">
        <v>-0.222</v>
      </c>
      <c r="I79" s="14" t="s">
        <v>96</v>
      </c>
      <c r="J79" s="15" t="s">
        <v>397</v>
      </c>
      <c r="K79" s="9" t="n">
        <v>4</v>
      </c>
      <c r="L79" s="17"/>
      <c r="M79" s="16" t="s">
        <v>105</v>
      </c>
      <c r="N79" s="14"/>
      <c r="O79" s="17" t="s">
        <v>97</v>
      </c>
      <c r="P79" s="15" t="s">
        <v>480</v>
      </c>
      <c r="Q79" s="17"/>
      <c r="R79" s="18" t="s">
        <v>105</v>
      </c>
      <c r="S79" s="19"/>
      <c r="T79" s="15" t="str">
        <f aca="false">IF(R79="維持",J79,IF(R79="排除","無關新聞事件",IFERROR(INDEX(事件規則!$B$2:$B$53,MATCH(S79,事件規則!$A$2:$A$53,0)),"")))</f>
        <v>重大訴訟</v>
      </c>
      <c r="U79" s="20" t="n">
        <f aca="false">IF(R79="維持",K79,IF(R79="排除",0,IFERROR(INDEX(事件規則!$C$2:$C$53,MATCH(S79,事件規則!$A$2:$A$53,0)),"")))</f>
        <v>4</v>
      </c>
      <c r="V79" s="21"/>
      <c r="W79" s="22"/>
      <c r="X79" s="10" t="str">
        <f aca="false">IF(AND(R79="修改",S79=""),"請選新事件代碼",IF(AND(R79&lt;&gt;"修改",S79&lt;&gt;""),"只有「修改」才需填代碼",""))</f>
        <v/>
      </c>
      <c r="Y79" s="21"/>
      <c r="Z79" s="22"/>
      <c r="AA79" s="12" t="s">
        <v>481</v>
      </c>
      <c r="AB79" s="12"/>
    </row>
    <row r="80" customFormat="false" ht="44" hidden="false" customHeight="false" outlineLevel="0" collapsed="false">
      <c r="A80" s="17" t="n">
        <v>79</v>
      </c>
      <c r="B80" s="9" t="s">
        <v>126</v>
      </c>
      <c r="C80" s="9" t="s">
        <v>392</v>
      </c>
      <c r="D80" s="10" t="s">
        <v>393</v>
      </c>
      <c r="E80" s="11" t="s">
        <v>482</v>
      </c>
      <c r="F80" s="15" t="s">
        <v>483</v>
      </c>
      <c r="G80" s="12" t="s">
        <v>416</v>
      </c>
      <c r="H80" s="13" t="n">
        <v>-0.299</v>
      </c>
      <c r="I80" s="14" t="s">
        <v>96</v>
      </c>
      <c r="J80" s="15" t="s">
        <v>397</v>
      </c>
      <c r="K80" s="9" t="n">
        <v>4</v>
      </c>
      <c r="L80" s="17"/>
      <c r="M80" s="16" t="s">
        <v>105</v>
      </c>
      <c r="N80" s="14"/>
      <c r="O80" s="17" t="s">
        <v>97</v>
      </c>
      <c r="P80" s="10" t="s">
        <v>398</v>
      </c>
      <c r="Q80" s="17"/>
      <c r="R80" s="18" t="s">
        <v>105</v>
      </c>
      <c r="S80" s="19"/>
      <c r="T80" s="15" t="str">
        <f aca="false">IF(R80="維持",J80,IF(R80="排除","無關新聞事件",IFERROR(INDEX(事件規則!$B$2:$B$53,MATCH(S80,事件規則!$A$2:$A$53,0)),"")))</f>
        <v>重大訴訟</v>
      </c>
      <c r="U80" s="20" t="n">
        <f aca="false">IF(R80="維持",K80,IF(R80="排除",0,IFERROR(INDEX(事件規則!$C$2:$C$53,MATCH(S80,事件規則!$A$2:$A$53,0)),"")))</f>
        <v>4</v>
      </c>
      <c r="V80" s="21"/>
      <c r="W80" s="22"/>
      <c r="X80" s="10" t="str">
        <f aca="false">IF(AND(R80="修改",S80=""),"請選新事件代碼",IF(AND(R80&lt;&gt;"修改",S80&lt;&gt;""),"只有「修改」才需填代碼",""))</f>
        <v/>
      </c>
      <c r="Y80" s="21"/>
      <c r="Z80" s="22"/>
      <c r="AA80" s="12" t="s">
        <v>484</v>
      </c>
      <c r="AB80" s="12"/>
    </row>
    <row r="81" customFormat="false" ht="29.85" hidden="false" customHeight="false" outlineLevel="0" collapsed="false">
      <c r="A81" s="17" t="n">
        <v>80</v>
      </c>
      <c r="B81" s="9" t="s">
        <v>126</v>
      </c>
      <c r="C81" s="9" t="s">
        <v>449</v>
      </c>
      <c r="D81" s="10" t="s">
        <v>450</v>
      </c>
      <c r="E81" s="11" t="s">
        <v>485</v>
      </c>
      <c r="F81" s="15" t="s">
        <v>486</v>
      </c>
      <c r="G81" s="12" t="s">
        <v>453</v>
      </c>
      <c r="H81" s="13" t="n">
        <v>-0.096</v>
      </c>
      <c r="I81" s="14" t="s">
        <v>96</v>
      </c>
      <c r="J81" s="15" t="s">
        <v>397</v>
      </c>
      <c r="K81" s="9" t="n">
        <v>4</v>
      </c>
      <c r="L81" s="17"/>
      <c r="M81" s="16" t="s">
        <v>53</v>
      </c>
      <c r="N81" s="14"/>
      <c r="O81" s="17" t="s">
        <v>54</v>
      </c>
      <c r="P81" s="15" t="s">
        <v>454</v>
      </c>
      <c r="Q81" s="17"/>
      <c r="R81" s="18" t="s">
        <v>53</v>
      </c>
      <c r="S81" s="19"/>
      <c r="T81" s="15" t="str">
        <f aca="false">IF(R81="維持",J81,IF(R81="排除","無關新聞事件",IFERROR(INDEX(事件規則!$B$2:$B$53,MATCH(S81,事件規則!$A$2:$A$53,0)),"")))</f>
        <v>無關新聞事件</v>
      </c>
      <c r="U81" s="20" t="n">
        <f aca="false">IF(R81="維持",K81,IF(R81="排除",0,IFERROR(INDEX(事件規則!$C$2:$C$53,MATCH(S81,事件規則!$A$2:$A$53,0)),"")))</f>
        <v>0</v>
      </c>
      <c r="V81" s="21"/>
      <c r="W81" s="22"/>
      <c r="X81" s="10" t="str">
        <f aca="false">IF(AND(R81="修改",S81=""),"請選新事件代碼",IF(AND(R81&lt;&gt;"修改",S81&lt;&gt;""),"只有「修改」才需填代碼",""))</f>
        <v/>
      </c>
      <c r="Y81" s="21"/>
      <c r="Z81" s="22"/>
      <c r="AA81" s="12" t="s">
        <v>487</v>
      </c>
      <c r="AB81" s="12"/>
    </row>
    <row r="82" customFormat="false" ht="29.85" hidden="false" customHeight="false" outlineLevel="0" collapsed="false">
      <c r="A82" s="17" t="n">
        <v>81</v>
      </c>
      <c r="B82" s="9" t="s">
        <v>126</v>
      </c>
      <c r="C82" s="17"/>
      <c r="D82" s="10" t="s">
        <v>488</v>
      </c>
      <c r="E82" s="11" t="s">
        <v>489</v>
      </c>
      <c r="F82" s="15" t="s">
        <v>490</v>
      </c>
      <c r="G82" s="12" t="s">
        <v>491</v>
      </c>
      <c r="H82" s="13" t="n">
        <v>0.03</v>
      </c>
      <c r="I82" s="14" t="s">
        <v>96</v>
      </c>
      <c r="J82" s="15" t="s">
        <v>397</v>
      </c>
      <c r="K82" s="9" t="n">
        <v>4</v>
      </c>
      <c r="L82" s="17" t="s">
        <v>320</v>
      </c>
      <c r="M82" s="16" t="s">
        <v>53</v>
      </c>
      <c r="N82" s="14"/>
      <c r="O82" s="17" t="s">
        <v>54</v>
      </c>
      <c r="P82" s="15" t="s">
        <v>492</v>
      </c>
      <c r="Q82" s="17"/>
      <c r="R82" s="18" t="s">
        <v>53</v>
      </c>
      <c r="S82" s="19"/>
      <c r="T82" s="15" t="str">
        <f aca="false">IF(R82="維持",J82,IF(R82="排除","無關新聞事件",IFERROR(INDEX(事件規則!$B$2:$B$53,MATCH(S82,事件規則!$A$2:$A$53,0)),"")))</f>
        <v>無關新聞事件</v>
      </c>
      <c r="U82" s="20" t="n">
        <f aca="false">IF(R82="維持",K82,IF(R82="排除",0,IFERROR(INDEX(事件規則!$C$2:$C$53,MATCH(S82,事件規則!$A$2:$A$53,0)),"")))</f>
        <v>0</v>
      </c>
      <c r="V82" s="21"/>
      <c r="W82" s="22"/>
      <c r="X82" s="10" t="str">
        <f aca="false">IF(AND(R82="修改",S82=""),"請選新事件代碼",IF(AND(R82&lt;&gt;"修改",S82&lt;&gt;""),"只有「修改」才需填代碼",""))</f>
        <v/>
      </c>
      <c r="Y82" s="21"/>
      <c r="Z82" s="22"/>
      <c r="AA82" s="12" t="s">
        <v>493</v>
      </c>
      <c r="AB82" s="12"/>
    </row>
    <row r="83" customFormat="false" ht="35.05" hidden="false" customHeight="false" outlineLevel="0" collapsed="false">
      <c r="A83" s="17" t="n">
        <v>82</v>
      </c>
      <c r="B83" s="9" t="s">
        <v>126</v>
      </c>
      <c r="C83" s="9" t="s">
        <v>113</v>
      </c>
      <c r="D83" s="10" t="s">
        <v>114</v>
      </c>
      <c r="E83" s="11" t="s">
        <v>494</v>
      </c>
      <c r="F83" s="10" t="s">
        <v>495</v>
      </c>
      <c r="G83" s="12" t="s">
        <v>496</v>
      </c>
      <c r="H83" s="13" t="n">
        <v>-0.906</v>
      </c>
      <c r="I83" s="14" t="s">
        <v>96</v>
      </c>
      <c r="J83" s="15" t="s">
        <v>397</v>
      </c>
      <c r="K83" s="9" t="n">
        <v>4</v>
      </c>
      <c r="L83" s="17"/>
      <c r="M83" s="16" t="s">
        <v>53</v>
      </c>
      <c r="N83" s="14"/>
      <c r="O83" s="17" t="s">
        <v>97</v>
      </c>
      <c r="P83" s="15" t="s">
        <v>460</v>
      </c>
      <c r="Q83" s="17"/>
      <c r="R83" s="18" t="s">
        <v>53</v>
      </c>
      <c r="S83" s="19"/>
      <c r="T83" s="15" t="str">
        <f aca="false">IF(R83="維持",J83,IF(R83="排除","無關新聞事件",IFERROR(INDEX(事件規則!$B$2:$B$53,MATCH(S83,事件規則!$A$2:$A$53,0)),"")))</f>
        <v>無關新聞事件</v>
      </c>
      <c r="U83" s="20" t="n">
        <f aca="false">IF(R83="維持",K83,IF(R83="排除",0,IFERROR(INDEX(事件規則!$C$2:$C$53,MATCH(S83,事件規則!$A$2:$A$53,0)),"")))</f>
        <v>0</v>
      </c>
      <c r="V83" s="21"/>
      <c r="W83" s="22"/>
      <c r="X83" s="10" t="str">
        <f aca="false">IF(AND(R83="修改",S83=""),"請選新事件代碼",IF(AND(R83&lt;&gt;"修改",S83&lt;&gt;""),"只有「修改」才需填代碼",""))</f>
        <v/>
      </c>
      <c r="Y83" s="21"/>
      <c r="Z83" s="22"/>
      <c r="AA83" s="12" t="s">
        <v>497</v>
      </c>
      <c r="AB83" s="12"/>
    </row>
    <row r="84" customFormat="false" ht="44" hidden="false" customHeight="false" outlineLevel="0" collapsed="false">
      <c r="A84" s="17" t="n">
        <v>83</v>
      </c>
      <c r="B84" s="9" t="s">
        <v>126</v>
      </c>
      <c r="C84" s="9" t="s">
        <v>412</v>
      </c>
      <c r="D84" s="10" t="s">
        <v>413</v>
      </c>
      <c r="E84" s="11" t="s">
        <v>498</v>
      </c>
      <c r="F84" s="10" t="s">
        <v>499</v>
      </c>
      <c r="G84" s="12" t="s">
        <v>416</v>
      </c>
      <c r="H84" s="13" t="n">
        <v>-0.724</v>
      </c>
      <c r="I84" s="14" t="s">
        <v>96</v>
      </c>
      <c r="J84" s="15" t="s">
        <v>397</v>
      </c>
      <c r="K84" s="9" t="n">
        <v>4</v>
      </c>
      <c r="L84" s="17"/>
      <c r="M84" s="16" t="s">
        <v>105</v>
      </c>
      <c r="N84" s="14"/>
      <c r="O84" s="17" t="s">
        <v>97</v>
      </c>
      <c r="P84" s="10" t="s">
        <v>417</v>
      </c>
      <c r="Q84" s="17"/>
      <c r="R84" s="18" t="s">
        <v>105</v>
      </c>
      <c r="S84" s="19"/>
      <c r="T84" s="15" t="str">
        <f aca="false">IF(R84="維持",J84,IF(R84="排除","無關新聞事件",IFERROR(INDEX(事件規則!$B$2:$B$53,MATCH(S84,事件規則!$A$2:$A$53,0)),"")))</f>
        <v>重大訴訟</v>
      </c>
      <c r="U84" s="20" t="n">
        <f aca="false">IF(R84="維持",K84,IF(R84="排除",0,IFERROR(INDEX(事件規則!$C$2:$C$53,MATCH(S84,事件規則!$A$2:$A$53,0)),"")))</f>
        <v>4</v>
      </c>
      <c r="V84" s="21"/>
      <c r="W84" s="22"/>
      <c r="X84" s="10" t="str">
        <f aca="false">IF(AND(R84="修改",S84=""),"請選新事件代碼",IF(AND(R84&lt;&gt;"修改",S84&lt;&gt;""),"只有「修改」才需填代碼",""))</f>
        <v/>
      </c>
      <c r="Y84" s="21"/>
      <c r="Z84" s="22"/>
      <c r="AA84" s="12" t="s">
        <v>500</v>
      </c>
      <c r="AB84" s="12"/>
    </row>
    <row r="85" customFormat="false" ht="44" hidden="false" customHeight="false" outlineLevel="0" collapsed="false">
      <c r="A85" s="17" t="n">
        <v>84</v>
      </c>
      <c r="B85" s="9" t="s">
        <v>126</v>
      </c>
      <c r="C85" s="9" t="s">
        <v>405</v>
      </c>
      <c r="D85" s="10" t="s">
        <v>406</v>
      </c>
      <c r="E85" s="11" t="s">
        <v>501</v>
      </c>
      <c r="F85" s="10" t="s">
        <v>502</v>
      </c>
      <c r="G85" s="12" t="s">
        <v>503</v>
      </c>
      <c r="H85" s="13" t="n">
        <v>-0.621</v>
      </c>
      <c r="I85" s="14" t="s">
        <v>96</v>
      </c>
      <c r="J85" s="15" t="s">
        <v>397</v>
      </c>
      <c r="K85" s="9" t="n">
        <v>4</v>
      </c>
      <c r="L85" s="17"/>
      <c r="M85" s="16" t="s">
        <v>105</v>
      </c>
      <c r="N85" s="14"/>
      <c r="O85" s="17" t="s">
        <v>97</v>
      </c>
      <c r="P85" s="10" t="s">
        <v>410</v>
      </c>
      <c r="Q85" s="17"/>
      <c r="R85" s="18" t="s">
        <v>105</v>
      </c>
      <c r="S85" s="19"/>
      <c r="T85" s="15" t="str">
        <f aca="false">IF(R85="維持",J85,IF(R85="排除","無關新聞事件",IFERROR(INDEX(事件規則!$B$2:$B$53,MATCH(S85,事件規則!$A$2:$A$53,0)),"")))</f>
        <v>重大訴訟</v>
      </c>
      <c r="U85" s="20" t="n">
        <f aca="false">IF(R85="維持",K85,IF(R85="排除",0,IFERROR(INDEX(事件規則!$C$2:$C$53,MATCH(S85,事件規則!$A$2:$A$53,0)),"")))</f>
        <v>4</v>
      </c>
      <c r="V85" s="21"/>
      <c r="W85" s="22"/>
      <c r="X85" s="10" t="str">
        <f aca="false">IF(AND(R85="修改",S85=""),"請選新事件代碼",IF(AND(R85&lt;&gt;"修改",S85&lt;&gt;""),"只有「修改」才需填代碼",""))</f>
        <v/>
      </c>
      <c r="Y85" s="21"/>
      <c r="Z85" s="22"/>
      <c r="AA85" s="12" t="s">
        <v>504</v>
      </c>
      <c r="AB85" s="12"/>
    </row>
    <row r="86" customFormat="false" ht="44" hidden="false" customHeight="false" outlineLevel="0" collapsed="false">
      <c r="A86" s="17" t="n">
        <v>85</v>
      </c>
      <c r="B86" s="9" t="s">
        <v>505</v>
      </c>
      <c r="C86" s="9" t="s">
        <v>419</v>
      </c>
      <c r="D86" s="10" t="s">
        <v>420</v>
      </c>
      <c r="E86" s="11" t="s">
        <v>506</v>
      </c>
      <c r="F86" s="10" t="s">
        <v>507</v>
      </c>
      <c r="G86" s="12" t="s">
        <v>416</v>
      </c>
      <c r="H86" s="13" t="n">
        <v>-0.732</v>
      </c>
      <c r="I86" s="14" t="s">
        <v>96</v>
      </c>
      <c r="J86" s="15" t="s">
        <v>397</v>
      </c>
      <c r="K86" s="9" t="n">
        <v>4</v>
      </c>
      <c r="L86" s="17"/>
      <c r="M86" s="16" t="s">
        <v>105</v>
      </c>
      <c r="N86" s="14"/>
      <c r="O86" s="17" t="s">
        <v>97</v>
      </c>
      <c r="P86" s="10" t="s">
        <v>423</v>
      </c>
      <c r="Q86" s="17"/>
      <c r="R86" s="18" t="s">
        <v>105</v>
      </c>
      <c r="S86" s="19"/>
      <c r="T86" s="15" t="str">
        <f aca="false">IF(R86="維持",J86,IF(R86="排除","無關新聞事件",IFERROR(INDEX(事件規則!$B$2:$B$53,MATCH(S86,事件規則!$A$2:$A$53,0)),"")))</f>
        <v>重大訴訟</v>
      </c>
      <c r="U86" s="20" t="n">
        <f aca="false">IF(R86="維持",K86,IF(R86="排除",0,IFERROR(INDEX(事件規則!$C$2:$C$53,MATCH(S86,事件規則!$A$2:$A$53,0)),"")))</f>
        <v>4</v>
      </c>
      <c r="V86" s="21"/>
      <c r="W86" s="22"/>
      <c r="X86" s="10" t="str">
        <f aca="false">IF(AND(R86="修改",S86=""),"請選新事件代碼",IF(AND(R86&lt;&gt;"修改",S86&lt;&gt;""),"只有「修改」才需填代碼",""))</f>
        <v/>
      </c>
      <c r="Y86" s="21"/>
      <c r="Z86" s="22"/>
      <c r="AA86" s="12" t="s">
        <v>508</v>
      </c>
      <c r="AB86" s="12"/>
    </row>
    <row r="87" customFormat="false" ht="29.85" hidden="false" customHeight="false" outlineLevel="0" collapsed="false">
      <c r="A87" s="17" t="n">
        <v>86</v>
      </c>
      <c r="B87" s="9" t="s">
        <v>505</v>
      </c>
      <c r="C87" s="9" t="s">
        <v>392</v>
      </c>
      <c r="D87" s="10" t="s">
        <v>393</v>
      </c>
      <c r="E87" s="11" t="s">
        <v>509</v>
      </c>
      <c r="F87" s="10" t="s">
        <v>510</v>
      </c>
      <c r="G87" s="12" t="s">
        <v>416</v>
      </c>
      <c r="H87" s="13" t="n">
        <v>-0.028</v>
      </c>
      <c r="I87" s="14" t="s">
        <v>96</v>
      </c>
      <c r="J87" s="15" t="s">
        <v>397</v>
      </c>
      <c r="K87" s="9" t="n">
        <v>4</v>
      </c>
      <c r="L87" s="17"/>
      <c r="M87" s="16" t="s">
        <v>105</v>
      </c>
      <c r="N87" s="14"/>
      <c r="O87" s="17" t="s">
        <v>97</v>
      </c>
      <c r="P87" s="10" t="s">
        <v>398</v>
      </c>
      <c r="Q87" s="17"/>
      <c r="R87" s="18" t="s">
        <v>105</v>
      </c>
      <c r="S87" s="19"/>
      <c r="T87" s="15" t="str">
        <f aca="false">IF(R87="維持",J87,IF(R87="排除","無關新聞事件",IFERROR(INDEX(事件規則!$B$2:$B$53,MATCH(S87,事件規則!$A$2:$A$53,0)),"")))</f>
        <v>重大訴訟</v>
      </c>
      <c r="U87" s="20" t="n">
        <f aca="false">IF(R87="維持",K87,IF(R87="排除",0,IFERROR(INDEX(事件規則!$C$2:$C$53,MATCH(S87,事件規則!$A$2:$A$53,0)),"")))</f>
        <v>4</v>
      </c>
      <c r="V87" s="21"/>
      <c r="W87" s="22"/>
      <c r="X87" s="10" t="str">
        <f aca="false">IF(AND(R87="修改",S87=""),"請選新事件代碼",IF(AND(R87&lt;&gt;"修改",S87&lt;&gt;""),"只有「修改」才需填代碼",""))</f>
        <v/>
      </c>
      <c r="Y87" s="21"/>
      <c r="Z87" s="22"/>
      <c r="AA87" s="12" t="s">
        <v>511</v>
      </c>
      <c r="AB87" s="12"/>
    </row>
    <row r="88" customFormat="false" ht="29.85" hidden="false" customHeight="false" outlineLevel="0" collapsed="false">
      <c r="A88" s="17" t="n">
        <v>87</v>
      </c>
      <c r="B88" s="9" t="s">
        <v>505</v>
      </c>
      <c r="C88" s="9" t="s">
        <v>512</v>
      </c>
      <c r="D88" s="10" t="s">
        <v>513</v>
      </c>
      <c r="E88" s="11" t="s">
        <v>514</v>
      </c>
      <c r="F88" s="10" t="s">
        <v>515</v>
      </c>
      <c r="G88" s="12" t="s">
        <v>496</v>
      </c>
      <c r="H88" s="13" t="n">
        <v>-0.91</v>
      </c>
      <c r="I88" s="14" t="s">
        <v>96</v>
      </c>
      <c r="J88" s="15" t="s">
        <v>397</v>
      </c>
      <c r="K88" s="9" t="n">
        <v>4</v>
      </c>
      <c r="L88" s="17"/>
      <c r="M88" s="16" t="s">
        <v>95</v>
      </c>
      <c r="N88" s="14" t="s">
        <v>516</v>
      </c>
      <c r="O88" s="17" t="s">
        <v>97</v>
      </c>
      <c r="P88" s="10" t="s">
        <v>517</v>
      </c>
      <c r="Q88" s="17"/>
      <c r="R88" s="18" t="s">
        <v>95</v>
      </c>
      <c r="S88" s="19" t="s">
        <v>516</v>
      </c>
      <c r="T88" s="15" t="str">
        <f aca="false">IF(R88="維持",J88,IF(R88="排除","無關新聞事件",IFERROR(INDEX(事件規則!$B$2:$B$53,MATCH(S88,事件規則!$A$2:$A$53,0)),"")))</f>
        <v>資料外洩</v>
      </c>
      <c r="U88" s="20" t="n">
        <f aca="false">IF(R88="維持",K88,IF(R88="排除",0,IFERROR(INDEX(事件規則!$C$2:$C$53,MATCH(S88,事件規則!$A$2:$A$53,0)),"")))</f>
        <v>3</v>
      </c>
      <c r="V88" s="21"/>
      <c r="W88" s="22"/>
      <c r="X88" s="10" t="str">
        <f aca="false">IF(AND(R88="修改",S88=""),"請選新事件代碼",IF(AND(R88&lt;&gt;"修改",S88&lt;&gt;""),"只有「修改」才需填代碼",""))</f>
        <v/>
      </c>
      <c r="Y88" s="21"/>
      <c r="Z88" s="22"/>
      <c r="AA88" s="12" t="s">
        <v>518</v>
      </c>
      <c r="AB88" s="12"/>
    </row>
    <row r="89" customFormat="false" ht="58.2" hidden="false" customHeight="false" outlineLevel="0" collapsed="false">
      <c r="A89" s="17" t="n">
        <v>88</v>
      </c>
      <c r="B89" s="9" t="s">
        <v>45</v>
      </c>
      <c r="C89" s="9" t="s">
        <v>419</v>
      </c>
      <c r="D89" s="10" t="s">
        <v>420</v>
      </c>
      <c r="E89" s="11" t="s">
        <v>519</v>
      </c>
      <c r="F89" s="15" t="s">
        <v>520</v>
      </c>
      <c r="G89" s="12" t="s">
        <v>416</v>
      </c>
      <c r="H89" s="13" t="n">
        <v>-0.907</v>
      </c>
      <c r="I89" s="14" t="s">
        <v>96</v>
      </c>
      <c r="J89" s="15" t="s">
        <v>397</v>
      </c>
      <c r="K89" s="9" t="n">
        <v>4</v>
      </c>
      <c r="L89" s="17"/>
      <c r="M89" s="16" t="s">
        <v>105</v>
      </c>
      <c r="N89" s="14"/>
      <c r="O89" s="17" t="s">
        <v>97</v>
      </c>
      <c r="P89" s="10" t="s">
        <v>423</v>
      </c>
      <c r="Q89" s="17"/>
      <c r="R89" s="18" t="s">
        <v>105</v>
      </c>
      <c r="S89" s="19"/>
      <c r="T89" s="15" t="str">
        <f aca="false">IF(R89="維持",J89,IF(R89="排除","無關新聞事件",IFERROR(INDEX(事件規則!$B$2:$B$53,MATCH(S89,事件規則!$A$2:$A$53,0)),"")))</f>
        <v>重大訴訟</v>
      </c>
      <c r="U89" s="20" t="n">
        <f aca="false">IF(R89="維持",K89,IF(R89="排除",0,IFERROR(INDEX(事件規則!$C$2:$C$53,MATCH(S89,事件規則!$A$2:$A$53,0)),"")))</f>
        <v>4</v>
      </c>
      <c r="V89" s="21"/>
      <c r="W89" s="22"/>
      <c r="X89" s="10" t="str">
        <f aca="false">IF(AND(R89="修改",S89=""),"請選新事件代碼",IF(AND(R89&lt;&gt;"修改",S89&lt;&gt;""),"只有「修改」才需填代碼",""))</f>
        <v/>
      </c>
      <c r="Y89" s="21"/>
      <c r="Z89" s="22"/>
      <c r="AA89" s="12" t="s">
        <v>521</v>
      </c>
      <c r="AB89" s="12"/>
    </row>
    <row r="90" customFormat="false" ht="29.85" hidden="false" customHeight="false" outlineLevel="0" collapsed="false">
      <c r="A90" s="17" t="n">
        <v>89</v>
      </c>
      <c r="B90" s="9" t="s">
        <v>45</v>
      </c>
      <c r="C90" s="9" t="s">
        <v>72</v>
      </c>
      <c r="D90" s="10" t="s">
        <v>73</v>
      </c>
      <c r="E90" s="11" t="s">
        <v>522</v>
      </c>
      <c r="F90" s="15" t="s">
        <v>523</v>
      </c>
      <c r="G90" s="12" t="s">
        <v>496</v>
      </c>
      <c r="H90" s="13" t="n">
        <v>-0.07</v>
      </c>
      <c r="I90" s="14" t="s">
        <v>96</v>
      </c>
      <c r="J90" s="15" t="s">
        <v>397</v>
      </c>
      <c r="K90" s="9" t="n">
        <v>4</v>
      </c>
      <c r="L90" s="17"/>
      <c r="M90" s="16" t="s">
        <v>53</v>
      </c>
      <c r="N90" s="14"/>
      <c r="O90" s="17" t="s">
        <v>97</v>
      </c>
      <c r="P90" s="15" t="s">
        <v>460</v>
      </c>
      <c r="Q90" s="17"/>
      <c r="R90" s="18" t="s">
        <v>53</v>
      </c>
      <c r="S90" s="19"/>
      <c r="T90" s="15" t="str">
        <f aca="false">IF(R90="維持",J90,IF(R90="排除","無關新聞事件",IFERROR(INDEX(事件規則!$B$2:$B$53,MATCH(S90,事件規則!$A$2:$A$53,0)),"")))</f>
        <v>無關新聞事件</v>
      </c>
      <c r="U90" s="20" t="n">
        <f aca="false">IF(R90="維持",K90,IF(R90="排除",0,IFERROR(INDEX(事件規則!$C$2:$C$53,MATCH(S90,事件規則!$A$2:$A$53,0)),"")))</f>
        <v>0</v>
      </c>
      <c r="V90" s="21"/>
      <c r="W90" s="22"/>
      <c r="X90" s="10" t="str">
        <f aca="false">IF(AND(R90="修改",S90=""),"請選新事件代碼",IF(AND(R90&lt;&gt;"修改",S90&lt;&gt;""),"只有「修改」才需填代碼",""))</f>
        <v/>
      </c>
      <c r="Y90" s="21"/>
      <c r="Z90" s="22"/>
      <c r="AA90" s="12" t="s">
        <v>524</v>
      </c>
      <c r="AB90" s="12"/>
    </row>
    <row r="91" customFormat="false" ht="29.85" hidden="false" customHeight="false" outlineLevel="0" collapsed="false">
      <c r="A91" s="17" t="n">
        <v>90</v>
      </c>
      <c r="B91" s="9" t="s">
        <v>45</v>
      </c>
      <c r="C91" s="17"/>
      <c r="D91" s="10" t="s">
        <v>525</v>
      </c>
      <c r="E91" s="23" t="s">
        <v>526</v>
      </c>
      <c r="F91" s="15" t="s">
        <v>527</v>
      </c>
      <c r="G91" s="12" t="s">
        <v>319</v>
      </c>
      <c r="H91" s="13"/>
      <c r="I91" s="14" t="s">
        <v>96</v>
      </c>
      <c r="J91" s="15" t="s">
        <v>397</v>
      </c>
      <c r="K91" s="9" t="n">
        <v>4</v>
      </c>
      <c r="L91" s="17" t="s">
        <v>320</v>
      </c>
      <c r="M91" s="16" t="s">
        <v>105</v>
      </c>
      <c r="N91" s="14"/>
      <c r="O91" s="17" t="s">
        <v>54</v>
      </c>
      <c r="P91" s="15" t="s">
        <v>528</v>
      </c>
      <c r="Q91" s="17"/>
      <c r="R91" s="18" t="s">
        <v>105</v>
      </c>
      <c r="S91" s="19"/>
      <c r="T91" s="15" t="str">
        <f aca="false">IF(R91="維持",J91,IF(R91="排除","無關新聞事件",IFERROR(INDEX(事件規則!$B$2:$B$53,MATCH(S91,事件規則!$A$2:$A$53,0)),"")))</f>
        <v>重大訴訟</v>
      </c>
      <c r="U91" s="20" t="n">
        <f aca="false">IF(R91="維持",K91,IF(R91="排除",0,IFERROR(INDEX(事件規則!$C$2:$C$53,MATCH(S91,事件規則!$A$2:$A$53,0)),"")))</f>
        <v>4</v>
      </c>
      <c r="V91" s="21"/>
      <c r="W91" s="22" t="s">
        <v>529</v>
      </c>
      <c r="X91" s="10" t="str">
        <f aca="false">IF(AND(R91="修改",S91=""),"請選新事件代碼",IF(AND(R91&lt;&gt;"修改",S91&lt;&gt;""),"只有「修改」才需填代碼",""))</f>
        <v/>
      </c>
      <c r="Y91" s="21"/>
      <c r="Z91" s="22"/>
      <c r="AA91" s="12" t="s">
        <v>530</v>
      </c>
      <c r="AB91" s="12"/>
    </row>
    <row r="92" customFormat="false" ht="41" hidden="false" customHeight="false" outlineLevel="0" collapsed="false">
      <c r="A92" s="17" t="n">
        <v>91</v>
      </c>
      <c r="B92" s="9" t="s">
        <v>45</v>
      </c>
      <c r="C92" s="9" t="s">
        <v>419</v>
      </c>
      <c r="D92" s="10" t="s">
        <v>420</v>
      </c>
      <c r="E92" s="11" t="s">
        <v>421</v>
      </c>
      <c r="F92" s="15" t="s">
        <v>422</v>
      </c>
      <c r="G92" s="12" t="s">
        <v>416</v>
      </c>
      <c r="H92" s="13" t="n">
        <v>-0.036</v>
      </c>
      <c r="I92" s="14" t="s">
        <v>96</v>
      </c>
      <c r="J92" s="15" t="s">
        <v>397</v>
      </c>
      <c r="K92" s="9" t="n">
        <v>4</v>
      </c>
      <c r="L92" s="17"/>
      <c r="M92" s="16" t="s">
        <v>105</v>
      </c>
      <c r="N92" s="14"/>
      <c r="O92" s="17" t="s">
        <v>97</v>
      </c>
      <c r="P92" s="10" t="s">
        <v>423</v>
      </c>
      <c r="Q92" s="17"/>
      <c r="R92" s="18" t="s">
        <v>105</v>
      </c>
      <c r="S92" s="19"/>
      <c r="T92" s="15" t="str">
        <f aca="false">IF(R92="維持",J92,IF(R92="排除","無關新聞事件",IFERROR(INDEX(事件規則!$B$2:$B$53,MATCH(S92,事件規則!$A$2:$A$53,0)),"")))</f>
        <v>重大訴訟</v>
      </c>
      <c r="U92" s="20" t="n">
        <f aca="false">IF(R92="維持",K92,IF(R92="排除",0,IFERROR(INDEX(事件規則!$C$2:$C$53,MATCH(S92,事件規則!$A$2:$A$53,0)),"")))</f>
        <v>4</v>
      </c>
      <c r="V92" s="21"/>
      <c r="W92" s="22"/>
      <c r="X92" s="10" t="str">
        <f aca="false">IF(AND(R92="修改",S92=""),"請選新事件代碼",IF(AND(R92&lt;&gt;"修改",S92&lt;&gt;""),"只有「修改」才需填代碼",""))</f>
        <v/>
      </c>
      <c r="Y92" s="21"/>
      <c r="Z92" s="22"/>
      <c r="AA92" s="12" t="s">
        <v>531</v>
      </c>
      <c r="AB92" s="12"/>
    </row>
    <row r="93" customFormat="false" ht="23.85" hidden="false" customHeight="false" outlineLevel="0" collapsed="false">
      <c r="A93" s="17" t="n">
        <v>92</v>
      </c>
      <c r="B93" s="9" t="s">
        <v>45</v>
      </c>
      <c r="C93" s="9" t="s">
        <v>419</v>
      </c>
      <c r="D93" s="10" t="s">
        <v>420</v>
      </c>
      <c r="E93" s="11" t="s">
        <v>532</v>
      </c>
      <c r="F93" s="10" t="s">
        <v>533</v>
      </c>
      <c r="G93" s="12" t="s">
        <v>503</v>
      </c>
      <c r="H93" s="13" t="n">
        <v>0.02</v>
      </c>
      <c r="I93" s="14" t="s">
        <v>96</v>
      </c>
      <c r="J93" s="15" t="s">
        <v>397</v>
      </c>
      <c r="K93" s="9" t="n">
        <v>4</v>
      </c>
      <c r="L93" s="17"/>
      <c r="M93" s="16" t="s">
        <v>105</v>
      </c>
      <c r="N93" s="14"/>
      <c r="O93" s="17" t="s">
        <v>97</v>
      </c>
      <c r="P93" s="10" t="s">
        <v>423</v>
      </c>
      <c r="Q93" s="17"/>
      <c r="R93" s="18" t="s">
        <v>105</v>
      </c>
      <c r="S93" s="19"/>
      <c r="T93" s="15" t="str">
        <f aca="false">IF(R93="維持",J93,IF(R93="排除","無關新聞事件",IFERROR(INDEX(事件規則!$B$2:$B$53,MATCH(S93,事件規則!$A$2:$A$53,0)),"")))</f>
        <v>重大訴訟</v>
      </c>
      <c r="U93" s="20" t="n">
        <f aca="false">IF(R93="維持",K93,IF(R93="排除",0,IFERROR(INDEX(事件規則!$C$2:$C$53,MATCH(S93,事件規則!$A$2:$A$53,0)),"")))</f>
        <v>4</v>
      </c>
      <c r="V93" s="21"/>
      <c r="W93" s="22"/>
      <c r="X93" s="10" t="str">
        <f aca="false">IF(AND(R93="修改",S93=""),"請選新事件代碼",IF(AND(R93&lt;&gt;"修改",S93&lt;&gt;""),"只有「修改」才需填代碼",""))</f>
        <v/>
      </c>
      <c r="Y93" s="21"/>
      <c r="Z93" s="22"/>
      <c r="AA93" s="12" t="s">
        <v>534</v>
      </c>
      <c r="AB93" s="12"/>
    </row>
    <row r="94" customFormat="false" ht="29.85" hidden="false" customHeight="false" outlineLevel="0" collapsed="false">
      <c r="A94" s="17" t="n">
        <v>93</v>
      </c>
      <c r="B94" s="9" t="s">
        <v>57</v>
      </c>
      <c r="C94" s="9" t="s">
        <v>535</v>
      </c>
      <c r="D94" s="10" t="s">
        <v>536</v>
      </c>
      <c r="E94" s="11" t="s">
        <v>537</v>
      </c>
      <c r="F94" s="15" t="s">
        <v>538</v>
      </c>
      <c r="G94" s="12" t="s">
        <v>539</v>
      </c>
      <c r="H94" s="13" t="n">
        <v>-0.803</v>
      </c>
      <c r="I94" s="14" t="s">
        <v>96</v>
      </c>
      <c r="J94" s="15" t="s">
        <v>397</v>
      </c>
      <c r="K94" s="9" t="n">
        <v>4</v>
      </c>
      <c r="L94" s="17"/>
      <c r="M94" s="16" t="s">
        <v>105</v>
      </c>
      <c r="N94" s="14"/>
      <c r="O94" s="17" t="s">
        <v>292</v>
      </c>
      <c r="P94" s="15" t="s">
        <v>540</v>
      </c>
      <c r="Q94" s="17" t="s">
        <v>169</v>
      </c>
      <c r="R94" s="18" t="s">
        <v>105</v>
      </c>
      <c r="S94" s="19"/>
      <c r="T94" s="15" t="str">
        <f aca="false">IF(R94="維持",J94,IF(R94="排除","無關新聞事件",IFERROR(INDEX(事件規則!$B$2:$B$53,MATCH(S94,事件規則!$A$2:$A$53,0)),"")))</f>
        <v>重大訴訟</v>
      </c>
      <c r="U94" s="20" t="n">
        <f aca="false">IF(R94="維持",K94,IF(R94="排除",0,IFERROR(INDEX(事件規則!$C$2:$C$53,MATCH(S94,事件規則!$A$2:$A$53,0)),"")))</f>
        <v>4</v>
      </c>
      <c r="V94" s="21"/>
      <c r="W94" s="22"/>
      <c r="X94" s="10" t="str">
        <f aca="false">IF(AND(R94="修改",S94=""),"請選新事件代碼",IF(AND(R94&lt;&gt;"修改",S94&lt;&gt;""),"只有「修改」才需填代碼",""))</f>
        <v/>
      </c>
      <c r="Y94" s="21"/>
      <c r="Z94" s="22"/>
      <c r="AA94" s="12" t="s">
        <v>541</v>
      </c>
      <c r="AB94" s="12"/>
    </row>
    <row r="95" customFormat="false" ht="29.85" hidden="false" customHeight="false" outlineLevel="0" collapsed="false">
      <c r="A95" s="17" t="n">
        <v>94</v>
      </c>
      <c r="B95" s="9" t="s">
        <v>57</v>
      </c>
      <c r="C95" s="9" t="s">
        <v>449</v>
      </c>
      <c r="D95" s="10" t="s">
        <v>450</v>
      </c>
      <c r="E95" s="11" t="s">
        <v>542</v>
      </c>
      <c r="F95" s="15" t="s">
        <v>543</v>
      </c>
      <c r="G95" s="12" t="s">
        <v>496</v>
      </c>
      <c r="H95" s="13" t="n">
        <v>-0.804</v>
      </c>
      <c r="I95" s="14" t="s">
        <v>96</v>
      </c>
      <c r="J95" s="15" t="s">
        <v>397</v>
      </c>
      <c r="K95" s="9" t="n">
        <v>4</v>
      </c>
      <c r="L95" s="17"/>
      <c r="M95" s="16" t="s">
        <v>53</v>
      </c>
      <c r="N95" s="14"/>
      <c r="O95" s="17" t="s">
        <v>97</v>
      </c>
      <c r="P95" s="15" t="s">
        <v>460</v>
      </c>
      <c r="Q95" s="17"/>
      <c r="R95" s="18" t="s">
        <v>53</v>
      </c>
      <c r="S95" s="19"/>
      <c r="T95" s="15" t="str">
        <f aca="false">IF(R95="維持",J95,IF(R95="排除","無關新聞事件",IFERROR(INDEX(事件規則!$B$2:$B$53,MATCH(S95,事件規則!$A$2:$A$53,0)),"")))</f>
        <v>無關新聞事件</v>
      </c>
      <c r="U95" s="20" t="n">
        <f aca="false">IF(R95="維持",K95,IF(R95="排除",0,IFERROR(INDEX(事件規則!$C$2:$C$53,MATCH(S95,事件規則!$A$2:$A$53,0)),"")))</f>
        <v>0</v>
      </c>
      <c r="V95" s="21"/>
      <c r="W95" s="22"/>
      <c r="X95" s="10" t="str">
        <f aca="false">IF(AND(R95="修改",S95=""),"請選新事件代碼",IF(AND(R95&lt;&gt;"修改",S95&lt;&gt;""),"只有「修改」才需填代碼",""))</f>
        <v/>
      </c>
      <c r="Y95" s="21"/>
      <c r="Z95" s="22"/>
      <c r="AA95" s="12" t="s">
        <v>544</v>
      </c>
      <c r="AB95" s="12"/>
    </row>
    <row r="96" customFormat="false" ht="58.2" hidden="false" customHeight="false" outlineLevel="0" collapsed="false">
      <c r="A96" s="17" t="n">
        <v>95</v>
      </c>
      <c r="B96" s="9" t="s">
        <v>57</v>
      </c>
      <c r="C96" s="9" t="s">
        <v>419</v>
      </c>
      <c r="D96" s="10" t="s">
        <v>420</v>
      </c>
      <c r="E96" s="11" t="s">
        <v>545</v>
      </c>
      <c r="F96" s="10" t="s">
        <v>546</v>
      </c>
      <c r="G96" s="12" t="s">
        <v>547</v>
      </c>
      <c r="H96" s="13" t="n">
        <v>-0.012</v>
      </c>
      <c r="I96" s="14" t="s">
        <v>96</v>
      </c>
      <c r="J96" s="15" t="s">
        <v>397</v>
      </c>
      <c r="K96" s="9" t="n">
        <v>4</v>
      </c>
      <c r="L96" s="17"/>
      <c r="M96" s="16" t="s">
        <v>105</v>
      </c>
      <c r="N96" s="14"/>
      <c r="O96" s="17" t="s">
        <v>97</v>
      </c>
      <c r="P96" s="10" t="s">
        <v>423</v>
      </c>
      <c r="Q96" s="17"/>
      <c r="R96" s="18" t="s">
        <v>105</v>
      </c>
      <c r="S96" s="19"/>
      <c r="T96" s="15" t="str">
        <f aca="false">IF(R96="維持",J96,IF(R96="排除","無關新聞事件",IFERROR(INDEX(事件規則!$B$2:$B$53,MATCH(S96,事件規則!$A$2:$A$53,0)),"")))</f>
        <v>重大訴訟</v>
      </c>
      <c r="U96" s="20" t="n">
        <f aca="false">IF(R96="維持",K96,IF(R96="排除",0,IFERROR(INDEX(事件規則!$C$2:$C$53,MATCH(S96,事件規則!$A$2:$A$53,0)),"")))</f>
        <v>4</v>
      </c>
      <c r="V96" s="21"/>
      <c r="W96" s="22"/>
      <c r="X96" s="10" t="str">
        <f aca="false">IF(AND(R96="修改",S96=""),"請選新事件代碼",IF(AND(R96&lt;&gt;"修改",S96&lt;&gt;""),"只有「修改」才需填代碼",""))</f>
        <v/>
      </c>
      <c r="Y96" s="21"/>
      <c r="Z96" s="22"/>
      <c r="AA96" s="12" t="s">
        <v>548</v>
      </c>
      <c r="AB96" s="12"/>
    </row>
    <row r="97" customFormat="false" ht="55.2" hidden="false" customHeight="false" outlineLevel="0" collapsed="false">
      <c r="A97" s="17" t="n">
        <v>96</v>
      </c>
      <c r="B97" s="9" t="s">
        <v>57</v>
      </c>
      <c r="C97" s="9" t="s">
        <v>412</v>
      </c>
      <c r="D97" s="10" t="s">
        <v>413</v>
      </c>
      <c r="E97" s="11" t="s">
        <v>549</v>
      </c>
      <c r="F97" s="10" t="s">
        <v>550</v>
      </c>
      <c r="G97" s="12" t="s">
        <v>396</v>
      </c>
      <c r="H97" s="13" t="n">
        <v>-0.228</v>
      </c>
      <c r="I97" s="14" t="s">
        <v>96</v>
      </c>
      <c r="J97" s="15" t="s">
        <v>397</v>
      </c>
      <c r="K97" s="9" t="n">
        <v>4</v>
      </c>
      <c r="L97" s="17"/>
      <c r="M97" s="16" t="s">
        <v>105</v>
      </c>
      <c r="N97" s="14"/>
      <c r="O97" s="17" t="s">
        <v>97</v>
      </c>
      <c r="P97" s="10" t="s">
        <v>417</v>
      </c>
      <c r="Q97" s="17"/>
      <c r="R97" s="18" t="s">
        <v>105</v>
      </c>
      <c r="S97" s="19"/>
      <c r="T97" s="15" t="str">
        <f aca="false">IF(R97="維持",J97,IF(R97="排除","無關新聞事件",IFERROR(INDEX(事件規則!$B$2:$B$53,MATCH(S97,事件規則!$A$2:$A$53,0)),"")))</f>
        <v>重大訴訟</v>
      </c>
      <c r="U97" s="20" t="n">
        <f aca="false">IF(R97="維持",K97,IF(R97="排除",0,IFERROR(INDEX(事件規則!$C$2:$C$53,MATCH(S97,事件規則!$A$2:$A$53,0)),"")))</f>
        <v>4</v>
      </c>
      <c r="V97" s="21"/>
      <c r="W97" s="22"/>
      <c r="X97" s="10" t="str">
        <f aca="false">IF(AND(R97="修改",S97=""),"請選新事件代碼",IF(AND(R97&lt;&gt;"修改",S97&lt;&gt;""),"只有「修改」才需填代碼",""))</f>
        <v/>
      </c>
      <c r="Y97" s="21"/>
      <c r="Z97" s="22"/>
      <c r="AA97" s="12" t="s">
        <v>551</v>
      </c>
      <c r="AB97" s="12"/>
    </row>
    <row r="98" customFormat="false" ht="29.85" hidden="false" customHeight="false" outlineLevel="0" collapsed="false">
      <c r="A98" s="17" t="n">
        <v>97</v>
      </c>
      <c r="B98" s="9" t="s">
        <v>57</v>
      </c>
      <c r="C98" s="9" t="s">
        <v>552</v>
      </c>
      <c r="D98" s="10" t="s">
        <v>553</v>
      </c>
      <c r="E98" s="11" t="s">
        <v>554</v>
      </c>
      <c r="F98" s="15" t="s">
        <v>555</v>
      </c>
      <c r="G98" s="12" t="s">
        <v>556</v>
      </c>
      <c r="H98" s="13" t="n">
        <v>-0.057</v>
      </c>
      <c r="I98" s="14" t="s">
        <v>96</v>
      </c>
      <c r="J98" s="15" t="s">
        <v>397</v>
      </c>
      <c r="K98" s="9" t="n">
        <v>4</v>
      </c>
      <c r="L98" s="17"/>
      <c r="M98" s="16" t="s">
        <v>53</v>
      </c>
      <c r="N98" s="14"/>
      <c r="O98" s="17" t="s">
        <v>54</v>
      </c>
      <c r="P98" s="15" t="s">
        <v>557</v>
      </c>
      <c r="Q98" s="17"/>
      <c r="R98" s="18" t="s">
        <v>53</v>
      </c>
      <c r="S98" s="19"/>
      <c r="T98" s="15" t="str">
        <f aca="false">IF(R98="維持",J98,IF(R98="排除","無關新聞事件",IFERROR(INDEX(事件規則!$B$2:$B$53,MATCH(S98,事件規則!$A$2:$A$53,0)),"")))</f>
        <v>無關新聞事件</v>
      </c>
      <c r="U98" s="20" t="n">
        <f aca="false">IF(R98="維持",K98,IF(R98="排除",0,IFERROR(INDEX(事件規則!$C$2:$C$53,MATCH(S98,事件規則!$A$2:$A$53,0)),"")))</f>
        <v>0</v>
      </c>
      <c r="V98" s="21"/>
      <c r="W98" s="22"/>
      <c r="X98" s="10" t="str">
        <f aca="false">IF(AND(R98="修改",S98=""),"請選新事件代碼",IF(AND(R98&lt;&gt;"修改",S98&lt;&gt;""),"只有「修改」才需填代碼",""))</f>
        <v/>
      </c>
      <c r="Y98" s="21"/>
      <c r="Z98" s="22"/>
      <c r="AA98" s="12" t="s">
        <v>558</v>
      </c>
      <c r="AB98" s="12"/>
    </row>
    <row r="99" customFormat="false" ht="44" hidden="false" customHeight="false" outlineLevel="0" collapsed="false">
      <c r="A99" s="17" t="n">
        <v>98</v>
      </c>
      <c r="B99" s="9" t="s">
        <v>57</v>
      </c>
      <c r="C99" s="9" t="s">
        <v>392</v>
      </c>
      <c r="D99" s="10" t="s">
        <v>393</v>
      </c>
      <c r="E99" s="11" t="s">
        <v>559</v>
      </c>
      <c r="F99" s="10" t="s">
        <v>560</v>
      </c>
      <c r="G99" s="12" t="s">
        <v>416</v>
      </c>
      <c r="H99" s="13" t="n">
        <v>-0.174</v>
      </c>
      <c r="I99" s="14" t="s">
        <v>96</v>
      </c>
      <c r="J99" s="15" t="s">
        <v>397</v>
      </c>
      <c r="K99" s="9" t="n">
        <v>4</v>
      </c>
      <c r="L99" s="17"/>
      <c r="M99" s="16" t="s">
        <v>105</v>
      </c>
      <c r="N99" s="14"/>
      <c r="O99" s="17" t="s">
        <v>97</v>
      </c>
      <c r="P99" s="10" t="s">
        <v>398</v>
      </c>
      <c r="Q99" s="17"/>
      <c r="R99" s="18" t="s">
        <v>105</v>
      </c>
      <c r="S99" s="19"/>
      <c r="T99" s="15" t="str">
        <f aca="false">IF(R99="維持",J99,IF(R99="排除","無關新聞事件",IFERROR(INDEX(事件規則!$B$2:$B$53,MATCH(S99,事件規則!$A$2:$A$53,0)),"")))</f>
        <v>重大訴訟</v>
      </c>
      <c r="U99" s="20" t="n">
        <f aca="false">IF(R99="維持",K99,IF(R99="排除",0,IFERROR(INDEX(事件規則!$C$2:$C$53,MATCH(S99,事件規則!$A$2:$A$53,0)),"")))</f>
        <v>4</v>
      </c>
      <c r="V99" s="21"/>
      <c r="W99" s="22"/>
      <c r="X99" s="10" t="str">
        <f aca="false">IF(AND(R99="修改",S99=""),"請選新事件代碼",IF(AND(R99&lt;&gt;"修改",S99&lt;&gt;""),"只有「修改」才需填代碼",""))</f>
        <v/>
      </c>
      <c r="Y99" s="21"/>
      <c r="Z99" s="22"/>
      <c r="AA99" s="12" t="s">
        <v>561</v>
      </c>
      <c r="AB99" s="12"/>
    </row>
    <row r="100" customFormat="false" ht="29.85" hidden="false" customHeight="false" outlineLevel="0" collapsed="false">
      <c r="A100" s="17" t="n">
        <v>99</v>
      </c>
      <c r="B100" s="9" t="s">
        <v>57</v>
      </c>
      <c r="C100" s="17"/>
      <c r="D100" s="10" t="s">
        <v>562</v>
      </c>
      <c r="E100" s="23" t="s">
        <v>563</v>
      </c>
      <c r="F100" s="15" t="s">
        <v>564</v>
      </c>
      <c r="G100" s="12" t="s">
        <v>319</v>
      </c>
      <c r="H100" s="13"/>
      <c r="I100" s="14" t="s">
        <v>96</v>
      </c>
      <c r="J100" s="15" t="s">
        <v>397</v>
      </c>
      <c r="K100" s="9" t="n">
        <v>4</v>
      </c>
      <c r="L100" s="17" t="s">
        <v>320</v>
      </c>
      <c r="M100" s="16" t="s">
        <v>105</v>
      </c>
      <c r="N100" s="14"/>
      <c r="O100" s="17" t="s">
        <v>97</v>
      </c>
      <c r="P100" s="15" t="s">
        <v>565</v>
      </c>
      <c r="Q100" s="17"/>
      <c r="R100" s="18" t="s">
        <v>105</v>
      </c>
      <c r="S100" s="19"/>
      <c r="T100" s="15" t="str">
        <f aca="false">IF(R100="維持",J100,IF(R100="排除","無關新聞事件",IFERROR(INDEX(事件規則!$B$2:$B$53,MATCH(S100,事件規則!$A$2:$A$53,0)),"")))</f>
        <v>重大訴訟</v>
      </c>
      <c r="U100" s="20" t="n">
        <f aca="false">IF(R100="維持",K100,IF(R100="排除",0,IFERROR(INDEX(事件規則!$C$2:$C$53,MATCH(S100,事件規則!$A$2:$A$53,0)),"")))</f>
        <v>4</v>
      </c>
      <c r="V100" s="21"/>
      <c r="W100" s="22" t="s">
        <v>566</v>
      </c>
      <c r="X100" s="10" t="str">
        <f aca="false">IF(AND(R100="修改",S100=""),"請選新事件代碼",IF(AND(R100&lt;&gt;"修改",S100&lt;&gt;""),"只有「修改」才需填代碼",""))</f>
        <v/>
      </c>
      <c r="Y100" s="21"/>
      <c r="Z100" s="22"/>
      <c r="AA100" s="12" t="s">
        <v>567</v>
      </c>
      <c r="AB100" s="12"/>
    </row>
    <row r="101" customFormat="false" ht="58.2" hidden="false" customHeight="false" outlineLevel="0" collapsed="false">
      <c r="A101" s="17" t="n">
        <v>100</v>
      </c>
      <c r="B101" s="9" t="s">
        <v>57</v>
      </c>
      <c r="C101" s="9" t="s">
        <v>419</v>
      </c>
      <c r="D101" s="10" t="s">
        <v>420</v>
      </c>
      <c r="E101" s="11" t="s">
        <v>568</v>
      </c>
      <c r="F101" s="10" t="s">
        <v>569</v>
      </c>
      <c r="G101" s="12" t="s">
        <v>570</v>
      </c>
      <c r="H101" s="13" t="n">
        <v>-0.561</v>
      </c>
      <c r="I101" s="14" t="s">
        <v>96</v>
      </c>
      <c r="J101" s="15" t="s">
        <v>397</v>
      </c>
      <c r="K101" s="9" t="n">
        <v>4</v>
      </c>
      <c r="L101" s="17"/>
      <c r="M101" s="16" t="s">
        <v>105</v>
      </c>
      <c r="N101" s="14"/>
      <c r="O101" s="17" t="s">
        <v>97</v>
      </c>
      <c r="P101" s="10" t="s">
        <v>423</v>
      </c>
      <c r="Q101" s="17"/>
      <c r="R101" s="18" t="s">
        <v>105</v>
      </c>
      <c r="S101" s="19"/>
      <c r="T101" s="15" t="str">
        <f aca="false">IF(R101="維持",J101,IF(R101="排除","無關新聞事件",IFERROR(INDEX(事件規則!$B$2:$B$53,MATCH(S101,事件規則!$A$2:$A$53,0)),"")))</f>
        <v>重大訴訟</v>
      </c>
      <c r="U101" s="20" t="n">
        <f aca="false">IF(R101="維持",K101,IF(R101="排除",0,IFERROR(INDEX(事件規則!$C$2:$C$53,MATCH(S101,事件規則!$A$2:$A$53,0)),"")))</f>
        <v>4</v>
      </c>
      <c r="V101" s="21"/>
      <c r="W101" s="22"/>
      <c r="X101" s="10" t="str">
        <f aca="false">IF(AND(R101="修改",S101=""),"請選新事件代碼",IF(AND(R101&lt;&gt;"修改",S101&lt;&gt;""),"只有「修改」才需填代碼",""))</f>
        <v/>
      </c>
      <c r="Y101" s="21"/>
      <c r="Z101" s="22"/>
      <c r="AA101" s="12" t="s">
        <v>571</v>
      </c>
      <c r="AB101" s="12"/>
    </row>
    <row r="102" customFormat="false" ht="29.85" hidden="false" customHeight="false" outlineLevel="0" collapsed="false">
      <c r="A102" s="17" t="n">
        <v>101</v>
      </c>
      <c r="B102" s="9" t="s">
        <v>57</v>
      </c>
      <c r="C102" s="9" t="s">
        <v>552</v>
      </c>
      <c r="D102" s="10" t="s">
        <v>553</v>
      </c>
      <c r="E102" s="11" t="s">
        <v>572</v>
      </c>
      <c r="F102" s="15" t="s">
        <v>573</v>
      </c>
      <c r="G102" s="12" t="s">
        <v>574</v>
      </c>
      <c r="H102" s="13" t="n">
        <v>0.753</v>
      </c>
      <c r="I102" s="14" t="s">
        <v>96</v>
      </c>
      <c r="J102" s="15" t="s">
        <v>397</v>
      </c>
      <c r="K102" s="9" t="n">
        <v>4</v>
      </c>
      <c r="L102" s="17"/>
      <c r="M102" s="16" t="s">
        <v>53</v>
      </c>
      <c r="N102" s="14"/>
      <c r="O102" s="17" t="s">
        <v>54</v>
      </c>
      <c r="P102" s="15" t="s">
        <v>557</v>
      </c>
      <c r="Q102" s="17"/>
      <c r="R102" s="18" t="s">
        <v>53</v>
      </c>
      <c r="S102" s="19"/>
      <c r="T102" s="15" t="str">
        <f aca="false">IF(R102="維持",J102,IF(R102="排除","無關新聞事件",IFERROR(INDEX(事件規則!$B$2:$B$53,MATCH(S102,事件規則!$A$2:$A$53,0)),"")))</f>
        <v>無關新聞事件</v>
      </c>
      <c r="U102" s="20" t="n">
        <f aca="false">IF(R102="維持",K102,IF(R102="排除",0,IFERROR(INDEX(事件規則!$C$2:$C$53,MATCH(S102,事件規則!$A$2:$A$53,0)),"")))</f>
        <v>0</v>
      </c>
      <c r="V102" s="21"/>
      <c r="W102" s="22"/>
      <c r="X102" s="10" t="str">
        <f aca="false">IF(AND(R102="修改",S102=""),"請選新事件代碼",IF(AND(R102&lt;&gt;"修改",S102&lt;&gt;""),"只有「修改」才需填代碼",""))</f>
        <v/>
      </c>
      <c r="Y102" s="21"/>
      <c r="Z102" s="22"/>
      <c r="AA102" s="12" t="s">
        <v>575</v>
      </c>
      <c r="AB102" s="12"/>
    </row>
    <row r="103" customFormat="false" ht="44" hidden="false" customHeight="false" outlineLevel="0" collapsed="false">
      <c r="A103" s="17" t="n">
        <v>102</v>
      </c>
      <c r="B103" s="9" t="s">
        <v>57</v>
      </c>
      <c r="C103" s="9" t="s">
        <v>419</v>
      </c>
      <c r="D103" s="10" t="s">
        <v>420</v>
      </c>
      <c r="E103" s="11" t="s">
        <v>576</v>
      </c>
      <c r="F103" s="10" t="s">
        <v>577</v>
      </c>
      <c r="G103" s="12" t="s">
        <v>416</v>
      </c>
      <c r="H103" s="13" t="n">
        <v>-0.036</v>
      </c>
      <c r="I103" s="14" t="s">
        <v>96</v>
      </c>
      <c r="J103" s="15" t="s">
        <v>397</v>
      </c>
      <c r="K103" s="9" t="n">
        <v>4</v>
      </c>
      <c r="L103" s="17"/>
      <c r="M103" s="16" t="s">
        <v>105</v>
      </c>
      <c r="N103" s="14"/>
      <c r="O103" s="17" t="s">
        <v>97</v>
      </c>
      <c r="P103" s="10" t="s">
        <v>423</v>
      </c>
      <c r="Q103" s="17"/>
      <c r="R103" s="18" t="s">
        <v>105</v>
      </c>
      <c r="S103" s="19"/>
      <c r="T103" s="15" t="str">
        <f aca="false">IF(R103="維持",J103,IF(R103="排除","無關新聞事件",IFERROR(INDEX(事件規則!$B$2:$B$53,MATCH(S103,事件規則!$A$2:$A$53,0)),"")))</f>
        <v>重大訴訟</v>
      </c>
      <c r="U103" s="20" t="n">
        <f aca="false">IF(R103="維持",K103,IF(R103="排除",0,IFERROR(INDEX(事件規則!$C$2:$C$53,MATCH(S103,事件規則!$A$2:$A$53,0)),"")))</f>
        <v>4</v>
      </c>
      <c r="V103" s="21"/>
      <c r="W103" s="22"/>
      <c r="X103" s="10" t="str">
        <f aca="false">IF(AND(R103="修改",S103=""),"請選新事件代碼",IF(AND(R103&lt;&gt;"修改",S103&lt;&gt;""),"只有「修改」才需填代碼",""))</f>
        <v/>
      </c>
      <c r="Y103" s="21"/>
      <c r="Z103" s="22"/>
      <c r="AA103" s="12" t="s">
        <v>578</v>
      </c>
      <c r="AB103" s="12"/>
    </row>
    <row r="104" customFormat="false" ht="44" hidden="false" customHeight="false" outlineLevel="0" collapsed="false">
      <c r="A104" s="17" t="n">
        <v>103</v>
      </c>
      <c r="B104" s="9" t="s">
        <v>57</v>
      </c>
      <c r="C104" s="9" t="s">
        <v>392</v>
      </c>
      <c r="D104" s="10" t="s">
        <v>393</v>
      </c>
      <c r="E104" s="11" t="s">
        <v>579</v>
      </c>
      <c r="F104" s="10" t="s">
        <v>580</v>
      </c>
      <c r="G104" s="12" t="s">
        <v>416</v>
      </c>
      <c r="H104" s="13" t="n">
        <v>-0.277</v>
      </c>
      <c r="I104" s="14" t="s">
        <v>96</v>
      </c>
      <c r="J104" s="15" t="s">
        <v>397</v>
      </c>
      <c r="K104" s="9" t="n">
        <v>4</v>
      </c>
      <c r="L104" s="17"/>
      <c r="M104" s="16" t="s">
        <v>105</v>
      </c>
      <c r="N104" s="14"/>
      <c r="O104" s="17" t="s">
        <v>97</v>
      </c>
      <c r="P104" s="10" t="s">
        <v>398</v>
      </c>
      <c r="Q104" s="17"/>
      <c r="R104" s="18" t="s">
        <v>105</v>
      </c>
      <c r="S104" s="19"/>
      <c r="T104" s="15" t="str">
        <f aca="false">IF(R104="維持",J104,IF(R104="排除","無關新聞事件",IFERROR(INDEX(事件規則!$B$2:$B$53,MATCH(S104,事件規則!$A$2:$A$53,0)),"")))</f>
        <v>重大訴訟</v>
      </c>
      <c r="U104" s="20" t="n">
        <f aca="false">IF(R104="維持",K104,IF(R104="排除",0,IFERROR(INDEX(事件規則!$C$2:$C$53,MATCH(S104,事件規則!$A$2:$A$53,0)),"")))</f>
        <v>4</v>
      </c>
      <c r="V104" s="21"/>
      <c r="W104" s="22"/>
      <c r="X104" s="10" t="str">
        <f aca="false">IF(AND(R104="修改",S104=""),"請選新事件代碼",IF(AND(R104&lt;&gt;"修改",S104&lt;&gt;""),"只有「修改」才需填代碼",""))</f>
        <v/>
      </c>
      <c r="Y104" s="21"/>
      <c r="Z104" s="22"/>
      <c r="AA104" s="12" t="s">
        <v>581</v>
      </c>
      <c r="AB104" s="12"/>
    </row>
    <row r="105" customFormat="false" ht="35.05" hidden="false" customHeight="false" outlineLevel="0" collapsed="false">
      <c r="A105" s="17" t="n">
        <v>104</v>
      </c>
      <c r="B105" s="9" t="s">
        <v>62</v>
      </c>
      <c r="C105" s="9" t="s">
        <v>113</v>
      </c>
      <c r="D105" s="10" t="s">
        <v>114</v>
      </c>
      <c r="E105" s="11" t="s">
        <v>582</v>
      </c>
      <c r="F105" s="10" t="s">
        <v>583</v>
      </c>
      <c r="G105" s="12" t="s">
        <v>584</v>
      </c>
      <c r="H105" s="13" t="n">
        <v>-0.924</v>
      </c>
      <c r="I105" s="14" t="s">
        <v>96</v>
      </c>
      <c r="J105" s="15" t="s">
        <v>397</v>
      </c>
      <c r="K105" s="9" t="n">
        <v>4</v>
      </c>
      <c r="L105" s="17"/>
      <c r="M105" s="16" t="s">
        <v>53</v>
      </c>
      <c r="N105" s="14"/>
      <c r="O105" s="17" t="s">
        <v>97</v>
      </c>
      <c r="P105" s="10" t="s">
        <v>585</v>
      </c>
      <c r="Q105" s="17"/>
      <c r="R105" s="18" t="s">
        <v>53</v>
      </c>
      <c r="S105" s="19"/>
      <c r="T105" s="15" t="str">
        <f aca="false">IF(R105="維持",J105,IF(R105="排除","無關新聞事件",IFERROR(INDEX(事件規則!$B$2:$B$53,MATCH(S105,事件規則!$A$2:$A$53,0)),"")))</f>
        <v>無關新聞事件</v>
      </c>
      <c r="U105" s="20" t="n">
        <f aca="false">IF(R105="維持",K105,IF(R105="排除",0,IFERROR(INDEX(事件規則!$C$2:$C$53,MATCH(S105,事件規則!$A$2:$A$53,0)),"")))</f>
        <v>0</v>
      </c>
      <c r="V105" s="21"/>
      <c r="W105" s="22"/>
      <c r="X105" s="10" t="str">
        <f aca="false">IF(AND(R105="修改",S105=""),"請選新事件代碼",IF(AND(R105&lt;&gt;"修改",S105&lt;&gt;""),"只有「修改」才需填代碼",""))</f>
        <v/>
      </c>
      <c r="Y105" s="21"/>
      <c r="Z105" s="22"/>
      <c r="AA105" s="12" t="s">
        <v>586</v>
      </c>
      <c r="AB105" s="12"/>
    </row>
    <row r="106" customFormat="false" ht="58.2" hidden="false" customHeight="false" outlineLevel="0" collapsed="false">
      <c r="A106" s="17" t="n">
        <v>105</v>
      </c>
      <c r="B106" s="9" t="s">
        <v>62</v>
      </c>
      <c r="C106" s="9" t="s">
        <v>419</v>
      </c>
      <c r="D106" s="10" t="s">
        <v>420</v>
      </c>
      <c r="E106" s="11" t="s">
        <v>587</v>
      </c>
      <c r="F106" s="15" t="s">
        <v>588</v>
      </c>
      <c r="G106" s="12" t="s">
        <v>589</v>
      </c>
      <c r="H106" s="13" t="n">
        <v>-0.893</v>
      </c>
      <c r="I106" s="14" t="s">
        <v>96</v>
      </c>
      <c r="J106" s="15" t="s">
        <v>397</v>
      </c>
      <c r="K106" s="9" t="n">
        <v>4</v>
      </c>
      <c r="L106" s="17"/>
      <c r="M106" s="16" t="s">
        <v>105</v>
      </c>
      <c r="N106" s="14"/>
      <c r="O106" s="17" t="s">
        <v>97</v>
      </c>
      <c r="P106" s="10" t="s">
        <v>423</v>
      </c>
      <c r="Q106" s="17"/>
      <c r="R106" s="18" t="s">
        <v>105</v>
      </c>
      <c r="S106" s="19"/>
      <c r="T106" s="15" t="str">
        <f aca="false">IF(R106="維持",J106,IF(R106="排除","無關新聞事件",IFERROR(INDEX(事件規則!$B$2:$B$53,MATCH(S106,事件規則!$A$2:$A$53,0)),"")))</f>
        <v>重大訴訟</v>
      </c>
      <c r="U106" s="20" t="n">
        <f aca="false">IF(R106="維持",K106,IF(R106="排除",0,IFERROR(INDEX(事件規則!$C$2:$C$53,MATCH(S106,事件規則!$A$2:$A$53,0)),"")))</f>
        <v>4</v>
      </c>
      <c r="V106" s="21"/>
      <c r="W106" s="22"/>
      <c r="X106" s="10" t="str">
        <f aca="false">IF(AND(R106="修改",S106=""),"請選新事件代碼",IF(AND(R106&lt;&gt;"修改",S106&lt;&gt;""),"只有「修改」才需填代碼",""))</f>
        <v/>
      </c>
      <c r="Y106" s="21"/>
      <c r="Z106" s="22"/>
      <c r="AA106" s="12" t="s">
        <v>590</v>
      </c>
      <c r="AB106" s="12"/>
    </row>
    <row r="107" customFormat="false" ht="29.85" hidden="false" customHeight="false" outlineLevel="0" collapsed="false">
      <c r="A107" s="17" t="n">
        <v>106</v>
      </c>
      <c r="B107" s="9" t="s">
        <v>62</v>
      </c>
      <c r="C107" s="9" t="s">
        <v>405</v>
      </c>
      <c r="D107" s="10" t="s">
        <v>406</v>
      </c>
      <c r="E107" s="11" t="s">
        <v>591</v>
      </c>
      <c r="F107" s="10" t="s">
        <v>592</v>
      </c>
      <c r="G107" s="12" t="s">
        <v>589</v>
      </c>
      <c r="H107" s="13" t="n">
        <v>-0.652</v>
      </c>
      <c r="I107" s="14" t="s">
        <v>96</v>
      </c>
      <c r="J107" s="15" t="s">
        <v>397</v>
      </c>
      <c r="K107" s="9" t="n">
        <v>4</v>
      </c>
      <c r="L107" s="17"/>
      <c r="M107" s="16" t="s">
        <v>105</v>
      </c>
      <c r="N107" s="14"/>
      <c r="O107" s="17" t="s">
        <v>97</v>
      </c>
      <c r="P107" s="10" t="s">
        <v>410</v>
      </c>
      <c r="Q107" s="17"/>
      <c r="R107" s="18" t="s">
        <v>105</v>
      </c>
      <c r="S107" s="19"/>
      <c r="T107" s="15" t="str">
        <f aca="false">IF(R107="維持",J107,IF(R107="排除","無關新聞事件",IFERROR(INDEX(事件規則!$B$2:$B$53,MATCH(S107,事件規則!$A$2:$A$53,0)),"")))</f>
        <v>重大訴訟</v>
      </c>
      <c r="U107" s="20" t="n">
        <f aca="false">IF(R107="維持",K107,IF(R107="排除",0,IFERROR(INDEX(事件規則!$C$2:$C$53,MATCH(S107,事件規則!$A$2:$A$53,0)),"")))</f>
        <v>4</v>
      </c>
      <c r="V107" s="21"/>
      <c r="W107" s="22"/>
      <c r="X107" s="10" t="str">
        <f aca="false">IF(AND(R107="修改",S107=""),"請選新事件代碼",IF(AND(R107&lt;&gt;"修改",S107&lt;&gt;""),"只有「修改」才需填代碼",""))</f>
        <v/>
      </c>
      <c r="Y107" s="21"/>
      <c r="Z107" s="22"/>
      <c r="AA107" s="12" t="s">
        <v>593</v>
      </c>
      <c r="AB107" s="12"/>
    </row>
    <row r="108" customFormat="false" ht="29.85" hidden="false" customHeight="false" outlineLevel="0" collapsed="false">
      <c r="A108" s="17" t="n">
        <v>107</v>
      </c>
      <c r="B108" s="9" t="s">
        <v>62</v>
      </c>
      <c r="C108" s="17"/>
      <c r="D108" s="10" t="s">
        <v>594</v>
      </c>
      <c r="E108" s="23" t="s">
        <v>595</v>
      </c>
      <c r="F108" s="15" t="s">
        <v>596</v>
      </c>
      <c r="G108" s="12" t="s">
        <v>319</v>
      </c>
      <c r="H108" s="13"/>
      <c r="I108" s="14" t="s">
        <v>96</v>
      </c>
      <c r="J108" s="15" t="s">
        <v>397</v>
      </c>
      <c r="K108" s="9" t="n">
        <v>4</v>
      </c>
      <c r="L108" s="17" t="s">
        <v>320</v>
      </c>
      <c r="M108" s="16" t="s">
        <v>53</v>
      </c>
      <c r="N108" s="14"/>
      <c r="O108" s="17" t="s">
        <v>97</v>
      </c>
      <c r="P108" s="15" t="s">
        <v>597</v>
      </c>
      <c r="Q108" s="17"/>
      <c r="R108" s="18" t="s">
        <v>53</v>
      </c>
      <c r="S108" s="19"/>
      <c r="T108" s="15" t="str">
        <f aca="false">IF(R108="維持",J108,IF(R108="排除","無關新聞事件",IFERROR(INDEX(事件規則!$B$2:$B$53,MATCH(S108,事件規則!$A$2:$A$53,0)),"")))</f>
        <v>無關新聞事件</v>
      </c>
      <c r="U108" s="20" t="n">
        <f aca="false">IF(R108="維持",K108,IF(R108="排除",0,IFERROR(INDEX(事件規則!$C$2:$C$53,MATCH(S108,事件規則!$A$2:$A$53,0)),"")))</f>
        <v>0</v>
      </c>
      <c r="V108" s="21"/>
      <c r="W108" s="22"/>
      <c r="X108" s="10" t="str">
        <f aca="false">IF(AND(R108="修改",S108=""),"請選新事件代碼",IF(AND(R108&lt;&gt;"修改",S108&lt;&gt;""),"只有「修改」才需填代碼",""))</f>
        <v/>
      </c>
      <c r="Y108" s="21"/>
      <c r="Z108" s="22"/>
      <c r="AA108" s="12" t="s">
        <v>598</v>
      </c>
      <c r="AB108" s="12"/>
    </row>
    <row r="109" customFormat="false" ht="58.2" hidden="false" customHeight="false" outlineLevel="0" collapsed="false">
      <c r="A109" s="17" t="n">
        <v>108</v>
      </c>
      <c r="B109" s="9" t="s">
        <v>62</v>
      </c>
      <c r="C109" s="9" t="s">
        <v>412</v>
      </c>
      <c r="D109" s="10" t="s">
        <v>413</v>
      </c>
      <c r="E109" s="11" t="s">
        <v>599</v>
      </c>
      <c r="F109" s="10" t="s">
        <v>600</v>
      </c>
      <c r="G109" s="12" t="s">
        <v>416</v>
      </c>
      <c r="H109" s="13" t="n">
        <v>-0.889</v>
      </c>
      <c r="I109" s="14" t="s">
        <v>96</v>
      </c>
      <c r="J109" s="15" t="s">
        <v>397</v>
      </c>
      <c r="K109" s="9" t="n">
        <v>4</v>
      </c>
      <c r="L109" s="17"/>
      <c r="M109" s="16" t="s">
        <v>105</v>
      </c>
      <c r="N109" s="14"/>
      <c r="O109" s="17" t="s">
        <v>97</v>
      </c>
      <c r="P109" s="10" t="s">
        <v>417</v>
      </c>
      <c r="Q109" s="17"/>
      <c r="R109" s="18" t="s">
        <v>105</v>
      </c>
      <c r="S109" s="19"/>
      <c r="T109" s="15" t="str">
        <f aca="false">IF(R109="維持",J109,IF(R109="排除","無關新聞事件",IFERROR(INDEX(事件規則!$B$2:$B$53,MATCH(S109,事件規則!$A$2:$A$53,0)),"")))</f>
        <v>重大訴訟</v>
      </c>
      <c r="U109" s="20" t="n">
        <f aca="false">IF(R109="維持",K109,IF(R109="排除",0,IFERROR(INDEX(事件規則!$C$2:$C$53,MATCH(S109,事件規則!$A$2:$A$53,0)),"")))</f>
        <v>4</v>
      </c>
      <c r="V109" s="21"/>
      <c r="W109" s="22"/>
      <c r="X109" s="10" t="str">
        <f aca="false">IF(AND(R109="修改",S109=""),"請選新事件代碼",IF(AND(R109&lt;&gt;"修改",S109&lt;&gt;""),"只有「修改」才需填代碼",""))</f>
        <v/>
      </c>
      <c r="Y109" s="21"/>
      <c r="Z109" s="22"/>
      <c r="AA109" s="12" t="s">
        <v>601</v>
      </c>
      <c r="AB109" s="12"/>
    </row>
    <row r="110" customFormat="false" ht="29.85" hidden="false" customHeight="false" outlineLevel="0" collapsed="false">
      <c r="A110" s="17" t="n">
        <v>109</v>
      </c>
      <c r="B110" s="9" t="s">
        <v>62</v>
      </c>
      <c r="C110" s="17"/>
      <c r="D110" s="10" t="s">
        <v>151</v>
      </c>
      <c r="E110" s="23" t="s">
        <v>602</v>
      </c>
      <c r="F110" s="15" t="s">
        <v>602</v>
      </c>
      <c r="G110" s="12" t="s">
        <v>319</v>
      </c>
      <c r="H110" s="13"/>
      <c r="I110" s="14" t="s">
        <v>96</v>
      </c>
      <c r="J110" s="15" t="s">
        <v>397</v>
      </c>
      <c r="K110" s="9" t="n">
        <v>4</v>
      </c>
      <c r="L110" s="17" t="s">
        <v>320</v>
      </c>
      <c r="M110" s="16" t="s">
        <v>53</v>
      </c>
      <c r="N110" s="14"/>
      <c r="O110" s="17" t="s">
        <v>97</v>
      </c>
      <c r="P110" s="15" t="s">
        <v>603</v>
      </c>
      <c r="Q110" s="17"/>
      <c r="R110" s="18" t="s">
        <v>53</v>
      </c>
      <c r="S110" s="19"/>
      <c r="T110" s="15" t="str">
        <f aca="false">IF(R110="維持",J110,IF(R110="排除","無關新聞事件",IFERROR(INDEX(事件規則!$B$2:$B$53,MATCH(S110,事件規則!$A$2:$A$53,0)),"")))</f>
        <v>無關新聞事件</v>
      </c>
      <c r="U110" s="20" t="n">
        <f aca="false">IF(R110="維持",K110,IF(R110="排除",0,IFERROR(INDEX(事件規則!$C$2:$C$53,MATCH(S110,事件規則!$A$2:$A$53,0)),"")))</f>
        <v>0</v>
      </c>
      <c r="V110" s="21"/>
      <c r="W110" s="22"/>
      <c r="X110" s="10" t="str">
        <f aca="false">IF(AND(R110="修改",S110=""),"請選新事件代碼",IF(AND(R110&lt;&gt;"修改",S110&lt;&gt;""),"只有「修改」才需填代碼",""))</f>
        <v/>
      </c>
      <c r="Y110" s="21"/>
      <c r="Z110" s="22"/>
      <c r="AA110" s="12" t="s">
        <v>604</v>
      </c>
      <c r="AB110" s="12"/>
    </row>
    <row r="111" customFormat="false" ht="44" hidden="false" customHeight="false" outlineLevel="0" collapsed="false">
      <c r="A111" s="17" t="n">
        <v>110</v>
      </c>
      <c r="B111" s="9" t="s">
        <v>62</v>
      </c>
      <c r="C111" s="9" t="s">
        <v>412</v>
      </c>
      <c r="D111" s="10" t="s">
        <v>413</v>
      </c>
      <c r="E111" s="11" t="s">
        <v>605</v>
      </c>
      <c r="F111" s="15" t="s">
        <v>606</v>
      </c>
      <c r="G111" s="12" t="s">
        <v>396</v>
      </c>
      <c r="H111" s="13" t="n">
        <v>-0.048</v>
      </c>
      <c r="I111" s="14" t="s">
        <v>96</v>
      </c>
      <c r="J111" s="15" t="s">
        <v>397</v>
      </c>
      <c r="K111" s="9" t="n">
        <v>4</v>
      </c>
      <c r="L111" s="17"/>
      <c r="M111" s="16" t="s">
        <v>105</v>
      </c>
      <c r="N111" s="14"/>
      <c r="O111" s="17" t="s">
        <v>97</v>
      </c>
      <c r="P111" s="10" t="s">
        <v>417</v>
      </c>
      <c r="Q111" s="17"/>
      <c r="R111" s="18" t="s">
        <v>105</v>
      </c>
      <c r="S111" s="19"/>
      <c r="T111" s="15" t="str">
        <f aca="false">IF(R111="維持",J111,IF(R111="排除","無關新聞事件",IFERROR(INDEX(事件規則!$B$2:$B$53,MATCH(S111,事件規則!$A$2:$A$53,0)),"")))</f>
        <v>重大訴訟</v>
      </c>
      <c r="U111" s="20" t="n">
        <f aca="false">IF(R111="維持",K111,IF(R111="排除",0,IFERROR(INDEX(事件規則!$C$2:$C$53,MATCH(S111,事件規則!$A$2:$A$53,0)),"")))</f>
        <v>4</v>
      </c>
      <c r="V111" s="21"/>
      <c r="W111" s="22"/>
      <c r="X111" s="10" t="str">
        <f aca="false">IF(AND(R111="修改",S111=""),"請選新事件代碼",IF(AND(R111&lt;&gt;"修改",S111&lt;&gt;""),"只有「修改」才需填代碼",""))</f>
        <v/>
      </c>
      <c r="Y111" s="21"/>
      <c r="Z111" s="22"/>
      <c r="AA111" s="12" t="s">
        <v>607</v>
      </c>
      <c r="AB111" s="12"/>
    </row>
    <row r="112" customFormat="false" ht="29.85" hidden="false" customHeight="false" outlineLevel="0" collapsed="false">
      <c r="A112" s="17" t="n">
        <v>111</v>
      </c>
      <c r="B112" s="9" t="s">
        <v>67</v>
      </c>
      <c r="C112" s="17"/>
      <c r="D112" s="10" t="s">
        <v>608</v>
      </c>
      <c r="E112" s="11" t="s">
        <v>609</v>
      </c>
      <c r="F112" s="15" t="s">
        <v>610</v>
      </c>
      <c r="G112" s="12" t="s">
        <v>496</v>
      </c>
      <c r="H112" s="13" t="n">
        <v>-0.824</v>
      </c>
      <c r="I112" s="14" t="s">
        <v>96</v>
      </c>
      <c r="J112" s="15" t="s">
        <v>397</v>
      </c>
      <c r="K112" s="9" t="n">
        <v>4</v>
      </c>
      <c r="L112" s="17" t="s">
        <v>320</v>
      </c>
      <c r="M112" s="16" t="s">
        <v>53</v>
      </c>
      <c r="N112" s="14"/>
      <c r="O112" s="17" t="s">
        <v>97</v>
      </c>
      <c r="P112" s="15" t="s">
        <v>611</v>
      </c>
      <c r="Q112" s="17"/>
      <c r="R112" s="18" t="s">
        <v>53</v>
      </c>
      <c r="S112" s="19"/>
      <c r="T112" s="15" t="str">
        <f aca="false">IF(R112="維持",J112,IF(R112="排除","無關新聞事件",IFERROR(INDEX(事件規則!$B$2:$B$53,MATCH(S112,事件規則!$A$2:$A$53,0)),"")))</f>
        <v>無關新聞事件</v>
      </c>
      <c r="U112" s="20" t="n">
        <f aca="false">IF(R112="維持",K112,IF(R112="排除",0,IFERROR(INDEX(事件規則!$C$2:$C$53,MATCH(S112,事件規則!$A$2:$A$53,0)),"")))</f>
        <v>0</v>
      </c>
      <c r="V112" s="21"/>
      <c r="W112" s="22"/>
      <c r="X112" s="10" t="str">
        <f aca="false">IF(AND(R112="修改",S112=""),"請選新事件代碼",IF(AND(R112&lt;&gt;"修改",S112&lt;&gt;""),"只有「修改」才需填代碼",""))</f>
        <v/>
      </c>
      <c r="Y112" s="21"/>
      <c r="Z112" s="22"/>
      <c r="AA112" s="12" t="s">
        <v>612</v>
      </c>
      <c r="AB112" s="12"/>
    </row>
    <row r="113" customFormat="false" ht="44" hidden="false" customHeight="false" outlineLevel="0" collapsed="false">
      <c r="A113" s="17" t="n">
        <v>112</v>
      </c>
      <c r="B113" s="9" t="s">
        <v>67</v>
      </c>
      <c r="C113" s="9" t="s">
        <v>405</v>
      </c>
      <c r="D113" s="10" t="s">
        <v>406</v>
      </c>
      <c r="E113" s="11" t="s">
        <v>613</v>
      </c>
      <c r="F113" s="10" t="s">
        <v>614</v>
      </c>
      <c r="G113" s="12" t="s">
        <v>441</v>
      </c>
      <c r="H113" s="13" t="n">
        <v>0.053</v>
      </c>
      <c r="I113" s="14" t="s">
        <v>96</v>
      </c>
      <c r="J113" s="15" t="s">
        <v>397</v>
      </c>
      <c r="K113" s="9" t="n">
        <v>4</v>
      </c>
      <c r="L113" s="17"/>
      <c r="M113" s="16" t="s">
        <v>105</v>
      </c>
      <c r="N113" s="14"/>
      <c r="O113" s="17" t="s">
        <v>97</v>
      </c>
      <c r="P113" s="10" t="s">
        <v>410</v>
      </c>
      <c r="Q113" s="17"/>
      <c r="R113" s="18" t="s">
        <v>105</v>
      </c>
      <c r="S113" s="19"/>
      <c r="T113" s="15" t="str">
        <f aca="false">IF(R113="維持",J113,IF(R113="排除","無關新聞事件",IFERROR(INDEX(事件規則!$B$2:$B$53,MATCH(S113,事件規則!$A$2:$A$53,0)),"")))</f>
        <v>重大訴訟</v>
      </c>
      <c r="U113" s="20" t="n">
        <f aca="false">IF(R113="維持",K113,IF(R113="排除",0,IFERROR(INDEX(事件規則!$C$2:$C$53,MATCH(S113,事件規則!$A$2:$A$53,0)),"")))</f>
        <v>4</v>
      </c>
      <c r="V113" s="21"/>
      <c r="W113" s="22"/>
      <c r="X113" s="10" t="str">
        <f aca="false">IF(AND(R113="修改",S113=""),"請選新事件代碼",IF(AND(R113&lt;&gt;"修改",S113&lt;&gt;""),"只有「修改」才需填代碼",""))</f>
        <v/>
      </c>
      <c r="Y113" s="21"/>
      <c r="Z113" s="22"/>
      <c r="AA113" s="12" t="s">
        <v>615</v>
      </c>
      <c r="AB113" s="12"/>
    </row>
    <row r="114" customFormat="false" ht="29.85" hidden="false" customHeight="false" outlineLevel="0" collapsed="false">
      <c r="A114" s="17" t="n">
        <v>113</v>
      </c>
      <c r="B114" s="9" t="s">
        <v>67</v>
      </c>
      <c r="C114" s="17"/>
      <c r="D114" s="10" t="s">
        <v>616</v>
      </c>
      <c r="E114" s="11" t="s">
        <v>617</v>
      </c>
      <c r="F114" s="15" t="s">
        <v>618</v>
      </c>
      <c r="G114" s="12" t="s">
        <v>619</v>
      </c>
      <c r="H114" s="13" t="n">
        <v>-0.005</v>
      </c>
      <c r="I114" s="14" t="s">
        <v>96</v>
      </c>
      <c r="J114" s="15" t="s">
        <v>397</v>
      </c>
      <c r="K114" s="9" t="n">
        <v>4</v>
      </c>
      <c r="L114" s="17" t="s">
        <v>320</v>
      </c>
      <c r="M114" s="16" t="s">
        <v>53</v>
      </c>
      <c r="N114" s="14"/>
      <c r="O114" s="17" t="s">
        <v>54</v>
      </c>
      <c r="P114" s="15" t="s">
        <v>492</v>
      </c>
      <c r="Q114" s="17"/>
      <c r="R114" s="18" t="s">
        <v>53</v>
      </c>
      <c r="S114" s="19"/>
      <c r="T114" s="15" t="str">
        <f aca="false">IF(R114="維持",J114,IF(R114="排除","無關新聞事件",IFERROR(INDEX(事件規則!$B$2:$B$53,MATCH(S114,事件規則!$A$2:$A$53,0)),"")))</f>
        <v>無關新聞事件</v>
      </c>
      <c r="U114" s="20" t="n">
        <f aca="false">IF(R114="維持",K114,IF(R114="排除",0,IFERROR(INDEX(事件規則!$C$2:$C$53,MATCH(S114,事件規則!$A$2:$A$53,0)),"")))</f>
        <v>0</v>
      </c>
      <c r="V114" s="21"/>
      <c r="W114" s="22"/>
      <c r="X114" s="10" t="str">
        <f aca="false">IF(AND(R114="修改",S114=""),"請選新事件代碼",IF(AND(R114&lt;&gt;"修改",S114&lt;&gt;""),"只有「修改」才需填代碼",""))</f>
        <v/>
      </c>
      <c r="Y114" s="21"/>
      <c r="Z114" s="22"/>
      <c r="AA114" s="12" t="s">
        <v>620</v>
      </c>
      <c r="AB114" s="12"/>
    </row>
    <row r="115" customFormat="false" ht="55.2" hidden="false" customHeight="false" outlineLevel="0" collapsed="false">
      <c r="A115" s="17" t="n">
        <v>114</v>
      </c>
      <c r="B115" s="9" t="s">
        <v>79</v>
      </c>
      <c r="C115" s="9" t="s">
        <v>392</v>
      </c>
      <c r="D115" s="10" t="s">
        <v>393</v>
      </c>
      <c r="E115" s="11" t="s">
        <v>621</v>
      </c>
      <c r="F115" s="15" t="s">
        <v>622</v>
      </c>
      <c r="G115" s="12" t="s">
        <v>416</v>
      </c>
      <c r="H115" s="13" t="n">
        <v>-0.08</v>
      </c>
      <c r="I115" s="14" t="s">
        <v>96</v>
      </c>
      <c r="J115" s="15" t="s">
        <v>397</v>
      </c>
      <c r="K115" s="9" t="n">
        <v>4</v>
      </c>
      <c r="L115" s="17"/>
      <c r="M115" s="16" t="s">
        <v>105</v>
      </c>
      <c r="N115" s="14"/>
      <c r="O115" s="17" t="s">
        <v>97</v>
      </c>
      <c r="P115" s="10" t="s">
        <v>398</v>
      </c>
      <c r="Q115" s="17"/>
      <c r="R115" s="18" t="s">
        <v>105</v>
      </c>
      <c r="S115" s="19"/>
      <c r="T115" s="15" t="str">
        <f aca="false">IF(R115="維持",J115,IF(R115="排除","無關新聞事件",IFERROR(INDEX(事件規則!$B$2:$B$53,MATCH(S115,事件規則!$A$2:$A$53,0)),"")))</f>
        <v>重大訴訟</v>
      </c>
      <c r="U115" s="20" t="n">
        <f aca="false">IF(R115="維持",K115,IF(R115="排除",0,IFERROR(INDEX(事件規則!$C$2:$C$53,MATCH(S115,事件規則!$A$2:$A$53,0)),"")))</f>
        <v>4</v>
      </c>
      <c r="V115" s="21"/>
      <c r="W115" s="22"/>
      <c r="X115" s="10" t="str">
        <f aca="false">IF(AND(R115="修改",S115=""),"請選新事件代碼",IF(AND(R115&lt;&gt;"修改",S115&lt;&gt;""),"只有「修改」才需填代碼",""))</f>
        <v/>
      </c>
      <c r="Y115" s="21"/>
      <c r="Z115" s="22"/>
      <c r="AA115" s="12" t="s">
        <v>623</v>
      </c>
      <c r="AB115" s="12"/>
    </row>
    <row r="116" customFormat="false" ht="29.85" hidden="false" customHeight="false" outlineLevel="0" collapsed="false">
      <c r="A116" s="17" t="n">
        <v>115</v>
      </c>
      <c r="B116" s="9" t="s">
        <v>79</v>
      </c>
      <c r="C116" s="9" t="s">
        <v>449</v>
      </c>
      <c r="D116" s="10" t="s">
        <v>450</v>
      </c>
      <c r="E116" s="11" t="s">
        <v>624</v>
      </c>
      <c r="F116" s="10" t="s">
        <v>625</v>
      </c>
      <c r="G116" s="12" t="s">
        <v>626</v>
      </c>
      <c r="H116" s="13" t="n">
        <v>-0.232</v>
      </c>
      <c r="I116" s="14" t="s">
        <v>96</v>
      </c>
      <c r="J116" s="15" t="s">
        <v>397</v>
      </c>
      <c r="K116" s="9" t="n">
        <v>4</v>
      </c>
      <c r="L116" s="17"/>
      <c r="M116" s="16" t="s">
        <v>53</v>
      </c>
      <c r="N116" s="14"/>
      <c r="O116" s="17" t="s">
        <v>54</v>
      </c>
      <c r="P116" s="15" t="s">
        <v>454</v>
      </c>
      <c r="Q116" s="17"/>
      <c r="R116" s="18" t="s">
        <v>53</v>
      </c>
      <c r="S116" s="19"/>
      <c r="T116" s="15" t="str">
        <f aca="false">IF(R116="維持",J116,IF(R116="排除","無關新聞事件",IFERROR(INDEX(事件規則!$B$2:$B$53,MATCH(S116,事件規則!$A$2:$A$53,0)),"")))</f>
        <v>無關新聞事件</v>
      </c>
      <c r="U116" s="20" t="n">
        <f aca="false">IF(R116="維持",K116,IF(R116="排除",0,IFERROR(INDEX(事件規則!$C$2:$C$53,MATCH(S116,事件規則!$A$2:$A$53,0)),"")))</f>
        <v>0</v>
      </c>
      <c r="V116" s="21"/>
      <c r="W116" s="22"/>
      <c r="X116" s="10" t="str">
        <f aca="false">IF(AND(R116="修改",S116=""),"請選新事件代碼",IF(AND(R116&lt;&gt;"修改",S116&lt;&gt;""),"只有「修改」才需填代碼",""))</f>
        <v/>
      </c>
      <c r="Y116" s="21"/>
      <c r="Z116" s="22"/>
      <c r="AA116" s="12" t="s">
        <v>627</v>
      </c>
      <c r="AB116" s="12"/>
    </row>
    <row r="117" customFormat="false" ht="58.2" hidden="false" customHeight="false" outlineLevel="0" collapsed="false">
      <c r="A117" s="17" t="n">
        <v>116</v>
      </c>
      <c r="B117" s="9" t="s">
        <v>79</v>
      </c>
      <c r="C117" s="9" t="s">
        <v>628</v>
      </c>
      <c r="D117" s="10" t="s">
        <v>629</v>
      </c>
      <c r="E117" s="11" t="s">
        <v>630</v>
      </c>
      <c r="F117" s="10" t="s">
        <v>631</v>
      </c>
      <c r="G117" s="12" t="s">
        <v>632</v>
      </c>
      <c r="H117" s="13" t="n">
        <v>-0.065</v>
      </c>
      <c r="I117" s="14" t="s">
        <v>96</v>
      </c>
      <c r="J117" s="15" t="s">
        <v>397</v>
      </c>
      <c r="K117" s="9" t="n">
        <v>4</v>
      </c>
      <c r="L117" s="17"/>
      <c r="M117" s="16" t="s">
        <v>105</v>
      </c>
      <c r="N117" s="14"/>
      <c r="O117" s="17" t="s">
        <v>97</v>
      </c>
      <c r="P117" s="10" t="s">
        <v>633</v>
      </c>
      <c r="Q117" s="17"/>
      <c r="R117" s="18" t="s">
        <v>105</v>
      </c>
      <c r="S117" s="19"/>
      <c r="T117" s="15" t="str">
        <f aca="false">IF(R117="維持",J117,IF(R117="排除","無關新聞事件",IFERROR(INDEX(事件規則!$B$2:$B$53,MATCH(S117,事件規則!$A$2:$A$53,0)),"")))</f>
        <v>重大訴訟</v>
      </c>
      <c r="U117" s="20" t="n">
        <f aca="false">IF(R117="維持",K117,IF(R117="排除",0,IFERROR(INDEX(事件規則!$C$2:$C$53,MATCH(S117,事件規則!$A$2:$A$53,0)),"")))</f>
        <v>4</v>
      </c>
      <c r="V117" s="21"/>
      <c r="W117" s="22"/>
      <c r="X117" s="10" t="str">
        <f aca="false">IF(AND(R117="修改",S117=""),"請選新事件代碼",IF(AND(R117&lt;&gt;"修改",S117&lt;&gt;""),"只有「修改」才需填代碼",""))</f>
        <v/>
      </c>
      <c r="Y117" s="21"/>
      <c r="Z117" s="22"/>
      <c r="AA117" s="12" t="s">
        <v>634</v>
      </c>
      <c r="AB117" s="12"/>
    </row>
    <row r="118" customFormat="false" ht="58.2" hidden="false" customHeight="false" outlineLevel="0" collapsed="false">
      <c r="A118" s="17" t="n">
        <v>117</v>
      </c>
      <c r="B118" s="9" t="s">
        <v>79</v>
      </c>
      <c r="C118" s="9" t="s">
        <v>412</v>
      </c>
      <c r="D118" s="10" t="s">
        <v>413</v>
      </c>
      <c r="E118" s="11" t="s">
        <v>635</v>
      </c>
      <c r="F118" s="10" t="s">
        <v>636</v>
      </c>
      <c r="G118" s="12" t="s">
        <v>637</v>
      </c>
      <c r="H118" s="13" t="n">
        <v>-0.7</v>
      </c>
      <c r="I118" s="14" t="s">
        <v>96</v>
      </c>
      <c r="J118" s="15" t="s">
        <v>397</v>
      </c>
      <c r="K118" s="9" t="n">
        <v>4</v>
      </c>
      <c r="L118" s="17"/>
      <c r="M118" s="16" t="s">
        <v>105</v>
      </c>
      <c r="N118" s="14"/>
      <c r="O118" s="17" t="s">
        <v>97</v>
      </c>
      <c r="P118" s="10" t="s">
        <v>417</v>
      </c>
      <c r="Q118" s="17"/>
      <c r="R118" s="18" t="s">
        <v>105</v>
      </c>
      <c r="S118" s="19"/>
      <c r="T118" s="15" t="str">
        <f aca="false">IF(R118="維持",J118,IF(R118="排除","無關新聞事件",IFERROR(INDEX(事件規則!$B$2:$B$53,MATCH(S118,事件規則!$A$2:$A$53,0)),"")))</f>
        <v>重大訴訟</v>
      </c>
      <c r="U118" s="20" t="n">
        <f aca="false">IF(R118="維持",K118,IF(R118="排除",0,IFERROR(INDEX(事件規則!$C$2:$C$53,MATCH(S118,事件規則!$A$2:$A$53,0)),"")))</f>
        <v>4</v>
      </c>
      <c r="V118" s="21"/>
      <c r="W118" s="22"/>
      <c r="X118" s="10" t="str">
        <f aca="false">IF(AND(R118="修改",S118=""),"請選新事件代碼",IF(AND(R118&lt;&gt;"修改",S118&lt;&gt;""),"只有「修改」才需填代碼",""))</f>
        <v/>
      </c>
      <c r="Y118" s="21"/>
      <c r="Z118" s="22"/>
      <c r="AA118" s="12" t="s">
        <v>638</v>
      </c>
      <c r="AB118" s="12"/>
    </row>
    <row r="119" customFormat="false" ht="58.2" hidden="false" customHeight="false" outlineLevel="0" collapsed="false">
      <c r="A119" s="17" t="n">
        <v>118</v>
      </c>
      <c r="B119" s="9" t="s">
        <v>79</v>
      </c>
      <c r="C119" s="9" t="s">
        <v>419</v>
      </c>
      <c r="D119" s="10" t="s">
        <v>420</v>
      </c>
      <c r="E119" s="11" t="s">
        <v>435</v>
      </c>
      <c r="F119" s="10" t="s">
        <v>436</v>
      </c>
      <c r="G119" s="12" t="s">
        <v>639</v>
      </c>
      <c r="H119" s="13" t="n">
        <v>-0.611</v>
      </c>
      <c r="I119" s="14" t="s">
        <v>96</v>
      </c>
      <c r="J119" s="15" t="s">
        <v>397</v>
      </c>
      <c r="K119" s="9" t="n">
        <v>4</v>
      </c>
      <c r="L119" s="17"/>
      <c r="M119" s="16" t="s">
        <v>105</v>
      </c>
      <c r="N119" s="14"/>
      <c r="O119" s="17" t="s">
        <v>97</v>
      </c>
      <c r="P119" s="10" t="s">
        <v>423</v>
      </c>
      <c r="Q119" s="17"/>
      <c r="R119" s="18" t="s">
        <v>105</v>
      </c>
      <c r="S119" s="19"/>
      <c r="T119" s="15" t="str">
        <f aca="false">IF(R119="維持",J119,IF(R119="排除","無關新聞事件",IFERROR(INDEX(事件規則!$B$2:$B$53,MATCH(S119,事件規則!$A$2:$A$53,0)),"")))</f>
        <v>重大訴訟</v>
      </c>
      <c r="U119" s="20" t="n">
        <f aca="false">IF(R119="維持",K119,IF(R119="排除",0,IFERROR(INDEX(事件規則!$C$2:$C$53,MATCH(S119,事件規則!$A$2:$A$53,0)),"")))</f>
        <v>4</v>
      </c>
      <c r="V119" s="21"/>
      <c r="W119" s="22"/>
      <c r="X119" s="10" t="str">
        <f aca="false">IF(AND(R119="修改",S119=""),"請選新事件代碼",IF(AND(R119&lt;&gt;"修改",S119&lt;&gt;""),"只有「修改」才需填代碼",""))</f>
        <v/>
      </c>
      <c r="Y119" s="21"/>
      <c r="Z119" s="22"/>
      <c r="AA119" s="12" t="s">
        <v>640</v>
      </c>
      <c r="AB119" s="12"/>
    </row>
    <row r="120" customFormat="false" ht="29.85" hidden="false" customHeight="false" outlineLevel="0" collapsed="false">
      <c r="A120" s="17" t="n">
        <v>119</v>
      </c>
      <c r="B120" s="9" t="s">
        <v>86</v>
      </c>
      <c r="C120" s="17"/>
      <c r="D120" s="10" t="s">
        <v>641</v>
      </c>
      <c r="E120" s="23" t="s">
        <v>642</v>
      </c>
      <c r="F120" s="15"/>
      <c r="G120" s="12" t="s">
        <v>319</v>
      </c>
      <c r="H120" s="13"/>
      <c r="I120" s="14" t="s">
        <v>96</v>
      </c>
      <c r="J120" s="15" t="s">
        <v>397</v>
      </c>
      <c r="K120" s="9" t="n">
        <v>4</v>
      </c>
      <c r="L120" s="17" t="s">
        <v>320</v>
      </c>
      <c r="M120" s="16" t="s">
        <v>105</v>
      </c>
      <c r="N120" s="14"/>
      <c r="O120" s="17" t="s">
        <v>97</v>
      </c>
      <c r="P120" s="10" t="s">
        <v>643</v>
      </c>
      <c r="Q120" s="17"/>
      <c r="R120" s="18" t="s">
        <v>105</v>
      </c>
      <c r="S120" s="19"/>
      <c r="T120" s="15" t="str">
        <f aca="false">IF(R120="維持",J120,IF(R120="排除","無關新聞事件",IFERROR(INDEX(事件規則!$B$2:$B$53,MATCH(S120,事件規則!$A$2:$A$53,0)),"")))</f>
        <v>重大訴訟</v>
      </c>
      <c r="U120" s="20" t="n">
        <f aca="false">IF(R120="維持",K120,IF(R120="排除",0,IFERROR(INDEX(事件規則!$C$2:$C$53,MATCH(S120,事件規則!$A$2:$A$53,0)),"")))</f>
        <v>4</v>
      </c>
      <c r="V120" s="21"/>
      <c r="W120" s="22" t="s">
        <v>644</v>
      </c>
      <c r="X120" s="10" t="str">
        <f aca="false">IF(AND(R120="修改",S120=""),"請選新事件代碼",IF(AND(R120&lt;&gt;"修改",S120&lt;&gt;""),"只有「修改」才需填代碼",""))</f>
        <v/>
      </c>
      <c r="Y120" s="21"/>
      <c r="Z120" s="22"/>
      <c r="AA120" s="12" t="s">
        <v>645</v>
      </c>
      <c r="AB120" s="12"/>
    </row>
    <row r="121" customFormat="false" ht="15" hidden="false" customHeight="false" outlineLevel="0" collapsed="false">
      <c r="A121" s="17" t="n">
        <v>120</v>
      </c>
      <c r="B121" s="9" t="s">
        <v>86</v>
      </c>
      <c r="C121" s="9" t="s">
        <v>412</v>
      </c>
      <c r="D121" s="10" t="s">
        <v>413</v>
      </c>
      <c r="E121" s="11" t="s">
        <v>646</v>
      </c>
      <c r="F121" s="15"/>
      <c r="G121" s="12" t="s">
        <v>409</v>
      </c>
      <c r="H121" s="13" t="n">
        <v>-0.073</v>
      </c>
      <c r="I121" s="14" t="s">
        <v>96</v>
      </c>
      <c r="J121" s="15" t="s">
        <v>397</v>
      </c>
      <c r="K121" s="9" t="n">
        <v>4</v>
      </c>
      <c r="L121" s="17"/>
      <c r="M121" s="16" t="s">
        <v>105</v>
      </c>
      <c r="N121" s="14"/>
      <c r="O121" s="17" t="s">
        <v>97</v>
      </c>
      <c r="P121" s="10" t="s">
        <v>417</v>
      </c>
      <c r="Q121" s="17"/>
      <c r="R121" s="18" t="s">
        <v>105</v>
      </c>
      <c r="S121" s="19"/>
      <c r="T121" s="15" t="str">
        <f aca="false">IF(R121="維持",J121,IF(R121="排除","無關新聞事件",IFERROR(INDEX(事件規則!$B$2:$B$53,MATCH(S121,事件規則!$A$2:$A$53,0)),"")))</f>
        <v>重大訴訟</v>
      </c>
      <c r="U121" s="20" t="n">
        <f aca="false">IF(R121="維持",K121,IF(R121="排除",0,IFERROR(INDEX(事件規則!$C$2:$C$53,MATCH(S121,事件規則!$A$2:$A$53,0)),"")))</f>
        <v>4</v>
      </c>
      <c r="V121" s="21"/>
      <c r="W121" s="22"/>
      <c r="X121" s="10" t="str">
        <f aca="false">IF(AND(R121="修改",S121=""),"請選新事件代碼",IF(AND(R121&lt;&gt;"修改",S121&lt;&gt;""),"只有「修改」才需填代碼",""))</f>
        <v/>
      </c>
      <c r="Y121" s="21"/>
      <c r="Z121" s="22"/>
      <c r="AA121" s="12" t="s">
        <v>647</v>
      </c>
      <c r="AB121" s="12"/>
    </row>
    <row r="122" customFormat="false" ht="35.05" hidden="false" customHeight="false" outlineLevel="0" collapsed="false">
      <c r="A122" s="17" t="n">
        <v>121</v>
      </c>
      <c r="B122" s="9" t="s">
        <v>86</v>
      </c>
      <c r="C122" s="9" t="s">
        <v>648</v>
      </c>
      <c r="D122" s="10" t="s">
        <v>649</v>
      </c>
      <c r="E122" s="11" t="s">
        <v>650</v>
      </c>
      <c r="F122" s="15"/>
      <c r="G122" s="12" t="s">
        <v>651</v>
      </c>
      <c r="H122" s="13" t="n">
        <v>-0.886</v>
      </c>
      <c r="I122" s="14" t="s">
        <v>96</v>
      </c>
      <c r="J122" s="15" t="s">
        <v>397</v>
      </c>
      <c r="K122" s="9" t="n">
        <v>4</v>
      </c>
      <c r="L122" s="17"/>
      <c r="M122" s="16" t="s">
        <v>53</v>
      </c>
      <c r="N122" s="14"/>
      <c r="O122" s="17" t="s">
        <v>54</v>
      </c>
      <c r="P122" s="15" t="s">
        <v>433</v>
      </c>
      <c r="Q122" s="17"/>
      <c r="R122" s="18" t="s">
        <v>53</v>
      </c>
      <c r="S122" s="19"/>
      <c r="T122" s="15" t="str">
        <f aca="false">IF(R122="維持",J122,IF(R122="排除","無關新聞事件",IFERROR(INDEX(事件規則!$B$2:$B$53,MATCH(S122,事件規則!$A$2:$A$53,0)),"")))</f>
        <v>無關新聞事件</v>
      </c>
      <c r="U122" s="20" t="n">
        <f aca="false">IF(R122="維持",K122,IF(R122="排除",0,IFERROR(INDEX(事件規則!$C$2:$C$53,MATCH(S122,事件規則!$A$2:$A$53,0)),"")))</f>
        <v>0</v>
      </c>
      <c r="V122" s="21"/>
      <c r="W122" s="22"/>
      <c r="X122" s="10" t="str">
        <f aca="false">IF(AND(R122="修改",S122=""),"請選新事件代碼",IF(AND(R122&lt;&gt;"修改",S122&lt;&gt;""),"只有「修改」才需填代碼",""))</f>
        <v/>
      </c>
      <c r="Y122" s="21"/>
      <c r="Z122" s="22"/>
      <c r="AA122" s="12" t="s">
        <v>652</v>
      </c>
      <c r="AB122" s="12"/>
    </row>
    <row r="123" customFormat="false" ht="29.85" hidden="false" customHeight="false" outlineLevel="0" collapsed="false">
      <c r="A123" s="17" t="n">
        <v>122</v>
      </c>
      <c r="B123" s="9" t="s">
        <v>90</v>
      </c>
      <c r="C123" s="9" t="s">
        <v>443</v>
      </c>
      <c r="D123" s="10" t="s">
        <v>444</v>
      </c>
      <c r="E123" s="11" t="s">
        <v>653</v>
      </c>
      <c r="F123" s="15"/>
      <c r="G123" s="12" t="s">
        <v>654</v>
      </c>
      <c r="H123" s="13" t="n">
        <v>0.048</v>
      </c>
      <c r="I123" s="14" t="s">
        <v>96</v>
      </c>
      <c r="J123" s="15" t="s">
        <v>397</v>
      </c>
      <c r="K123" s="9" t="n">
        <v>4</v>
      </c>
      <c r="L123" s="17"/>
      <c r="M123" s="16" t="s">
        <v>105</v>
      </c>
      <c r="N123" s="14"/>
      <c r="O123" s="17" t="s">
        <v>97</v>
      </c>
      <c r="P123" s="15" t="s">
        <v>480</v>
      </c>
      <c r="Q123" s="17"/>
      <c r="R123" s="18" t="s">
        <v>105</v>
      </c>
      <c r="S123" s="19"/>
      <c r="T123" s="15" t="str">
        <f aca="false">IF(R123="維持",J123,IF(R123="排除","無關新聞事件",IFERROR(INDEX(事件規則!$B$2:$B$53,MATCH(S123,事件規則!$A$2:$A$53,0)),"")))</f>
        <v>重大訴訟</v>
      </c>
      <c r="U123" s="20" t="n">
        <f aca="false">IF(R123="維持",K123,IF(R123="排除",0,IFERROR(INDEX(事件規則!$C$2:$C$53,MATCH(S123,事件規則!$A$2:$A$53,0)),"")))</f>
        <v>4</v>
      </c>
      <c r="V123" s="21"/>
      <c r="W123" s="22"/>
      <c r="X123" s="10" t="str">
        <f aca="false">IF(AND(R123="修改",S123=""),"請選新事件代碼",IF(AND(R123&lt;&gt;"修改",S123&lt;&gt;""),"只有「修改」才需填代碼",""))</f>
        <v/>
      </c>
      <c r="Y123" s="21"/>
      <c r="Z123" s="22"/>
      <c r="AA123" s="12" t="s">
        <v>655</v>
      </c>
      <c r="AB123" s="12"/>
    </row>
    <row r="124" customFormat="false" ht="29.85" hidden="false" customHeight="false" outlineLevel="0" collapsed="false">
      <c r="A124" s="17" t="n">
        <v>123</v>
      </c>
      <c r="B124" s="9" t="s">
        <v>656</v>
      </c>
      <c r="C124" s="9" t="s">
        <v>240</v>
      </c>
      <c r="D124" s="10" t="s">
        <v>241</v>
      </c>
      <c r="E124" s="11" t="s">
        <v>657</v>
      </c>
      <c r="F124" s="15"/>
      <c r="G124" s="12" t="s">
        <v>140</v>
      </c>
      <c r="H124" s="13" t="n">
        <v>-0.552</v>
      </c>
      <c r="I124" s="14" t="s">
        <v>96</v>
      </c>
      <c r="J124" s="15" t="s">
        <v>397</v>
      </c>
      <c r="K124" s="9" t="n">
        <v>4</v>
      </c>
      <c r="L124" s="17"/>
      <c r="M124" s="16" t="s">
        <v>105</v>
      </c>
      <c r="N124" s="14"/>
      <c r="O124" s="17" t="s">
        <v>97</v>
      </c>
      <c r="P124" s="10" t="s">
        <v>245</v>
      </c>
      <c r="Q124" s="17"/>
      <c r="R124" s="18" t="s">
        <v>105</v>
      </c>
      <c r="S124" s="19"/>
      <c r="T124" s="15" t="str">
        <f aca="false">IF(R124="維持",J124,IF(R124="排除","無關新聞事件",IFERROR(INDEX(事件規則!$B$2:$B$53,MATCH(S124,事件規則!$A$2:$A$53,0)),"")))</f>
        <v>重大訴訟</v>
      </c>
      <c r="U124" s="20" t="n">
        <f aca="false">IF(R124="維持",K124,IF(R124="排除",0,IFERROR(INDEX(事件規則!$C$2:$C$53,MATCH(S124,事件規則!$A$2:$A$53,0)),"")))</f>
        <v>4</v>
      </c>
      <c r="V124" s="21"/>
      <c r="W124" s="22"/>
      <c r="X124" s="10" t="str">
        <f aca="false">IF(AND(R124="修改",S124=""),"請選新事件代碼",IF(AND(R124&lt;&gt;"修改",S124&lt;&gt;""),"只有「修改」才需填代碼",""))</f>
        <v/>
      </c>
      <c r="Y124" s="21"/>
      <c r="Z124" s="22"/>
      <c r="AA124" s="12" t="s">
        <v>658</v>
      </c>
      <c r="AB124" s="12"/>
    </row>
    <row r="125" customFormat="false" ht="15" hidden="false" customHeight="false" outlineLevel="0" collapsed="false">
      <c r="A125" s="17" t="n">
        <v>124</v>
      </c>
      <c r="B125" s="9" t="s">
        <v>656</v>
      </c>
      <c r="C125" s="9" t="s">
        <v>412</v>
      </c>
      <c r="D125" s="10" t="s">
        <v>413</v>
      </c>
      <c r="E125" s="11" t="s">
        <v>659</v>
      </c>
      <c r="F125" s="15"/>
      <c r="G125" s="12" t="s">
        <v>660</v>
      </c>
      <c r="H125" s="13" t="n">
        <v>-0.881</v>
      </c>
      <c r="I125" s="14" t="s">
        <v>96</v>
      </c>
      <c r="J125" s="15" t="s">
        <v>397</v>
      </c>
      <c r="K125" s="9" t="n">
        <v>4</v>
      </c>
      <c r="L125" s="17"/>
      <c r="M125" s="16" t="s">
        <v>105</v>
      </c>
      <c r="N125" s="14"/>
      <c r="O125" s="17" t="s">
        <v>97</v>
      </c>
      <c r="P125" s="10" t="s">
        <v>417</v>
      </c>
      <c r="Q125" s="17"/>
      <c r="R125" s="18" t="s">
        <v>105</v>
      </c>
      <c r="S125" s="19"/>
      <c r="T125" s="15" t="str">
        <f aca="false">IF(R125="維持",J125,IF(R125="排除","無關新聞事件",IFERROR(INDEX(事件規則!$B$2:$B$53,MATCH(S125,事件規則!$A$2:$A$53,0)),"")))</f>
        <v>重大訴訟</v>
      </c>
      <c r="U125" s="20" t="n">
        <f aca="false">IF(R125="維持",K125,IF(R125="排除",0,IFERROR(INDEX(事件規則!$C$2:$C$53,MATCH(S125,事件規則!$A$2:$A$53,0)),"")))</f>
        <v>4</v>
      </c>
      <c r="V125" s="21"/>
      <c r="W125" s="22"/>
      <c r="X125" s="10" t="str">
        <f aca="false">IF(AND(R125="修改",S125=""),"請選新事件代碼",IF(AND(R125&lt;&gt;"修改",S125&lt;&gt;""),"只有「修改」才需填代碼",""))</f>
        <v/>
      </c>
      <c r="Y125" s="21"/>
      <c r="Z125" s="22"/>
      <c r="AA125" s="12" t="s">
        <v>661</v>
      </c>
      <c r="AB125" s="12"/>
    </row>
    <row r="126" customFormat="false" ht="35.05" hidden="false" customHeight="false" outlineLevel="0" collapsed="false">
      <c r="A126" s="17" t="n">
        <v>125</v>
      </c>
      <c r="B126" s="9" t="s">
        <v>656</v>
      </c>
      <c r="C126" s="9" t="s">
        <v>648</v>
      </c>
      <c r="D126" s="10" t="s">
        <v>649</v>
      </c>
      <c r="E126" s="11" t="s">
        <v>662</v>
      </c>
      <c r="F126" s="15"/>
      <c r="G126" s="12" t="s">
        <v>663</v>
      </c>
      <c r="H126" s="13" t="n">
        <v>-0.923</v>
      </c>
      <c r="I126" s="14" t="s">
        <v>96</v>
      </c>
      <c r="J126" s="15" t="s">
        <v>397</v>
      </c>
      <c r="K126" s="9" t="n">
        <v>4</v>
      </c>
      <c r="L126" s="17"/>
      <c r="M126" s="16" t="s">
        <v>53</v>
      </c>
      <c r="N126" s="14"/>
      <c r="O126" s="17" t="s">
        <v>54</v>
      </c>
      <c r="P126" s="15" t="s">
        <v>433</v>
      </c>
      <c r="Q126" s="17"/>
      <c r="R126" s="18" t="s">
        <v>53</v>
      </c>
      <c r="S126" s="19"/>
      <c r="T126" s="15" t="str">
        <f aca="false">IF(R126="維持",J126,IF(R126="排除","無關新聞事件",IFERROR(INDEX(事件規則!$B$2:$B$53,MATCH(S126,事件規則!$A$2:$A$53,0)),"")))</f>
        <v>無關新聞事件</v>
      </c>
      <c r="U126" s="20" t="n">
        <f aca="false">IF(R126="維持",K126,IF(R126="排除",0,IFERROR(INDEX(事件規則!$C$2:$C$53,MATCH(S126,事件規則!$A$2:$A$53,0)),"")))</f>
        <v>0</v>
      </c>
      <c r="V126" s="21"/>
      <c r="W126" s="22"/>
      <c r="X126" s="10" t="str">
        <f aca="false">IF(AND(R126="修改",S126=""),"請選新事件代碼",IF(AND(R126&lt;&gt;"修改",S126&lt;&gt;""),"只有「修改」才需填代碼",""))</f>
        <v/>
      </c>
      <c r="Y126" s="21"/>
      <c r="Z126" s="22"/>
      <c r="AA126" s="12" t="s">
        <v>664</v>
      </c>
      <c r="AB126" s="12"/>
    </row>
    <row r="127" customFormat="false" ht="23.85" hidden="false" customHeight="false" outlineLevel="0" collapsed="false">
      <c r="A127" s="17" t="n">
        <v>126</v>
      </c>
      <c r="B127" s="9" t="s">
        <v>160</v>
      </c>
      <c r="C127" s="9" t="s">
        <v>665</v>
      </c>
      <c r="D127" s="10" t="s">
        <v>666</v>
      </c>
      <c r="E127" s="11" t="s">
        <v>667</v>
      </c>
      <c r="F127" s="15"/>
      <c r="G127" s="12" t="s">
        <v>496</v>
      </c>
      <c r="H127" s="13" t="n">
        <v>0.83</v>
      </c>
      <c r="I127" s="14" t="s">
        <v>96</v>
      </c>
      <c r="J127" s="15" t="s">
        <v>397</v>
      </c>
      <c r="K127" s="9" t="n">
        <v>4</v>
      </c>
      <c r="L127" s="17"/>
      <c r="M127" s="16" t="s">
        <v>105</v>
      </c>
      <c r="N127" s="14"/>
      <c r="O127" s="17" t="s">
        <v>97</v>
      </c>
      <c r="P127" s="10" t="s">
        <v>668</v>
      </c>
      <c r="Q127" s="17"/>
      <c r="R127" s="18" t="s">
        <v>105</v>
      </c>
      <c r="S127" s="19"/>
      <c r="T127" s="15" t="str">
        <f aca="false">IF(R127="維持",J127,IF(R127="排除","無關新聞事件",IFERROR(INDEX(事件規則!$B$2:$B$53,MATCH(S127,事件規則!$A$2:$A$53,0)),"")))</f>
        <v>重大訴訟</v>
      </c>
      <c r="U127" s="20" t="n">
        <f aca="false">IF(R127="維持",K127,IF(R127="排除",0,IFERROR(INDEX(事件規則!$C$2:$C$53,MATCH(S127,事件規則!$A$2:$A$53,0)),"")))</f>
        <v>4</v>
      </c>
      <c r="V127" s="21"/>
      <c r="W127" s="22"/>
      <c r="X127" s="10" t="str">
        <f aca="false">IF(AND(R127="修改",S127=""),"請選新事件代碼",IF(AND(R127&lt;&gt;"修改",S127&lt;&gt;""),"只有「修改」才需填代碼",""))</f>
        <v/>
      </c>
      <c r="Y127" s="21"/>
      <c r="Z127" s="22"/>
      <c r="AA127" s="12" t="s">
        <v>669</v>
      </c>
      <c r="AB127" s="12"/>
    </row>
    <row r="128" customFormat="false" ht="29.85" hidden="false" customHeight="false" outlineLevel="0" collapsed="false">
      <c r="A128" s="17" t="n">
        <v>127</v>
      </c>
      <c r="B128" s="9" t="s">
        <v>160</v>
      </c>
      <c r="C128" s="17"/>
      <c r="D128" s="10" t="s">
        <v>641</v>
      </c>
      <c r="E128" s="23" t="s">
        <v>670</v>
      </c>
      <c r="F128" s="15"/>
      <c r="G128" s="12" t="s">
        <v>319</v>
      </c>
      <c r="H128" s="13"/>
      <c r="I128" s="14" t="s">
        <v>96</v>
      </c>
      <c r="J128" s="15" t="s">
        <v>397</v>
      </c>
      <c r="K128" s="9" t="n">
        <v>4</v>
      </c>
      <c r="L128" s="17" t="s">
        <v>320</v>
      </c>
      <c r="M128" s="16" t="s">
        <v>105</v>
      </c>
      <c r="N128" s="14"/>
      <c r="O128" s="17" t="s">
        <v>97</v>
      </c>
      <c r="P128" s="10" t="s">
        <v>671</v>
      </c>
      <c r="Q128" s="17"/>
      <c r="R128" s="18" t="s">
        <v>105</v>
      </c>
      <c r="S128" s="19"/>
      <c r="T128" s="15" t="str">
        <f aca="false">IF(R128="維持",J128,IF(R128="排除","無關新聞事件",IFERROR(INDEX(事件規則!$B$2:$B$53,MATCH(S128,事件規則!$A$2:$A$53,0)),"")))</f>
        <v>重大訴訟</v>
      </c>
      <c r="U128" s="20" t="n">
        <f aca="false">IF(R128="維持",K128,IF(R128="排除",0,IFERROR(INDEX(事件規則!$C$2:$C$53,MATCH(S128,事件規則!$A$2:$A$53,0)),"")))</f>
        <v>4</v>
      </c>
      <c r="V128" s="21"/>
      <c r="W128" s="22" t="s">
        <v>644</v>
      </c>
      <c r="X128" s="10" t="str">
        <f aca="false">IF(AND(R128="修改",S128=""),"請選新事件代碼",IF(AND(R128&lt;&gt;"修改",S128&lt;&gt;""),"只有「修改」才需填代碼",""))</f>
        <v/>
      </c>
      <c r="Y128" s="21"/>
      <c r="Z128" s="22"/>
      <c r="AA128" s="12" t="s">
        <v>672</v>
      </c>
      <c r="AB128" s="12"/>
    </row>
    <row r="129" customFormat="false" ht="15" hidden="false" customHeight="false" outlineLevel="0" collapsed="false">
      <c r="A129" s="17" t="n">
        <v>128</v>
      </c>
      <c r="B129" s="9" t="s">
        <v>160</v>
      </c>
      <c r="C129" s="17"/>
      <c r="D129" s="10" t="s">
        <v>673</v>
      </c>
      <c r="E129" s="23" t="s">
        <v>674</v>
      </c>
      <c r="F129" s="15"/>
      <c r="G129" s="12" t="s">
        <v>319</v>
      </c>
      <c r="H129" s="13"/>
      <c r="I129" s="14" t="s">
        <v>96</v>
      </c>
      <c r="J129" s="15" t="s">
        <v>397</v>
      </c>
      <c r="K129" s="9" t="n">
        <v>4</v>
      </c>
      <c r="L129" s="17" t="s">
        <v>320</v>
      </c>
      <c r="M129" s="16" t="s">
        <v>105</v>
      </c>
      <c r="N129" s="14"/>
      <c r="O129" s="17" t="s">
        <v>54</v>
      </c>
      <c r="P129" s="15" t="s">
        <v>675</v>
      </c>
      <c r="Q129" s="17"/>
      <c r="R129" s="18" t="s">
        <v>105</v>
      </c>
      <c r="S129" s="19"/>
      <c r="T129" s="15" t="str">
        <f aca="false">IF(R129="維持",J129,IF(R129="排除","無關新聞事件",IFERROR(INDEX(事件規則!$B$2:$B$53,MATCH(S129,事件規則!$A$2:$A$53,0)),"")))</f>
        <v>重大訴訟</v>
      </c>
      <c r="U129" s="20" t="n">
        <f aca="false">IF(R129="維持",K129,IF(R129="排除",0,IFERROR(INDEX(事件規則!$C$2:$C$53,MATCH(S129,事件規則!$A$2:$A$53,0)),"")))</f>
        <v>4</v>
      </c>
      <c r="V129" s="21"/>
      <c r="W129" s="22" t="s">
        <v>676</v>
      </c>
      <c r="X129" s="10" t="str">
        <f aca="false">IF(AND(R129="修改",S129=""),"請選新事件代碼",IF(AND(R129&lt;&gt;"修改",S129&lt;&gt;""),"只有「修改」才需填代碼",""))</f>
        <v/>
      </c>
      <c r="Y129" s="21"/>
      <c r="Z129" s="22"/>
      <c r="AA129" s="12" t="s">
        <v>677</v>
      </c>
      <c r="AB129" s="12"/>
    </row>
    <row r="130" customFormat="false" ht="15" hidden="false" customHeight="false" outlineLevel="0" collapsed="false">
      <c r="A130" s="17" t="n">
        <v>129</v>
      </c>
      <c r="B130" s="9" t="s">
        <v>160</v>
      </c>
      <c r="C130" s="9" t="s">
        <v>412</v>
      </c>
      <c r="D130" s="10" t="s">
        <v>413</v>
      </c>
      <c r="E130" s="11" t="s">
        <v>678</v>
      </c>
      <c r="F130" s="15"/>
      <c r="G130" s="12" t="s">
        <v>660</v>
      </c>
      <c r="H130" s="13" t="n">
        <v>-0.082</v>
      </c>
      <c r="I130" s="14" t="s">
        <v>96</v>
      </c>
      <c r="J130" s="15" t="s">
        <v>397</v>
      </c>
      <c r="K130" s="9" t="n">
        <v>4</v>
      </c>
      <c r="L130" s="17"/>
      <c r="M130" s="16" t="s">
        <v>105</v>
      </c>
      <c r="N130" s="14"/>
      <c r="O130" s="17" t="s">
        <v>97</v>
      </c>
      <c r="P130" s="10" t="s">
        <v>417</v>
      </c>
      <c r="Q130" s="17"/>
      <c r="R130" s="18" t="s">
        <v>105</v>
      </c>
      <c r="S130" s="19"/>
      <c r="T130" s="15" t="str">
        <f aca="false">IF(R130="維持",J130,IF(R130="排除","無關新聞事件",IFERROR(INDEX(事件規則!$B$2:$B$53,MATCH(S130,事件規則!$A$2:$A$53,0)),"")))</f>
        <v>重大訴訟</v>
      </c>
      <c r="U130" s="20" t="n">
        <f aca="false">IF(R130="維持",K130,IF(R130="排除",0,IFERROR(INDEX(事件規則!$C$2:$C$53,MATCH(S130,事件規則!$A$2:$A$53,0)),"")))</f>
        <v>4</v>
      </c>
      <c r="V130" s="21"/>
      <c r="W130" s="22"/>
      <c r="X130" s="10" t="str">
        <f aca="false">IF(AND(R130="修改",S130=""),"請選新事件代碼",IF(AND(R130&lt;&gt;"修改",S130&lt;&gt;""),"只有「修改」才需填代碼",""))</f>
        <v/>
      </c>
      <c r="Y130" s="21"/>
      <c r="Z130" s="22"/>
      <c r="AA130" s="12" t="s">
        <v>679</v>
      </c>
      <c r="AB130" s="12"/>
    </row>
    <row r="131" customFormat="false" ht="29.85" hidden="false" customHeight="false" outlineLevel="0" collapsed="false">
      <c r="A131" s="17" t="n">
        <v>130</v>
      </c>
      <c r="B131" s="9" t="s">
        <v>160</v>
      </c>
      <c r="C131" s="17"/>
      <c r="D131" s="10" t="s">
        <v>641</v>
      </c>
      <c r="E131" s="23" t="s">
        <v>680</v>
      </c>
      <c r="F131" s="15"/>
      <c r="G131" s="12" t="s">
        <v>319</v>
      </c>
      <c r="H131" s="13"/>
      <c r="I131" s="14" t="s">
        <v>96</v>
      </c>
      <c r="J131" s="15" t="s">
        <v>397</v>
      </c>
      <c r="K131" s="9" t="n">
        <v>4</v>
      </c>
      <c r="L131" s="17" t="s">
        <v>320</v>
      </c>
      <c r="M131" s="16" t="s">
        <v>105</v>
      </c>
      <c r="N131" s="14"/>
      <c r="O131" s="17" t="s">
        <v>97</v>
      </c>
      <c r="P131" s="10" t="s">
        <v>671</v>
      </c>
      <c r="Q131" s="17"/>
      <c r="R131" s="18" t="s">
        <v>105</v>
      </c>
      <c r="S131" s="19"/>
      <c r="T131" s="15" t="str">
        <f aca="false">IF(R131="維持",J131,IF(R131="排除","無關新聞事件",IFERROR(INDEX(事件規則!$B$2:$B$53,MATCH(S131,事件規則!$A$2:$A$53,0)),"")))</f>
        <v>重大訴訟</v>
      </c>
      <c r="U131" s="20" t="n">
        <f aca="false">IF(R131="維持",K131,IF(R131="排除",0,IFERROR(INDEX(事件規則!$C$2:$C$53,MATCH(S131,事件規則!$A$2:$A$53,0)),"")))</f>
        <v>4</v>
      </c>
      <c r="V131" s="21"/>
      <c r="W131" s="22" t="s">
        <v>644</v>
      </c>
      <c r="X131" s="10" t="str">
        <f aca="false">IF(AND(R131="修改",S131=""),"請選新事件代碼",IF(AND(R131&lt;&gt;"修改",S131&lt;&gt;""),"只有「修改」才需填代碼",""))</f>
        <v/>
      </c>
      <c r="Y131" s="21"/>
      <c r="Z131" s="22"/>
      <c r="AA131" s="12" t="s">
        <v>681</v>
      </c>
      <c r="AB131" s="12"/>
    </row>
    <row r="132" customFormat="false" ht="15" hidden="false" customHeight="false" outlineLevel="0" collapsed="false">
      <c r="A132" s="17" t="n">
        <v>131</v>
      </c>
      <c r="B132" s="9" t="s">
        <v>160</v>
      </c>
      <c r="C132" s="9" t="s">
        <v>412</v>
      </c>
      <c r="D132" s="10" t="s">
        <v>413</v>
      </c>
      <c r="E132" s="11" t="s">
        <v>498</v>
      </c>
      <c r="F132" s="15"/>
      <c r="G132" s="12" t="s">
        <v>503</v>
      </c>
      <c r="H132" s="13" t="n">
        <v>-0.724</v>
      </c>
      <c r="I132" s="14" t="s">
        <v>96</v>
      </c>
      <c r="J132" s="15" t="s">
        <v>397</v>
      </c>
      <c r="K132" s="9" t="n">
        <v>4</v>
      </c>
      <c r="L132" s="17"/>
      <c r="M132" s="16" t="s">
        <v>105</v>
      </c>
      <c r="N132" s="14"/>
      <c r="O132" s="17" t="s">
        <v>97</v>
      </c>
      <c r="P132" s="10" t="s">
        <v>417</v>
      </c>
      <c r="Q132" s="17"/>
      <c r="R132" s="18" t="s">
        <v>105</v>
      </c>
      <c r="S132" s="19"/>
      <c r="T132" s="15" t="str">
        <f aca="false">IF(R132="維持",J132,IF(R132="排除","無關新聞事件",IFERROR(INDEX(事件規則!$B$2:$B$53,MATCH(S132,事件規則!$A$2:$A$53,0)),"")))</f>
        <v>重大訴訟</v>
      </c>
      <c r="U132" s="20" t="n">
        <f aca="false">IF(R132="維持",K132,IF(R132="排除",0,IFERROR(INDEX(事件規則!$C$2:$C$53,MATCH(S132,事件規則!$A$2:$A$53,0)),"")))</f>
        <v>4</v>
      </c>
      <c r="V132" s="21"/>
      <c r="W132" s="22"/>
      <c r="X132" s="10" t="str">
        <f aca="false">IF(AND(R132="修改",S132=""),"請選新事件代碼",IF(AND(R132&lt;&gt;"修改",S132&lt;&gt;""),"只有「修改」才需填代碼",""))</f>
        <v/>
      </c>
      <c r="Y132" s="21"/>
      <c r="Z132" s="22"/>
      <c r="AA132" s="12" t="s">
        <v>682</v>
      </c>
      <c r="AB132" s="12"/>
    </row>
    <row r="133" customFormat="false" ht="15" hidden="false" customHeight="false" outlineLevel="0" collapsed="false">
      <c r="A133" s="17" t="n">
        <v>132</v>
      </c>
      <c r="B133" s="9" t="s">
        <v>100</v>
      </c>
      <c r="C133" s="9" t="s">
        <v>443</v>
      </c>
      <c r="D133" s="10" t="s">
        <v>444</v>
      </c>
      <c r="E133" s="23" t="s">
        <v>683</v>
      </c>
      <c r="F133" s="15"/>
      <c r="G133" s="12" t="s">
        <v>319</v>
      </c>
      <c r="H133" s="13"/>
      <c r="I133" s="14" t="s">
        <v>96</v>
      </c>
      <c r="J133" s="15" t="s">
        <v>397</v>
      </c>
      <c r="K133" s="9" t="n">
        <v>4</v>
      </c>
      <c r="L133" s="17"/>
      <c r="M133" s="16" t="s">
        <v>105</v>
      </c>
      <c r="N133" s="14"/>
      <c r="O133" s="17" t="s">
        <v>54</v>
      </c>
      <c r="P133" s="10" t="s">
        <v>684</v>
      </c>
      <c r="Q133" s="17"/>
      <c r="R133" s="18" t="s">
        <v>105</v>
      </c>
      <c r="S133" s="19"/>
      <c r="T133" s="15" t="str">
        <f aca="false">IF(R133="維持",J133,IF(R133="排除","無關新聞事件",IFERROR(INDEX(事件規則!$B$2:$B$53,MATCH(S133,事件規則!$A$2:$A$53,0)),"")))</f>
        <v>重大訴訟</v>
      </c>
      <c r="U133" s="20" t="n">
        <f aca="false">IF(R133="維持",K133,IF(R133="排除",0,IFERROR(INDEX(事件規則!$C$2:$C$53,MATCH(S133,事件規則!$A$2:$A$53,0)),"")))</f>
        <v>4</v>
      </c>
      <c r="V133" s="21"/>
      <c r="W133" s="22"/>
      <c r="X133" s="10" t="str">
        <f aca="false">IF(AND(R133="修改",S133=""),"請選新事件代碼",IF(AND(R133&lt;&gt;"修改",S133&lt;&gt;""),"只有「修改」才需填代碼",""))</f>
        <v/>
      </c>
      <c r="Y133" s="21"/>
      <c r="Z133" s="22"/>
      <c r="AA133" s="12" t="s">
        <v>685</v>
      </c>
      <c r="AB133" s="12"/>
    </row>
    <row r="134" customFormat="false" ht="15" hidden="false" customHeight="false" outlineLevel="0" collapsed="false">
      <c r="A134" s="17" t="n">
        <v>133</v>
      </c>
      <c r="B134" s="9" t="s">
        <v>100</v>
      </c>
      <c r="C134" s="9" t="s">
        <v>443</v>
      </c>
      <c r="D134" s="10" t="s">
        <v>444</v>
      </c>
      <c r="E134" s="11" t="s">
        <v>686</v>
      </c>
      <c r="F134" s="15"/>
      <c r="G134" s="12" t="s">
        <v>319</v>
      </c>
      <c r="H134" s="13"/>
      <c r="I134" s="14" t="s">
        <v>96</v>
      </c>
      <c r="J134" s="15" t="s">
        <v>397</v>
      </c>
      <c r="K134" s="9" t="n">
        <v>4</v>
      </c>
      <c r="L134" s="17"/>
      <c r="M134" s="16" t="s">
        <v>105</v>
      </c>
      <c r="N134" s="14"/>
      <c r="O134" s="17" t="s">
        <v>54</v>
      </c>
      <c r="P134" s="10" t="s">
        <v>684</v>
      </c>
      <c r="Q134" s="17"/>
      <c r="R134" s="18" t="s">
        <v>105</v>
      </c>
      <c r="S134" s="19"/>
      <c r="T134" s="15" t="str">
        <f aca="false">IF(R134="維持",J134,IF(R134="排除","無關新聞事件",IFERROR(INDEX(事件規則!$B$2:$B$53,MATCH(S134,事件規則!$A$2:$A$53,0)),"")))</f>
        <v>重大訴訟</v>
      </c>
      <c r="U134" s="20" t="n">
        <f aca="false">IF(R134="維持",K134,IF(R134="排除",0,IFERROR(INDEX(事件規則!$C$2:$C$53,MATCH(S134,事件規則!$A$2:$A$53,0)),"")))</f>
        <v>4</v>
      </c>
      <c r="V134" s="21"/>
      <c r="W134" s="22"/>
      <c r="X134" s="10" t="str">
        <f aca="false">IF(AND(R134="修改",S134=""),"請選新事件代碼",IF(AND(R134&lt;&gt;"修改",S134&lt;&gt;""),"只有「修改」才需填代碼",""))</f>
        <v/>
      </c>
      <c r="Y134" s="21"/>
      <c r="Z134" s="22"/>
      <c r="AA134" s="12" t="s">
        <v>687</v>
      </c>
      <c r="AB134" s="12"/>
    </row>
    <row r="135" customFormat="false" ht="29.85" hidden="false" customHeight="false" outlineLevel="0" collapsed="false">
      <c r="A135" s="17" t="n">
        <v>134</v>
      </c>
      <c r="B135" s="9" t="s">
        <v>100</v>
      </c>
      <c r="C135" s="9" t="s">
        <v>72</v>
      </c>
      <c r="D135" s="10" t="s">
        <v>73</v>
      </c>
      <c r="E135" s="11" t="s">
        <v>688</v>
      </c>
      <c r="F135" s="15"/>
      <c r="G135" s="12" t="s">
        <v>689</v>
      </c>
      <c r="H135" s="13" t="n">
        <v>0.008</v>
      </c>
      <c r="I135" s="14" t="s">
        <v>96</v>
      </c>
      <c r="J135" s="15" t="s">
        <v>397</v>
      </c>
      <c r="K135" s="9" t="n">
        <v>4</v>
      </c>
      <c r="L135" s="17"/>
      <c r="M135" s="16" t="s">
        <v>53</v>
      </c>
      <c r="N135" s="14"/>
      <c r="O135" s="17" t="s">
        <v>97</v>
      </c>
      <c r="P135" s="15" t="s">
        <v>690</v>
      </c>
      <c r="Q135" s="17"/>
      <c r="R135" s="18" t="s">
        <v>53</v>
      </c>
      <c r="S135" s="19"/>
      <c r="T135" s="15" t="str">
        <f aca="false">IF(R135="維持",J135,IF(R135="排除","無關新聞事件",IFERROR(INDEX(事件規則!$B$2:$B$53,MATCH(S135,事件規則!$A$2:$A$53,0)),"")))</f>
        <v>無關新聞事件</v>
      </c>
      <c r="U135" s="20" t="n">
        <f aca="false">IF(R135="維持",K135,IF(R135="排除",0,IFERROR(INDEX(事件規則!$C$2:$C$53,MATCH(S135,事件規則!$A$2:$A$53,0)),"")))</f>
        <v>0</v>
      </c>
      <c r="V135" s="21"/>
      <c r="W135" s="22"/>
      <c r="X135" s="10" t="str">
        <f aca="false">IF(AND(R135="修改",S135=""),"請選新事件代碼",IF(AND(R135&lt;&gt;"修改",S135&lt;&gt;""),"只有「修改」才需填代碼",""))</f>
        <v/>
      </c>
      <c r="Y135" s="21"/>
      <c r="Z135" s="22"/>
      <c r="AA135" s="12" t="s">
        <v>691</v>
      </c>
      <c r="AB135" s="12"/>
    </row>
    <row r="136" customFormat="false" ht="29.85" hidden="false" customHeight="false" outlineLevel="0" collapsed="false">
      <c r="A136" s="17" t="n">
        <v>135</v>
      </c>
      <c r="B136" s="9" t="s">
        <v>108</v>
      </c>
      <c r="C136" s="9" t="s">
        <v>692</v>
      </c>
      <c r="D136" s="10" t="s">
        <v>693</v>
      </c>
      <c r="E136" s="23" t="s">
        <v>694</v>
      </c>
      <c r="F136" s="15"/>
      <c r="G136" s="12" t="s">
        <v>319</v>
      </c>
      <c r="H136" s="13"/>
      <c r="I136" s="14" t="s">
        <v>96</v>
      </c>
      <c r="J136" s="15" t="s">
        <v>397</v>
      </c>
      <c r="K136" s="9" t="n">
        <v>4</v>
      </c>
      <c r="L136" s="17"/>
      <c r="M136" s="16" t="s">
        <v>95</v>
      </c>
      <c r="N136" s="14" t="s">
        <v>695</v>
      </c>
      <c r="O136" s="17" t="s">
        <v>54</v>
      </c>
      <c r="P136" s="10" t="s">
        <v>696</v>
      </c>
      <c r="Q136" s="17"/>
      <c r="R136" s="18" t="s">
        <v>95</v>
      </c>
      <c r="S136" s="19" t="s">
        <v>695</v>
      </c>
      <c r="T136" s="15" t="str">
        <f aca="false">IF(R136="維持",J136,IF(R136="排除","無關新聞事件",IFERROR(INDEX(事件規則!$B$2:$B$53,MATCH(S136,事件規則!$A$2:$A$53,0)),"")))</f>
        <v>監管裁罰</v>
      </c>
      <c r="U136" s="20" t="n">
        <f aca="false">IF(R136="維持",K136,IF(R136="排除",0,IFERROR(INDEX(事件規則!$C$2:$C$53,MATCH(S136,事件規則!$A$2:$A$53,0)),"")))</f>
        <v>4</v>
      </c>
      <c r="V136" s="21"/>
      <c r="W136" s="22"/>
      <c r="X136" s="10" t="str">
        <f aca="false">IF(AND(R136="修改",S136=""),"請選新事件代碼",IF(AND(R136&lt;&gt;"修改",S136&lt;&gt;""),"只有「修改」才需填代碼",""))</f>
        <v/>
      </c>
      <c r="Y136" s="21"/>
      <c r="Z136" s="22"/>
      <c r="AA136" s="12" t="s">
        <v>697</v>
      </c>
      <c r="AB136" s="12"/>
    </row>
    <row r="137" customFormat="false" ht="15" hidden="false" customHeight="false" outlineLevel="0" collapsed="false">
      <c r="A137" s="17" t="n">
        <v>136</v>
      </c>
      <c r="B137" s="9" t="s">
        <v>108</v>
      </c>
      <c r="C137" s="9" t="s">
        <v>412</v>
      </c>
      <c r="D137" s="10" t="s">
        <v>413</v>
      </c>
      <c r="E137" s="11" t="s">
        <v>698</v>
      </c>
      <c r="F137" s="15"/>
      <c r="G137" s="12" t="s">
        <v>660</v>
      </c>
      <c r="H137" s="13" t="n">
        <v>0.003</v>
      </c>
      <c r="I137" s="14" t="s">
        <v>96</v>
      </c>
      <c r="J137" s="15" t="s">
        <v>397</v>
      </c>
      <c r="K137" s="9" t="n">
        <v>4</v>
      </c>
      <c r="L137" s="17"/>
      <c r="M137" s="16" t="s">
        <v>105</v>
      </c>
      <c r="N137" s="14"/>
      <c r="O137" s="17" t="s">
        <v>97</v>
      </c>
      <c r="P137" s="10" t="s">
        <v>417</v>
      </c>
      <c r="Q137" s="17"/>
      <c r="R137" s="18" t="s">
        <v>105</v>
      </c>
      <c r="S137" s="19"/>
      <c r="T137" s="15" t="str">
        <f aca="false">IF(R137="維持",J137,IF(R137="排除","無關新聞事件",IFERROR(INDEX(事件規則!$B$2:$B$53,MATCH(S137,事件規則!$A$2:$A$53,0)),"")))</f>
        <v>重大訴訟</v>
      </c>
      <c r="U137" s="20" t="n">
        <f aca="false">IF(R137="維持",K137,IF(R137="排除",0,IFERROR(INDEX(事件規則!$C$2:$C$53,MATCH(S137,事件規則!$A$2:$A$53,0)),"")))</f>
        <v>4</v>
      </c>
      <c r="V137" s="21"/>
      <c r="W137" s="22"/>
      <c r="X137" s="10" t="str">
        <f aca="false">IF(AND(R137="修改",S137=""),"請選新事件代碼",IF(AND(R137&lt;&gt;"修改",S137&lt;&gt;""),"只有「修改」才需填代碼",""))</f>
        <v/>
      </c>
      <c r="Y137" s="21"/>
      <c r="Z137" s="22"/>
      <c r="AA137" s="12" t="s">
        <v>699</v>
      </c>
      <c r="AB137" s="12"/>
    </row>
    <row r="138" customFormat="false" ht="29.85" hidden="false" customHeight="false" outlineLevel="0" collapsed="false">
      <c r="A138" s="17" t="n">
        <v>137</v>
      </c>
      <c r="B138" s="9" t="s">
        <v>108</v>
      </c>
      <c r="C138" s="9" t="s">
        <v>692</v>
      </c>
      <c r="D138" s="10" t="s">
        <v>693</v>
      </c>
      <c r="E138" s="11" t="s">
        <v>700</v>
      </c>
      <c r="F138" s="15"/>
      <c r="G138" s="12" t="s">
        <v>319</v>
      </c>
      <c r="H138" s="13"/>
      <c r="I138" s="14" t="s">
        <v>96</v>
      </c>
      <c r="J138" s="15" t="s">
        <v>397</v>
      </c>
      <c r="K138" s="9" t="n">
        <v>4</v>
      </c>
      <c r="L138" s="17"/>
      <c r="M138" s="16" t="s">
        <v>95</v>
      </c>
      <c r="N138" s="14" t="s">
        <v>695</v>
      </c>
      <c r="O138" s="17" t="s">
        <v>54</v>
      </c>
      <c r="P138" s="10" t="s">
        <v>696</v>
      </c>
      <c r="Q138" s="17"/>
      <c r="R138" s="18" t="s">
        <v>95</v>
      </c>
      <c r="S138" s="19" t="s">
        <v>695</v>
      </c>
      <c r="T138" s="15" t="str">
        <f aca="false">IF(R138="維持",J138,IF(R138="排除","無關新聞事件",IFERROR(INDEX(事件規則!$B$2:$B$53,MATCH(S138,事件規則!$A$2:$A$53,0)),"")))</f>
        <v>監管裁罰</v>
      </c>
      <c r="U138" s="20" t="n">
        <f aca="false">IF(R138="維持",K138,IF(R138="排除",0,IFERROR(INDEX(事件規則!$C$2:$C$53,MATCH(S138,事件規則!$A$2:$A$53,0)),"")))</f>
        <v>4</v>
      </c>
      <c r="V138" s="21"/>
      <c r="W138" s="22"/>
      <c r="X138" s="10" t="str">
        <f aca="false">IF(AND(R138="修改",S138=""),"請選新事件代碼",IF(AND(R138&lt;&gt;"修改",S138&lt;&gt;""),"只有「修改」才需填代碼",""))</f>
        <v/>
      </c>
      <c r="Y138" s="21"/>
      <c r="Z138" s="22"/>
      <c r="AA138" s="12" t="s">
        <v>701</v>
      </c>
      <c r="AB138" s="12"/>
    </row>
    <row r="139" customFormat="false" ht="15" hidden="false" customHeight="false" outlineLevel="0" collapsed="false">
      <c r="A139" s="17" t="n">
        <v>138</v>
      </c>
      <c r="B139" s="9" t="s">
        <v>108</v>
      </c>
      <c r="C139" s="9" t="s">
        <v>412</v>
      </c>
      <c r="D139" s="10" t="s">
        <v>413</v>
      </c>
      <c r="E139" s="11" t="s">
        <v>702</v>
      </c>
      <c r="F139" s="15"/>
      <c r="G139" s="12" t="s">
        <v>409</v>
      </c>
      <c r="H139" s="13" t="n">
        <v>-0.206</v>
      </c>
      <c r="I139" s="14" t="s">
        <v>96</v>
      </c>
      <c r="J139" s="15" t="s">
        <v>397</v>
      </c>
      <c r="K139" s="9" t="n">
        <v>4</v>
      </c>
      <c r="L139" s="17"/>
      <c r="M139" s="16" t="s">
        <v>105</v>
      </c>
      <c r="N139" s="14"/>
      <c r="O139" s="17" t="s">
        <v>97</v>
      </c>
      <c r="P139" s="10" t="s">
        <v>417</v>
      </c>
      <c r="Q139" s="17"/>
      <c r="R139" s="18" t="s">
        <v>105</v>
      </c>
      <c r="S139" s="19"/>
      <c r="T139" s="15" t="str">
        <f aca="false">IF(R139="維持",J139,IF(R139="排除","無關新聞事件",IFERROR(INDEX(事件規則!$B$2:$B$53,MATCH(S139,事件規則!$A$2:$A$53,0)),"")))</f>
        <v>重大訴訟</v>
      </c>
      <c r="U139" s="20" t="n">
        <f aca="false">IF(R139="維持",K139,IF(R139="排除",0,IFERROR(INDEX(事件規則!$C$2:$C$53,MATCH(S139,事件規則!$A$2:$A$53,0)),"")))</f>
        <v>4</v>
      </c>
      <c r="V139" s="21"/>
      <c r="W139" s="22"/>
      <c r="X139" s="10" t="str">
        <f aca="false">IF(AND(R139="修改",S139=""),"請選新事件代碼",IF(AND(R139&lt;&gt;"修改",S139&lt;&gt;""),"只有「修改」才需填代碼",""))</f>
        <v/>
      </c>
      <c r="Y139" s="21"/>
      <c r="Z139" s="22"/>
      <c r="AA139" s="12" t="s">
        <v>703</v>
      </c>
      <c r="AB139" s="12"/>
    </row>
    <row r="140" customFormat="false" ht="29.85" hidden="false" customHeight="false" outlineLevel="0" collapsed="false">
      <c r="A140" s="17" t="n">
        <v>139</v>
      </c>
      <c r="B140" s="9" t="s">
        <v>704</v>
      </c>
      <c r="C140" s="9" t="s">
        <v>72</v>
      </c>
      <c r="D140" s="10" t="s">
        <v>73</v>
      </c>
      <c r="E140" s="11" t="s">
        <v>705</v>
      </c>
      <c r="F140" s="15"/>
      <c r="G140" s="12" t="s">
        <v>706</v>
      </c>
      <c r="H140" s="13" t="n">
        <v>-0.781</v>
      </c>
      <c r="I140" s="14" t="s">
        <v>96</v>
      </c>
      <c r="J140" s="15" t="s">
        <v>397</v>
      </c>
      <c r="K140" s="9" t="n">
        <v>4</v>
      </c>
      <c r="L140" s="17"/>
      <c r="M140" s="16" t="s">
        <v>53</v>
      </c>
      <c r="N140" s="14"/>
      <c r="O140" s="17" t="s">
        <v>97</v>
      </c>
      <c r="P140" s="15" t="s">
        <v>690</v>
      </c>
      <c r="Q140" s="17"/>
      <c r="R140" s="18" t="s">
        <v>53</v>
      </c>
      <c r="S140" s="19"/>
      <c r="T140" s="15" t="str">
        <f aca="false">IF(R140="維持",J140,IF(R140="排除","無關新聞事件",IFERROR(INDEX(事件規則!$B$2:$B$53,MATCH(S140,事件規則!$A$2:$A$53,0)),"")))</f>
        <v>無關新聞事件</v>
      </c>
      <c r="U140" s="20" t="n">
        <f aca="false">IF(R140="維持",K140,IF(R140="排除",0,IFERROR(INDEX(事件規則!$C$2:$C$53,MATCH(S140,事件規則!$A$2:$A$53,0)),"")))</f>
        <v>0</v>
      </c>
      <c r="V140" s="21"/>
      <c r="W140" s="22"/>
      <c r="X140" s="10" t="str">
        <f aca="false">IF(AND(R140="修改",S140=""),"請選新事件代碼",IF(AND(R140&lt;&gt;"修改",S140&lt;&gt;""),"只有「修改」才需填代碼",""))</f>
        <v/>
      </c>
      <c r="Y140" s="21"/>
      <c r="Z140" s="22"/>
      <c r="AA140" s="12" t="s">
        <v>707</v>
      </c>
      <c r="AB140" s="12"/>
    </row>
    <row r="141" customFormat="false" ht="15" hidden="false" customHeight="false" outlineLevel="0" collapsed="false">
      <c r="A141" s="17" t="n">
        <v>140</v>
      </c>
      <c r="B141" s="9" t="s">
        <v>704</v>
      </c>
      <c r="C141" s="9" t="s">
        <v>412</v>
      </c>
      <c r="D141" s="10" t="s">
        <v>413</v>
      </c>
      <c r="E141" s="11" t="s">
        <v>708</v>
      </c>
      <c r="F141" s="15"/>
      <c r="G141" s="12" t="s">
        <v>503</v>
      </c>
      <c r="H141" s="13" t="n">
        <v>0.003</v>
      </c>
      <c r="I141" s="14" t="s">
        <v>96</v>
      </c>
      <c r="J141" s="15" t="s">
        <v>397</v>
      </c>
      <c r="K141" s="9" t="n">
        <v>4</v>
      </c>
      <c r="L141" s="17"/>
      <c r="M141" s="16" t="s">
        <v>105</v>
      </c>
      <c r="N141" s="14"/>
      <c r="O141" s="17" t="s">
        <v>97</v>
      </c>
      <c r="P141" s="10" t="s">
        <v>417</v>
      </c>
      <c r="Q141" s="17"/>
      <c r="R141" s="18" t="s">
        <v>105</v>
      </c>
      <c r="S141" s="19"/>
      <c r="T141" s="15" t="str">
        <f aca="false">IF(R141="維持",J141,IF(R141="排除","無關新聞事件",IFERROR(INDEX(事件規則!$B$2:$B$53,MATCH(S141,事件規則!$A$2:$A$53,0)),"")))</f>
        <v>重大訴訟</v>
      </c>
      <c r="U141" s="20" t="n">
        <f aca="false">IF(R141="維持",K141,IF(R141="排除",0,IFERROR(INDEX(事件規則!$C$2:$C$53,MATCH(S141,事件規則!$A$2:$A$53,0)),"")))</f>
        <v>4</v>
      </c>
      <c r="V141" s="21"/>
      <c r="W141" s="22"/>
      <c r="X141" s="10" t="str">
        <f aca="false">IF(AND(R141="修改",S141=""),"請選新事件代碼",IF(AND(R141&lt;&gt;"修改",S141&lt;&gt;""),"只有「修改」才需填代碼",""))</f>
        <v/>
      </c>
      <c r="Y141" s="21"/>
      <c r="Z141" s="22"/>
      <c r="AA141" s="12" t="s">
        <v>709</v>
      </c>
      <c r="AB141" s="12"/>
    </row>
    <row r="142" customFormat="false" ht="23.85" hidden="false" customHeight="false" outlineLevel="0" collapsed="false">
      <c r="A142" s="17" t="n">
        <v>141</v>
      </c>
      <c r="B142" s="9" t="s">
        <v>704</v>
      </c>
      <c r="C142" s="9" t="s">
        <v>462</v>
      </c>
      <c r="D142" s="10" t="s">
        <v>463</v>
      </c>
      <c r="E142" s="11" t="s">
        <v>710</v>
      </c>
      <c r="F142" s="15"/>
      <c r="G142" s="12" t="s">
        <v>409</v>
      </c>
      <c r="H142" s="13" t="n">
        <v>-0.072</v>
      </c>
      <c r="I142" s="14" t="s">
        <v>96</v>
      </c>
      <c r="J142" s="15" t="s">
        <v>397</v>
      </c>
      <c r="K142" s="9" t="n">
        <v>4</v>
      </c>
      <c r="L142" s="17"/>
      <c r="M142" s="16" t="s">
        <v>105</v>
      </c>
      <c r="N142" s="14"/>
      <c r="O142" s="17" t="s">
        <v>97</v>
      </c>
      <c r="P142" s="10" t="s">
        <v>711</v>
      </c>
      <c r="Q142" s="17"/>
      <c r="R142" s="18" t="s">
        <v>105</v>
      </c>
      <c r="S142" s="19"/>
      <c r="T142" s="15" t="str">
        <f aca="false">IF(R142="維持",J142,IF(R142="排除","無關新聞事件",IFERROR(INDEX(事件規則!$B$2:$B$53,MATCH(S142,事件規則!$A$2:$A$53,0)),"")))</f>
        <v>重大訴訟</v>
      </c>
      <c r="U142" s="20" t="n">
        <f aca="false">IF(R142="維持",K142,IF(R142="排除",0,IFERROR(INDEX(事件規則!$C$2:$C$53,MATCH(S142,事件規則!$A$2:$A$53,0)),"")))</f>
        <v>4</v>
      </c>
      <c r="V142" s="21"/>
      <c r="W142" s="22"/>
      <c r="X142" s="10" t="str">
        <f aca="false">IF(AND(R142="修改",S142=""),"請選新事件代碼",IF(AND(R142&lt;&gt;"修改",S142&lt;&gt;""),"只有「修改」才需填代碼",""))</f>
        <v/>
      </c>
      <c r="Y142" s="21"/>
      <c r="Z142" s="22"/>
      <c r="AA142" s="12" t="s">
        <v>712</v>
      </c>
      <c r="AB142" s="12"/>
    </row>
    <row r="143" customFormat="false" ht="29.85" hidden="false" customHeight="false" outlineLevel="0" collapsed="false">
      <c r="A143" s="17" t="n">
        <v>142</v>
      </c>
      <c r="B143" s="9" t="s">
        <v>713</v>
      </c>
      <c r="C143" s="17"/>
      <c r="D143" s="10" t="s">
        <v>714</v>
      </c>
      <c r="E143" s="23" t="s">
        <v>715</v>
      </c>
      <c r="F143" s="15"/>
      <c r="G143" s="12" t="s">
        <v>319</v>
      </c>
      <c r="H143" s="13"/>
      <c r="I143" s="14" t="s">
        <v>96</v>
      </c>
      <c r="J143" s="15" t="s">
        <v>397</v>
      </c>
      <c r="K143" s="9" t="n">
        <v>4</v>
      </c>
      <c r="L143" s="17" t="s">
        <v>320</v>
      </c>
      <c r="M143" s="16" t="s">
        <v>53</v>
      </c>
      <c r="N143" s="14"/>
      <c r="O143" s="17" t="s">
        <v>97</v>
      </c>
      <c r="P143" s="15" t="s">
        <v>716</v>
      </c>
      <c r="Q143" s="17"/>
      <c r="R143" s="18" t="s">
        <v>53</v>
      </c>
      <c r="S143" s="19"/>
      <c r="T143" s="15" t="str">
        <f aca="false">IF(R143="維持",J143,IF(R143="排除","無關新聞事件",IFERROR(INDEX(事件規則!$B$2:$B$53,MATCH(S143,事件規則!$A$2:$A$53,0)),"")))</f>
        <v>無關新聞事件</v>
      </c>
      <c r="U143" s="20" t="n">
        <f aca="false">IF(R143="維持",K143,IF(R143="排除",0,IFERROR(INDEX(事件規則!$C$2:$C$53,MATCH(S143,事件規則!$A$2:$A$53,0)),"")))</f>
        <v>0</v>
      </c>
      <c r="V143" s="21"/>
      <c r="W143" s="22"/>
      <c r="X143" s="10" t="str">
        <f aca="false">IF(AND(R143="修改",S143=""),"請選新事件代碼",IF(AND(R143&lt;&gt;"修改",S143&lt;&gt;""),"只有「修改」才需填代碼",""))</f>
        <v/>
      </c>
      <c r="Y143" s="21"/>
      <c r="Z143" s="22"/>
      <c r="AA143" s="12" t="s">
        <v>717</v>
      </c>
      <c r="AB143" s="12"/>
    </row>
    <row r="144" customFormat="false" ht="29.85" hidden="false" customHeight="false" outlineLevel="0" collapsed="false">
      <c r="A144" s="17" t="n">
        <v>143</v>
      </c>
      <c r="B144" s="9" t="s">
        <v>713</v>
      </c>
      <c r="C144" s="17"/>
      <c r="D144" s="10" t="s">
        <v>718</v>
      </c>
      <c r="E144" s="23" t="s">
        <v>715</v>
      </c>
      <c r="F144" s="15"/>
      <c r="G144" s="12" t="s">
        <v>319</v>
      </c>
      <c r="H144" s="13"/>
      <c r="I144" s="14" t="s">
        <v>96</v>
      </c>
      <c r="J144" s="15" t="s">
        <v>397</v>
      </c>
      <c r="K144" s="9" t="n">
        <v>4</v>
      </c>
      <c r="L144" s="17" t="s">
        <v>320</v>
      </c>
      <c r="M144" s="16" t="s">
        <v>53</v>
      </c>
      <c r="N144" s="14"/>
      <c r="O144" s="17" t="s">
        <v>97</v>
      </c>
      <c r="P144" s="15" t="s">
        <v>716</v>
      </c>
      <c r="Q144" s="17"/>
      <c r="R144" s="18" t="s">
        <v>53</v>
      </c>
      <c r="S144" s="19"/>
      <c r="T144" s="15" t="str">
        <f aca="false">IF(R144="維持",J144,IF(R144="排除","無關新聞事件",IFERROR(INDEX(事件規則!$B$2:$B$53,MATCH(S144,事件規則!$A$2:$A$53,0)),"")))</f>
        <v>無關新聞事件</v>
      </c>
      <c r="U144" s="20" t="n">
        <f aca="false">IF(R144="維持",K144,IF(R144="排除",0,IFERROR(INDEX(事件規則!$C$2:$C$53,MATCH(S144,事件規則!$A$2:$A$53,0)),"")))</f>
        <v>0</v>
      </c>
      <c r="V144" s="21"/>
      <c r="W144" s="22"/>
      <c r="X144" s="10" t="str">
        <f aca="false">IF(AND(R144="修改",S144=""),"請選新事件代碼",IF(AND(R144&lt;&gt;"修改",S144&lt;&gt;""),"只有「修改」才需填代碼",""))</f>
        <v/>
      </c>
      <c r="Y144" s="21"/>
      <c r="Z144" s="22"/>
      <c r="AA144" s="12" t="s">
        <v>719</v>
      </c>
      <c r="AB144" s="12"/>
    </row>
    <row r="145" customFormat="false" ht="15" hidden="false" customHeight="false" outlineLevel="0" collapsed="false">
      <c r="A145" s="17" t="n">
        <v>144</v>
      </c>
      <c r="B145" s="9" t="s">
        <v>713</v>
      </c>
      <c r="C145" s="9" t="s">
        <v>720</v>
      </c>
      <c r="D145" s="10" t="s">
        <v>721</v>
      </c>
      <c r="E145" s="11" t="s">
        <v>722</v>
      </c>
      <c r="F145" s="15"/>
      <c r="G145" s="12" t="s">
        <v>723</v>
      </c>
      <c r="H145" s="13" t="n">
        <v>-0.807</v>
      </c>
      <c r="I145" s="14" t="s">
        <v>96</v>
      </c>
      <c r="J145" s="15" t="s">
        <v>397</v>
      </c>
      <c r="K145" s="9" t="n">
        <v>4</v>
      </c>
      <c r="L145" s="17"/>
      <c r="M145" s="16" t="s">
        <v>53</v>
      </c>
      <c r="N145" s="14"/>
      <c r="O145" s="17" t="s">
        <v>54</v>
      </c>
      <c r="P145" s="15" t="s">
        <v>557</v>
      </c>
      <c r="Q145" s="17"/>
      <c r="R145" s="18" t="s">
        <v>53</v>
      </c>
      <c r="S145" s="19"/>
      <c r="T145" s="15" t="str">
        <f aca="false">IF(R145="維持",J145,IF(R145="排除","無關新聞事件",IFERROR(INDEX(事件規則!$B$2:$B$53,MATCH(S145,事件規則!$A$2:$A$53,0)),"")))</f>
        <v>無關新聞事件</v>
      </c>
      <c r="U145" s="20" t="n">
        <f aca="false">IF(R145="維持",K145,IF(R145="排除",0,IFERROR(INDEX(事件規則!$C$2:$C$53,MATCH(S145,事件規則!$A$2:$A$53,0)),"")))</f>
        <v>0</v>
      </c>
      <c r="V145" s="21"/>
      <c r="W145" s="22"/>
      <c r="X145" s="10" t="str">
        <f aca="false">IF(AND(R145="修改",S145=""),"請選新事件代碼",IF(AND(R145&lt;&gt;"修改",S145&lt;&gt;""),"只有「修改」才需填代碼",""))</f>
        <v/>
      </c>
      <c r="Y145" s="21"/>
      <c r="Z145" s="22"/>
      <c r="AA145" s="12" t="s">
        <v>724</v>
      </c>
      <c r="AB145" s="12"/>
    </row>
    <row r="146" customFormat="false" ht="15" hidden="false" customHeight="false" outlineLevel="0" collapsed="false">
      <c r="A146" s="17" t="n">
        <v>145</v>
      </c>
      <c r="B146" s="9" t="s">
        <v>713</v>
      </c>
      <c r="C146" s="9" t="s">
        <v>412</v>
      </c>
      <c r="D146" s="10" t="s">
        <v>413</v>
      </c>
      <c r="E146" s="11" t="s">
        <v>725</v>
      </c>
      <c r="F146" s="15"/>
      <c r="G146" s="12" t="s">
        <v>660</v>
      </c>
      <c r="H146" s="13" t="n">
        <v>-0.122</v>
      </c>
      <c r="I146" s="14" t="s">
        <v>96</v>
      </c>
      <c r="J146" s="15" t="s">
        <v>397</v>
      </c>
      <c r="K146" s="9" t="n">
        <v>4</v>
      </c>
      <c r="L146" s="17"/>
      <c r="M146" s="16" t="s">
        <v>105</v>
      </c>
      <c r="N146" s="14"/>
      <c r="O146" s="17" t="s">
        <v>97</v>
      </c>
      <c r="P146" s="10" t="s">
        <v>417</v>
      </c>
      <c r="Q146" s="17"/>
      <c r="R146" s="18" t="s">
        <v>105</v>
      </c>
      <c r="S146" s="19"/>
      <c r="T146" s="15" t="str">
        <f aca="false">IF(R146="維持",J146,IF(R146="排除","無關新聞事件",IFERROR(INDEX(事件規則!$B$2:$B$53,MATCH(S146,事件規則!$A$2:$A$53,0)),"")))</f>
        <v>重大訴訟</v>
      </c>
      <c r="U146" s="20" t="n">
        <f aca="false">IF(R146="維持",K146,IF(R146="排除",0,IFERROR(INDEX(事件規則!$C$2:$C$53,MATCH(S146,事件規則!$A$2:$A$53,0)),"")))</f>
        <v>4</v>
      </c>
      <c r="V146" s="21"/>
      <c r="W146" s="22"/>
      <c r="X146" s="10" t="str">
        <f aca="false">IF(AND(R146="修改",S146=""),"請選新事件代碼",IF(AND(R146&lt;&gt;"修改",S146&lt;&gt;""),"只有「修改」才需填代碼",""))</f>
        <v/>
      </c>
      <c r="Y146" s="21"/>
      <c r="Z146" s="22"/>
      <c r="AA146" s="12" t="s">
        <v>726</v>
      </c>
      <c r="AB146" s="12"/>
    </row>
    <row r="147" customFormat="false" ht="15" hidden="false" customHeight="false" outlineLevel="0" collapsed="false">
      <c r="A147" s="17" t="n">
        <v>146</v>
      </c>
      <c r="B147" s="9" t="s">
        <v>727</v>
      </c>
      <c r="C147" s="9" t="s">
        <v>392</v>
      </c>
      <c r="D147" s="10" t="s">
        <v>393</v>
      </c>
      <c r="E147" s="11" t="s">
        <v>509</v>
      </c>
      <c r="F147" s="15"/>
      <c r="G147" s="12" t="s">
        <v>503</v>
      </c>
      <c r="H147" s="13" t="n">
        <v>-0.028</v>
      </c>
      <c r="I147" s="14" t="s">
        <v>96</v>
      </c>
      <c r="J147" s="15" t="s">
        <v>397</v>
      </c>
      <c r="K147" s="9" t="n">
        <v>4</v>
      </c>
      <c r="L147" s="17"/>
      <c r="M147" s="16" t="s">
        <v>105</v>
      </c>
      <c r="N147" s="14"/>
      <c r="O147" s="17" t="s">
        <v>97</v>
      </c>
      <c r="P147" s="10" t="s">
        <v>728</v>
      </c>
      <c r="Q147" s="17"/>
      <c r="R147" s="18" t="s">
        <v>105</v>
      </c>
      <c r="S147" s="19"/>
      <c r="T147" s="15" t="str">
        <f aca="false">IF(R147="維持",J147,IF(R147="排除","無關新聞事件",IFERROR(INDEX(事件規則!$B$2:$B$53,MATCH(S147,事件規則!$A$2:$A$53,0)),"")))</f>
        <v>重大訴訟</v>
      </c>
      <c r="U147" s="20" t="n">
        <f aca="false">IF(R147="維持",K147,IF(R147="排除",0,IFERROR(INDEX(事件規則!$C$2:$C$53,MATCH(S147,事件規則!$A$2:$A$53,0)),"")))</f>
        <v>4</v>
      </c>
      <c r="V147" s="21"/>
      <c r="W147" s="22"/>
      <c r="X147" s="10" t="str">
        <f aca="false">IF(AND(R147="修改",S147=""),"請選新事件代碼",IF(AND(R147&lt;&gt;"修改",S147&lt;&gt;""),"只有「修改」才需填代碼",""))</f>
        <v/>
      </c>
      <c r="Y147" s="21"/>
      <c r="Z147" s="22"/>
      <c r="AA147" s="12" t="s">
        <v>729</v>
      </c>
      <c r="AB147" s="12"/>
    </row>
    <row r="148" customFormat="false" ht="15" hidden="false" customHeight="false" outlineLevel="0" collapsed="false">
      <c r="A148" s="17" t="n">
        <v>147</v>
      </c>
      <c r="B148" s="9" t="s">
        <v>727</v>
      </c>
      <c r="C148" s="9" t="s">
        <v>412</v>
      </c>
      <c r="D148" s="10" t="s">
        <v>413</v>
      </c>
      <c r="E148" s="11" t="s">
        <v>730</v>
      </c>
      <c r="F148" s="15"/>
      <c r="G148" s="12" t="s">
        <v>503</v>
      </c>
      <c r="H148" s="13" t="n">
        <v>-0.25</v>
      </c>
      <c r="I148" s="14" t="s">
        <v>96</v>
      </c>
      <c r="J148" s="15" t="s">
        <v>397</v>
      </c>
      <c r="K148" s="9" t="n">
        <v>4</v>
      </c>
      <c r="L148" s="17"/>
      <c r="M148" s="16" t="s">
        <v>105</v>
      </c>
      <c r="N148" s="14"/>
      <c r="O148" s="17" t="s">
        <v>97</v>
      </c>
      <c r="P148" s="10" t="s">
        <v>417</v>
      </c>
      <c r="Q148" s="17"/>
      <c r="R148" s="18" t="s">
        <v>105</v>
      </c>
      <c r="S148" s="19"/>
      <c r="T148" s="15" t="str">
        <f aca="false">IF(R148="維持",J148,IF(R148="排除","無關新聞事件",IFERROR(INDEX(事件規則!$B$2:$B$53,MATCH(S148,事件規則!$A$2:$A$53,0)),"")))</f>
        <v>重大訴訟</v>
      </c>
      <c r="U148" s="20" t="n">
        <f aca="false">IF(R148="維持",K148,IF(R148="排除",0,IFERROR(INDEX(事件規則!$C$2:$C$53,MATCH(S148,事件規則!$A$2:$A$53,0)),"")))</f>
        <v>4</v>
      </c>
      <c r="V148" s="21"/>
      <c r="W148" s="22"/>
      <c r="X148" s="10" t="str">
        <f aca="false">IF(AND(R148="修改",S148=""),"請選新事件代碼",IF(AND(R148&lt;&gt;"修改",S148&lt;&gt;""),"只有「修改」才需填代碼",""))</f>
        <v/>
      </c>
      <c r="Y148" s="21"/>
      <c r="Z148" s="22"/>
      <c r="AA148" s="12" t="s">
        <v>731</v>
      </c>
      <c r="AB148" s="12"/>
    </row>
    <row r="149" customFormat="false" ht="15" hidden="false" customHeight="false" outlineLevel="0" collapsed="false">
      <c r="A149" s="17" t="n">
        <v>148</v>
      </c>
      <c r="B149" s="9" t="s">
        <v>727</v>
      </c>
      <c r="C149" s="9" t="s">
        <v>412</v>
      </c>
      <c r="D149" s="10" t="s">
        <v>413</v>
      </c>
      <c r="E149" s="11" t="s">
        <v>732</v>
      </c>
      <c r="F149" s="15"/>
      <c r="G149" s="12" t="s">
        <v>503</v>
      </c>
      <c r="H149" s="13" t="n">
        <v>-0.142</v>
      </c>
      <c r="I149" s="14" t="s">
        <v>96</v>
      </c>
      <c r="J149" s="15" t="s">
        <v>397</v>
      </c>
      <c r="K149" s="9" t="n">
        <v>4</v>
      </c>
      <c r="L149" s="17"/>
      <c r="M149" s="16" t="s">
        <v>105</v>
      </c>
      <c r="N149" s="14"/>
      <c r="O149" s="17" t="s">
        <v>97</v>
      </c>
      <c r="P149" s="10" t="s">
        <v>417</v>
      </c>
      <c r="Q149" s="17"/>
      <c r="R149" s="18" t="s">
        <v>105</v>
      </c>
      <c r="S149" s="19"/>
      <c r="T149" s="15" t="str">
        <f aca="false">IF(R149="維持",J149,IF(R149="排除","無關新聞事件",IFERROR(INDEX(事件規則!$B$2:$B$53,MATCH(S149,事件規則!$A$2:$A$53,0)),"")))</f>
        <v>重大訴訟</v>
      </c>
      <c r="U149" s="20" t="n">
        <f aca="false">IF(R149="維持",K149,IF(R149="排除",0,IFERROR(INDEX(事件規則!$C$2:$C$53,MATCH(S149,事件規則!$A$2:$A$53,0)),"")))</f>
        <v>4</v>
      </c>
      <c r="V149" s="21"/>
      <c r="W149" s="22"/>
      <c r="X149" s="10" t="str">
        <f aca="false">IF(AND(R149="修改",S149=""),"請選新事件代碼",IF(AND(R149&lt;&gt;"修改",S149&lt;&gt;""),"只有「修改」才需填代碼",""))</f>
        <v/>
      </c>
      <c r="Y149" s="21"/>
      <c r="Z149" s="22"/>
      <c r="AA149" s="12" t="s">
        <v>733</v>
      </c>
      <c r="AB149" s="12"/>
    </row>
    <row r="150" customFormat="false" ht="35.05" hidden="false" customHeight="false" outlineLevel="0" collapsed="false">
      <c r="A150" s="17" t="n">
        <v>149</v>
      </c>
      <c r="B150" s="9" t="s">
        <v>727</v>
      </c>
      <c r="C150" s="9" t="s">
        <v>734</v>
      </c>
      <c r="D150" s="10" t="s">
        <v>735</v>
      </c>
      <c r="E150" s="11" t="s">
        <v>736</v>
      </c>
      <c r="F150" s="15"/>
      <c r="G150" s="12" t="s">
        <v>737</v>
      </c>
      <c r="H150" s="13" t="n">
        <v>-0.116</v>
      </c>
      <c r="I150" s="14" t="s">
        <v>96</v>
      </c>
      <c r="J150" s="15" t="s">
        <v>397</v>
      </c>
      <c r="K150" s="9" t="n">
        <v>4</v>
      </c>
      <c r="L150" s="17"/>
      <c r="M150" s="16" t="s">
        <v>53</v>
      </c>
      <c r="N150" s="14"/>
      <c r="O150" s="17" t="s">
        <v>54</v>
      </c>
      <c r="P150" s="10" t="s">
        <v>738</v>
      </c>
      <c r="Q150" s="17"/>
      <c r="R150" s="18" t="s">
        <v>53</v>
      </c>
      <c r="S150" s="19"/>
      <c r="T150" s="15" t="str">
        <f aca="false">IF(R150="維持",J150,IF(R150="排除","無關新聞事件",IFERROR(INDEX(事件規則!$B$2:$B$53,MATCH(S150,事件規則!$A$2:$A$53,0)),"")))</f>
        <v>無關新聞事件</v>
      </c>
      <c r="U150" s="20" t="n">
        <f aca="false">IF(R150="維持",K150,IF(R150="排除",0,IFERROR(INDEX(事件規則!$C$2:$C$53,MATCH(S150,事件規則!$A$2:$A$53,0)),"")))</f>
        <v>0</v>
      </c>
      <c r="V150" s="21"/>
      <c r="W150" s="22"/>
      <c r="X150" s="10" t="str">
        <f aca="false">IF(AND(R150="修改",S150=""),"請選新事件代碼",IF(AND(R150&lt;&gt;"修改",S150&lt;&gt;""),"只有「修改」才需填代碼",""))</f>
        <v/>
      </c>
      <c r="Y150" s="21"/>
      <c r="Z150" s="22"/>
      <c r="AA150" s="12" t="s">
        <v>739</v>
      </c>
      <c r="AB150" s="12"/>
    </row>
    <row r="151" customFormat="false" ht="23.85" hidden="false" customHeight="false" outlineLevel="0" collapsed="false">
      <c r="A151" s="17" t="n">
        <v>150</v>
      </c>
      <c r="B151" s="9" t="s">
        <v>219</v>
      </c>
      <c r="C151" s="9" t="s">
        <v>462</v>
      </c>
      <c r="D151" s="10" t="s">
        <v>463</v>
      </c>
      <c r="E151" s="11" t="s">
        <v>740</v>
      </c>
      <c r="F151" s="15"/>
      <c r="G151" s="12" t="s">
        <v>409</v>
      </c>
      <c r="H151" s="13" t="n">
        <v>-0.952</v>
      </c>
      <c r="I151" s="14" t="s">
        <v>96</v>
      </c>
      <c r="J151" s="15" t="s">
        <v>397</v>
      </c>
      <c r="K151" s="9" t="n">
        <v>4</v>
      </c>
      <c r="L151" s="17"/>
      <c r="M151" s="16" t="s">
        <v>105</v>
      </c>
      <c r="N151" s="14"/>
      <c r="O151" s="17" t="s">
        <v>97</v>
      </c>
      <c r="P151" s="10" t="s">
        <v>711</v>
      </c>
      <c r="Q151" s="17"/>
      <c r="R151" s="18" t="s">
        <v>105</v>
      </c>
      <c r="S151" s="19"/>
      <c r="T151" s="15" t="str">
        <f aca="false">IF(R151="維持",J151,IF(R151="排除","無關新聞事件",IFERROR(INDEX(事件規則!$B$2:$B$53,MATCH(S151,事件規則!$A$2:$A$53,0)),"")))</f>
        <v>重大訴訟</v>
      </c>
      <c r="U151" s="20" t="n">
        <f aca="false">IF(R151="維持",K151,IF(R151="排除",0,IFERROR(INDEX(事件規則!$C$2:$C$53,MATCH(S151,事件規則!$A$2:$A$53,0)),"")))</f>
        <v>4</v>
      </c>
      <c r="V151" s="21"/>
      <c r="W151" s="22"/>
      <c r="X151" s="10" t="str">
        <f aca="false">IF(AND(R151="修改",S151=""),"請選新事件代碼",IF(AND(R151&lt;&gt;"修改",S151&lt;&gt;""),"只有「修改」才需填代碼",""))</f>
        <v/>
      </c>
      <c r="Y151" s="21"/>
      <c r="Z151" s="22"/>
      <c r="AA151" s="12" t="s">
        <v>741</v>
      </c>
      <c r="AB151" s="12"/>
    </row>
    <row r="152" customFormat="false" ht="29.85" hidden="false" customHeight="false" outlineLevel="0" collapsed="false">
      <c r="A152" s="17" t="n">
        <v>151</v>
      </c>
      <c r="B152" s="9" t="s">
        <v>219</v>
      </c>
      <c r="C152" s="9" t="s">
        <v>443</v>
      </c>
      <c r="D152" s="10" t="s">
        <v>444</v>
      </c>
      <c r="E152" s="23" t="s">
        <v>742</v>
      </c>
      <c r="F152" s="15"/>
      <c r="G152" s="12" t="s">
        <v>319</v>
      </c>
      <c r="H152" s="13"/>
      <c r="I152" s="14" t="s">
        <v>96</v>
      </c>
      <c r="J152" s="15" t="s">
        <v>397</v>
      </c>
      <c r="K152" s="9" t="n">
        <v>4</v>
      </c>
      <c r="L152" s="17"/>
      <c r="M152" s="16" t="s">
        <v>53</v>
      </c>
      <c r="N152" s="14"/>
      <c r="O152" s="17" t="s">
        <v>97</v>
      </c>
      <c r="P152" s="15" t="s">
        <v>743</v>
      </c>
      <c r="Q152" s="17"/>
      <c r="R152" s="18" t="s">
        <v>53</v>
      </c>
      <c r="S152" s="19"/>
      <c r="T152" s="15" t="str">
        <f aca="false">IF(R152="維持",J152,IF(R152="排除","無關新聞事件",IFERROR(INDEX(事件規則!$B$2:$B$53,MATCH(S152,事件規則!$A$2:$A$53,0)),"")))</f>
        <v>無關新聞事件</v>
      </c>
      <c r="U152" s="20" t="n">
        <f aca="false">IF(R152="維持",K152,IF(R152="排除",0,IFERROR(INDEX(事件規則!$C$2:$C$53,MATCH(S152,事件規則!$A$2:$A$53,0)),"")))</f>
        <v>0</v>
      </c>
      <c r="V152" s="21"/>
      <c r="W152" s="22"/>
      <c r="X152" s="10" t="str">
        <f aca="false">IF(AND(R152="修改",S152=""),"請選新事件代碼",IF(AND(R152&lt;&gt;"修改",S152&lt;&gt;""),"只有「修改」才需填代碼",""))</f>
        <v/>
      </c>
      <c r="Y152" s="21"/>
      <c r="Z152" s="22"/>
      <c r="AA152" s="12" t="s">
        <v>744</v>
      </c>
      <c r="AB152" s="12"/>
    </row>
    <row r="153" customFormat="false" ht="15" hidden="false" customHeight="false" outlineLevel="0" collapsed="false">
      <c r="A153" s="17" t="n">
        <v>152</v>
      </c>
      <c r="B153" s="9" t="s">
        <v>219</v>
      </c>
      <c r="C153" s="9" t="s">
        <v>392</v>
      </c>
      <c r="D153" s="10" t="s">
        <v>393</v>
      </c>
      <c r="E153" s="11" t="s">
        <v>745</v>
      </c>
      <c r="F153" s="15"/>
      <c r="G153" s="12" t="s">
        <v>84</v>
      </c>
      <c r="H153" s="13" t="n">
        <v>-0.932</v>
      </c>
      <c r="I153" s="14" t="s">
        <v>96</v>
      </c>
      <c r="J153" s="15" t="s">
        <v>397</v>
      </c>
      <c r="K153" s="9" t="n">
        <v>4</v>
      </c>
      <c r="L153" s="17"/>
      <c r="M153" s="16" t="s">
        <v>105</v>
      </c>
      <c r="N153" s="14"/>
      <c r="O153" s="17" t="s">
        <v>97</v>
      </c>
      <c r="P153" s="10" t="s">
        <v>728</v>
      </c>
      <c r="Q153" s="17"/>
      <c r="R153" s="18" t="s">
        <v>105</v>
      </c>
      <c r="S153" s="19"/>
      <c r="T153" s="15" t="str">
        <f aca="false">IF(R153="維持",J153,IF(R153="排除","無關新聞事件",IFERROR(INDEX(事件規則!$B$2:$B$53,MATCH(S153,事件規則!$A$2:$A$53,0)),"")))</f>
        <v>重大訴訟</v>
      </c>
      <c r="U153" s="20" t="n">
        <f aca="false">IF(R153="維持",K153,IF(R153="排除",0,IFERROR(INDEX(事件規則!$C$2:$C$53,MATCH(S153,事件規則!$A$2:$A$53,0)),"")))</f>
        <v>4</v>
      </c>
      <c r="V153" s="21"/>
      <c r="W153" s="22"/>
      <c r="X153" s="10" t="str">
        <f aca="false">IF(AND(R153="修改",S153=""),"請選新事件代碼",IF(AND(R153&lt;&gt;"修改",S153&lt;&gt;""),"只有「修改」才需填代碼",""))</f>
        <v/>
      </c>
      <c r="Y153" s="21"/>
      <c r="Z153" s="22"/>
      <c r="AA153" s="12" t="s">
        <v>746</v>
      </c>
      <c r="AB153" s="12"/>
    </row>
    <row r="154" customFormat="false" ht="15" hidden="false" customHeight="false" outlineLevel="0" collapsed="false">
      <c r="A154" s="17" t="n">
        <v>153</v>
      </c>
      <c r="B154" s="9" t="s">
        <v>219</v>
      </c>
      <c r="C154" s="9" t="s">
        <v>412</v>
      </c>
      <c r="D154" s="10" t="s">
        <v>413</v>
      </c>
      <c r="E154" s="11" t="s">
        <v>747</v>
      </c>
      <c r="F154" s="15"/>
      <c r="G154" s="12" t="s">
        <v>632</v>
      </c>
      <c r="H154" s="13" t="n">
        <v>-0.119</v>
      </c>
      <c r="I154" s="14" t="s">
        <v>96</v>
      </c>
      <c r="J154" s="15" t="s">
        <v>397</v>
      </c>
      <c r="K154" s="9" t="n">
        <v>4</v>
      </c>
      <c r="L154" s="17"/>
      <c r="M154" s="16" t="s">
        <v>105</v>
      </c>
      <c r="N154" s="14"/>
      <c r="O154" s="17" t="s">
        <v>97</v>
      </c>
      <c r="P154" s="10" t="s">
        <v>417</v>
      </c>
      <c r="Q154" s="17"/>
      <c r="R154" s="18" t="s">
        <v>105</v>
      </c>
      <c r="S154" s="19"/>
      <c r="T154" s="15" t="str">
        <f aca="false">IF(R154="維持",J154,IF(R154="排除","無關新聞事件",IFERROR(INDEX(事件規則!$B$2:$B$53,MATCH(S154,事件規則!$A$2:$A$53,0)),"")))</f>
        <v>重大訴訟</v>
      </c>
      <c r="U154" s="20" t="n">
        <f aca="false">IF(R154="維持",K154,IF(R154="排除",0,IFERROR(INDEX(事件規則!$C$2:$C$53,MATCH(S154,事件規則!$A$2:$A$53,0)),"")))</f>
        <v>4</v>
      </c>
      <c r="V154" s="21"/>
      <c r="W154" s="22"/>
      <c r="X154" s="10" t="str">
        <f aca="false">IF(AND(R154="修改",S154=""),"請選新事件代碼",IF(AND(R154&lt;&gt;"修改",S154&lt;&gt;""),"只有「修改」才需填代碼",""))</f>
        <v/>
      </c>
      <c r="Y154" s="21"/>
      <c r="Z154" s="22"/>
      <c r="AA154" s="12" t="s">
        <v>748</v>
      </c>
      <c r="AB154" s="12"/>
    </row>
    <row r="155" customFormat="false" ht="15" hidden="false" customHeight="false" outlineLevel="0" collapsed="false">
      <c r="A155" s="17" t="n">
        <v>154</v>
      </c>
      <c r="B155" s="9" t="s">
        <v>749</v>
      </c>
      <c r="C155" s="9" t="s">
        <v>392</v>
      </c>
      <c r="D155" s="10" t="s">
        <v>393</v>
      </c>
      <c r="E155" s="11" t="s">
        <v>750</v>
      </c>
      <c r="F155" s="15"/>
      <c r="G155" s="12" t="s">
        <v>409</v>
      </c>
      <c r="H155" s="13" t="n">
        <v>-0.357</v>
      </c>
      <c r="I155" s="14" t="s">
        <v>96</v>
      </c>
      <c r="J155" s="15" t="s">
        <v>397</v>
      </c>
      <c r="K155" s="9" t="n">
        <v>4</v>
      </c>
      <c r="L155" s="17"/>
      <c r="M155" s="16" t="s">
        <v>105</v>
      </c>
      <c r="N155" s="14"/>
      <c r="O155" s="17" t="s">
        <v>97</v>
      </c>
      <c r="P155" s="10" t="s">
        <v>728</v>
      </c>
      <c r="Q155" s="17"/>
      <c r="R155" s="18" t="s">
        <v>105</v>
      </c>
      <c r="S155" s="19"/>
      <c r="T155" s="15" t="str">
        <f aca="false">IF(R155="維持",J155,IF(R155="排除","無關新聞事件",IFERROR(INDEX(事件規則!$B$2:$B$53,MATCH(S155,事件規則!$A$2:$A$53,0)),"")))</f>
        <v>重大訴訟</v>
      </c>
      <c r="U155" s="20" t="n">
        <f aca="false">IF(R155="維持",K155,IF(R155="排除",0,IFERROR(INDEX(事件規則!$C$2:$C$53,MATCH(S155,事件規則!$A$2:$A$53,0)),"")))</f>
        <v>4</v>
      </c>
      <c r="V155" s="21"/>
      <c r="W155" s="22"/>
      <c r="X155" s="10" t="str">
        <f aca="false">IF(AND(R155="修改",S155=""),"請選新事件代碼",IF(AND(R155&lt;&gt;"修改",S155&lt;&gt;""),"只有「修改」才需填代碼",""))</f>
        <v/>
      </c>
      <c r="Y155" s="21"/>
      <c r="Z155" s="22"/>
      <c r="AA155" s="12" t="s">
        <v>751</v>
      </c>
      <c r="AB155" s="12"/>
    </row>
    <row r="156" customFormat="false" ht="23.85" hidden="false" customHeight="false" outlineLevel="0" collapsed="false">
      <c r="A156" s="17" t="n">
        <v>155</v>
      </c>
      <c r="B156" s="9" t="s">
        <v>749</v>
      </c>
      <c r="C156" s="9" t="s">
        <v>419</v>
      </c>
      <c r="D156" s="10" t="s">
        <v>420</v>
      </c>
      <c r="E156" s="11" t="s">
        <v>752</v>
      </c>
      <c r="F156" s="15"/>
      <c r="G156" s="12" t="s">
        <v>660</v>
      </c>
      <c r="H156" s="13" t="n">
        <v>-0.045</v>
      </c>
      <c r="I156" s="14" t="s">
        <v>96</v>
      </c>
      <c r="J156" s="15" t="s">
        <v>397</v>
      </c>
      <c r="K156" s="9" t="n">
        <v>4</v>
      </c>
      <c r="L156" s="17"/>
      <c r="M156" s="16" t="s">
        <v>105</v>
      </c>
      <c r="N156" s="14"/>
      <c r="O156" s="17" t="s">
        <v>97</v>
      </c>
      <c r="P156" s="10" t="s">
        <v>423</v>
      </c>
      <c r="Q156" s="17"/>
      <c r="R156" s="18" t="s">
        <v>105</v>
      </c>
      <c r="S156" s="19"/>
      <c r="T156" s="15" t="str">
        <f aca="false">IF(R156="維持",J156,IF(R156="排除","無關新聞事件",IFERROR(INDEX(事件規則!$B$2:$B$53,MATCH(S156,事件規則!$A$2:$A$53,0)),"")))</f>
        <v>重大訴訟</v>
      </c>
      <c r="U156" s="20" t="n">
        <f aca="false">IF(R156="維持",K156,IF(R156="排除",0,IFERROR(INDEX(事件規則!$C$2:$C$53,MATCH(S156,事件規則!$A$2:$A$53,0)),"")))</f>
        <v>4</v>
      </c>
      <c r="V156" s="21"/>
      <c r="W156" s="22"/>
      <c r="X156" s="10" t="str">
        <f aca="false">IF(AND(R156="修改",S156=""),"請選新事件代碼",IF(AND(R156&lt;&gt;"修改",S156&lt;&gt;""),"只有「修改」才需填代碼",""))</f>
        <v/>
      </c>
      <c r="Y156" s="21"/>
      <c r="Z156" s="22"/>
      <c r="AA156" s="12" t="s">
        <v>753</v>
      </c>
      <c r="AB156" s="12"/>
    </row>
    <row r="157" customFormat="false" ht="23.85" hidden="false" customHeight="false" outlineLevel="0" collapsed="false">
      <c r="A157" s="17" t="n">
        <v>156</v>
      </c>
      <c r="B157" s="9" t="s">
        <v>749</v>
      </c>
      <c r="C157" s="9" t="s">
        <v>462</v>
      </c>
      <c r="D157" s="10" t="s">
        <v>463</v>
      </c>
      <c r="E157" s="11" t="s">
        <v>754</v>
      </c>
      <c r="F157" s="15"/>
      <c r="G157" s="12" t="s">
        <v>409</v>
      </c>
      <c r="H157" s="13" t="n">
        <v>-0.006</v>
      </c>
      <c r="I157" s="14" t="s">
        <v>96</v>
      </c>
      <c r="J157" s="15" t="s">
        <v>397</v>
      </c>
      <c r="K157" s="9" t="n">
        <v>4</v>
      </c>
      <c r="L157" s="17"/>
      <c r="M157" s="16" t="s">
        <v>105</v>
      </c>
      <c r="N157" s="14"/>
      <c r="O157" s="17" t="s">
        <v>97</v>
      </c>
      <c r="P157" s="10" t="s">
        <v>711</v>
      </c>
      <c r="Q157" s="17"/>
      <c r="R157" s="18" t="s">
        <v>105</v>
      </c>
      <c r="S157" s="19"/>
      <c r="T157" s="15" t="str">
        <f aca="false">IF(R157="維持",J157,IF(R157="排除","無關新聞事件",IFERROR(INDEX(事件規則!$B$2:$B$53,MATCH(S157,事件規則!$A$2:$A$53,0)),"")))</f>
        <v>重大訴訟</v>
      </c>
      <c r="U157" s="20" t="n">
        <f aca="false">IF(R157="維持",K157,IF(R157="排除",0,IFERROR(INDEX(事件規則!$C$2:$C$53,MATCH(S157,事件規則!$A$2:$A$53,0)),"")))</f>
        <v>4</v>
      </c>
      <c r="V157" s="21"/>
      <c r="W157" s="22"/>
      <c r="X157" s="10" t="str">
        <f aca="false">IF(AND(R157="修改",S157=""),"請選新事件代碼",IF(AND(R157&lt;&gt;"修改",S157&lt;&gt;""),"只有「修改」才需填代碼",""))</f>
        <v/>
      </c>
      <c r="Y157" s="21"/>
      <c r="Z157" s="22"/>
      <c r="AA157" s="12" t="s">
        <v>755</v>
      </c>
      <c r="AB157" s="12"/>
    </row>
    <row r="158" customFormat="false" ht="29.85" hidden="false" customHeight="false" outlineLevel="0" collapsed="false">
      <c r="A158" s="17" t="n">
        <v>157</v>
      </c>
      <c r="B158" s="9" t="s">
        <v>749</v>
      </c>
      <c r="C158" s="17"/>
      <c r="D158" s="10" t="s">
        <v>756</v>
      </c>
      <c r="E158" s="23" t="s">
        <v>757</v>
      </c>
      <c r="F158" s="15"/>
      <c r="G158" s="12" t="s">
        <v>319</v>
      </c>
      <c r="H158" s="13"/>
      <c r="I158" s="14" t="s">
        <v>96</v>
      </c>
      <c r="J158" s="15" t="s">
        <v>397</v>
      </c>
      <c r="K158" s="9" t="n">
        <v>4</v>
      </c>
      <c r="L158" s="17" t="s">
        <v>320</v>
      </c>
      <c r="M158" s="16" t="s">
        <v>53</v>
      </c>
      <c r="N158" s="14"/>
      <c r="O158" s="17" t="s">
        <v>97</v>
      </c>
      <c r="P158" s="15" t="s">
        <v>758</v>
      </c>
      <c r="Q158" s="17"/>
      <c r="R158" s="18" t="s">
        <v>53</v>
      </c>
      <c r="S158" s="19"/>
      <c r="T158" s="15" t="str">
        <f aca="false">IF(R158="維持",J158,IF(R158="排除","無關新聞事件",IFERROR(INDEX(事件規則!$B$2:$B$53,MATCH(S158,事件規則!$A$2:$A$53,0)),"")))</f>
        <v>無關新聞事件</v>
      </c>
      <c r="U158" s="20" t="n">
        <f aca="false">IF(R158="維持",K158,IF(R158="排除",0,IFERROR(INDEX(事件規則!$C$2:$C$53,MATCH(S158,事件規則!$A$2:$A$53,0)),"")))</f>
        <v>0</v>
      </c>
      <c r="V158" s="21"/>
      <c r="W158" s="22"/>
      <c r="X158" s="10" t="str">
        <f aca="false">IF(AND(R158="修改",S158=""),"請選新事件代碼",IF(AND(R158&lt;&gt;"修改",S158&lt;&gt;""),"只有「修改」才需填代碼",""))</f>
        <v/>
      </c>
      <c r="Y158" s="21"/>
      <c r="Z158" s="22"/>
      <c r="AA158" s="12" t="s">
        <v>759</v>
      </c>
      <c r="AB158" s="12"/>
    </row>
    <row r="159" customFormat="false" ht="15" hidden="false" customHeight="false" outlineLevel="0" collapsed="false">
      <c r="A159" s="17" t="n">
        <v>158</v>
      </c>
      <c r="B159" s="9" t="s">
        <v>749</v>
      </c>
      <c r="C159" s="9" t="s">
        <v>392</v>
      </c>
      <c r="D159" s="10" t="s">
        <v>393</v>
      </c>
      <c r="E159" s="11" t="s">
        <v>760</v>
      </c>
      <c r="F159" s="15"/>
      <c r="G159" s="12" t="s">
        <v>503</v>
      </c>
      <c r="H159" s="13" t="n">
        <v>-0.693</v>
      </c>
      <c r="I159" s="14" t="s">
        <v>96</v>
      </c>
      <c r="J159" s="15" t="s">
        <v>397</v>
      </c>
      <c r="K159" s="9" t="n">
        <v>4</v>
      </c>
      <c r="L159" s="17"/>
      <c r="M159" s="16" t="s">
        <v>105</v>
      </c>
      <c r="N159" s="14"/>
      <c r="O159" s="17" t="s">
        <v>97</v>
      </c>
      <c r="P159" s="10" t="s">
        <v>728</v>
      </c>
      <c r="Q159" s="17"/>
      <c r="R159" s="18" t="s">
        <v>105</v>
      </c>
      <c r="S159" s="19"/>
      <c r="T159" s="15" t="str">
        <f aca="false">IF(R159="維持",J159,IF(R159="排除","無關新聞事件",IFERROR(INDEX(事件規則!$B$2:$B$53,MATCH(S159,事件規則!$A$2:$A$53,0)),"")))</f>
        <v>重大訴訟</v>
      </c>
      <c r="U159" s="20" t="n">
        <f aca="false">IF(R159="維持",K159,IF(R159="排除",0,IFERROR(INDEX(事件規則!$C$2:$C$53,MATCH(S159,事件規則!$A$2:$A$53,0)),"")))</f>
        <v>4</v>
      </c>
      <c r="V159" s="21"/>
      <c r="W159" s="22"/>
      <c r="X159" s="10" t="str">
        <f aca="false">IF(AND(R159="修改",S159=""),"請選新事件代碼",IF(AND(R159&lt;&gt;"修改",S159&lt;&gt;""),"只有「修改」才需填代碼",""))</f>
        <v/>
      </c>
      <c r="Y159" s="21"/>
      <c r="Z159" s="22"/>
      <c r="AA159" s="12" t="s">
        <v>761</v>
      </c>
      <c r="AB159" s="12"/>
    </row>
    <row r="160" customFormat="false" ht="15" hidden="false" customHeight="false" outlineLevel="0" collapsed="false">
      <c r="A160" s="17" t="n">
        <v>159</v>
      </c>
      <c r="B160" s="9" t="s">
        <v>749</v>
      </c>
      <c r="C160" s="9" t="s">
        <v>412</v>
      </c>
      <c r="D160" s="10" t="s">
        <v>413</v>
      </c>
      <c r="E160" s="11" t="s">
        <v>599</v>
      </c>
      <c r="F160" s="15"/>
      <c r="G160" s="12" t="s">
        <v>660</v>
      </c>
      <c r="H160" s="13" t="n">
        <v>-0.889</v>
      </c>
      <c r="I160" s="14" t="s">
        <v>96</v>
      </c>
      <c r="J160" s="15" t="s">
        <v>397</v>
      </c>
      <c r="K160" s="9" t="n">
        <v>4</v>
      </c>
      <c r="L160" s="17"/>
      <c r="M160" s="16" t="s">
        <v>105</v>
      </c>
      <c r="N160" s="14"/>
      <c r="O160" s="17" t="s">
        <v>97</v>
      </c>
      <c r="P160" s="10" t="s">
        <v>417</v>
      </c>
      <c r="Q160" s="17"/>
      <c r="R160" s="18" t="s">
        <v>105</v>
      </c>
      <c r="S160" s="19"/>
      <c r="T160" s="15" t="str">
        <f aca="false">IF(R160="維持",J160,IF(R160="排除","無關新聞事件",IFERROR(INDEX(事件規則!$B$2:$B$53,MATCH(S160,事件規則!$A$2:$A$53,0)),"")))</f>
        <v>重大訴訟</v>
      </c>
      <c r="U160" s="20" t="n">
        <f aca="false">IF(R160="維持",K160,IF(R160="排除",0,IFERROR(INDEX(事件規則!$C$2:$C$53,MATCH(S160,事件規則!$A$2:$A$53,0)),"")))</f>
        <v>4</v>
      </c>
      <c r="V160" s="21"/>
      <c r="W160" s="22"/>
      <c r="X160" s="10" t="str">
        <f aca="false">IF(AND(R160="修改",S160=""),"請選新事件代碼",IF(AND(R160&lt;&gt;"修改",S160&lt;&gt;""),"只有「修改」才需填代碼",""))</f>
        <v/>
      </c>
      <c r="Y160" s="21"/>
      <c r="Z160" s="22"/>
      <c r="AA160" s="12" t="s">
        <v>762</v>
      </c>
      <c r="AB160" s="12"/>
    </row>
    <row r="161" customFormat="false" ht="15" hidden="false" customHeight="false" outlineLevel="0" collapsed="false">
      <c r="A161" s="17" t="n">
        <v>160</v>
      </c>
      <c r="B161" s="9" t="s">
        <v>749</v>
      </c>
      <c r="C161" s="9" t="s">
        <v>392</v>
      </c>
      <c r="D161" s="10" t="s">
        <v>393</v>
      </c>
      <c r="E161" s="11" t="s">
        <v>763</v>
      </c>
      <c r="F161" s="15"/>
      <c r="G161" s="12" t="s">
        <v>503</v>
      </c>
      <c r="H161" s="13" t="n">
        <v>-0.713</v>
      </c>
      <c r="I161" s="14" t="s">
        <v>96</v>
      </c>
      <c r="J161" s="15" t="s">
        <v>397</v>
      </c>
      <c r="K161" s="9" t="n">
        <v>4</v>
      </c>
      <c r="L161" s="17"/>
      <c r="M161" s="16" t="s">
        <v>105</v>
      </c>
      <c r="N161" s="14"/>
      <c r="O161" s="17" t="s">
        <v>97</v>
      </c>
      <c r="P161" s="10" t="s">
        <v>728</v>
      </c>
      <c r="Q161" s="17"/>
      <c r="R161" s="18" t="s">
        <v>105</v>
      </c>
      <c r="S161" s="19"/>
      <c r="T161" s="15" t="str">
        <f aca="false">IF(R161="維持",J161,IF(R161="排除","無關新聞事件",IFERROR(INDEX(事件規則!$B$2:$B$53,MATCH(S161,事件規則!$A$2:$A$53,0)),"")))</f>
        <v>重大訴訟</v>
      </c>
      <c r="U161" s="20" t="n">
        <f aca="false">IF(R161="維持",K161,IF(R161="排除",0,IFERROR(INDEX(事件規則!$C$2:$C$53,MATCH(S161,事件規則!$A$2:$A$53,0)),"")))</f>
        <v>4</v>
      </c>
      <c r="V161" s="21"/>
      <c r="W161" s="22"/>
      <c r="X161" s="10" t="str">
        <f aca="false">IF(AND(R161="修改",S161=""),"請選新事件代碼",IF(AND(R161&lt;&gt;"修改",S161&lt;&gt;""),"只有「修改」才需填代碼",""))</f>
        <v/>
      </c>
      <c r="Y161" s="21"/>
      <c r="Z161" s="22"/>
      <c r="AA161" s="12" t="s">
        <v>764</v>
      </c>
      <c r="AB161" s="12"/>
    </row>
    <row r="162" customFormat="false" ht="29.85" hidden="false" customHeight="false" outlineLevel="0" collapsed="false">
      <c r="A162" s="17" t="n">
        <v>161</v>
      </c>
      <c r="B162" s="9" t="s">
        <v>266</v>
      </c>
      <c r="C162" s="9" t="s">
        <v>412</v>
      </c>
      <c r="D162" s="10" t="s">
        <v>413</v>
      </c>
      <c r="E162" s="11" t="s">
        <v>765</v>
      </c>
      <c r="F162" s="10" t="s">
        <v>766</v>
      </c>
      <c r="G162" s="12" t="s">
        <v>409</v>
      </c>
      <c r="H162" s="13" t="n">
        <v>-0.824</v>
      </c>
      <c r="I162" s="14" t="s">
        <v>96</v>
      </c>
      <c r="J162" s="15" t="s">
        <v>397</v>
      </c>
      <c r="K162" s="9" t="n">
        <v>4</v>
      </c>
      <c r="L162" s="17"/>
      <c r="M162" s="16" t="s">
        <v>105</v>
      </c>
      <c r="N162" s="14"/>
      <c r="O162" s="17" t="s">
        <v>97</v>
      </c>
      <c r="P162" s="10" t="s">
        <v>417</v>
      </c>
      <c r="Q162" s="17"/>
      <c r="R162" s="18" t="s">
        <v>105</v>
      </c>
      <c r="S162" s="19"/>
      <c r="T162" s="15" t="str">
        <f aca="false">IF(R162="維持",J162,IF(R162="排除","無關新聞事件",IFERROR(INDEX(事件規則!$B$2:$B$53,MATCH(S162,事件規則!$A$2:$A$53,0)),"")))</f>
        <v>重大訴訟</v>
      </c>
      <c r="U162" s="20" t="n">
        <f aca="false">IF(R162="維持",K162,IF(R162="排除",0,IFERROR(INDEX(事件規則!$C$2:$C$53,MATCH(S162,事件規則!$A$2:$A$53,0)),"")))</f>
        <v>4</v>
      </c>
      <c r="V162" s="21"/>
      <c r="W162" s="22"/>
      <c r="X162" s="10" t="str">
        <f aca="false">IF(AND(R162="修改",S162=""),"請選新事件代碼",IF(AND(R162&lt;&gt;"修改",S162&lt;&gt;""),"只有「修改」才需填代碼",""))</f>
        <v/>
      </c>
      <c r="Y162" s="21"/>
      <c r="Z162" s="22"/>
      <c r="AA162" s="12" t="s">
        <v>767</v>
      </c>
      <c r="AB162" s="12"/>
    </row>
    <row r="163" customFormat="false" ht="44" hidden="false" customHeight="false" outlineLevel="0" collapsed="false">
      <c r="A163" s="17" t="n">
        <v>162</v>
      </c>
      <c r="B163" s="9" t="s">
        <v>266</v>
      </c>
      <c r="C163" s="9" t="s">
        <v>462</v>
      </c>
      <c r="D163" s="10" t="s">
        <v>463</v>
      </c>
      <c r="E163" s="11" t="s">
        <v>768</v>
      </c>
      <c r="F163" s="10" t="s">
        <v>769</v>
      </c>
      <c r="G163" s="12" t="s">
        <v>416</v>
      </c>
      <c r="H163" s="13" t="n">
        <v>-0.661</v>
      </c>
      <c r="I163" s="14" t="s">
        <v>96</v>
      </c>
      <c r="J163" s="15" t="s">
        <v>397</v>
      </c>
      <c r="K163" s="9" t="n">
        <v>4</v>
      </c>
      <c r="L163" s="17"/>
      <c r="M163" s="16" t="s">
        <v>105</v>
      </c>
      <c r="N163" s="14"/>
      <c r="O163" s="17" t="s">
        <v>97</v>
      </c>
      <c r="P163" s="10" t="s">
        <v>711</v>
      </c>
      <c r="Q163" s="17"/>
      <c r="R163" s="18" t="s">
        <v>105</v>
      </c>
      <c r="S163" s="19"/>
      <c r="T163" s="15" t="str">
        <f aca="false">IF(R163="維持",J163,IF(R163="排除","無關新聞事件",IFERROR(INDEX(事件規則!$B$2:$B$53,MATCH(S163,事件規則!$A$2:$A$53,0)),"")))</f>
        <v>重大訴訟</v>
      </c>
      <c r="U163" s="20" t="n">
        <f aca="false">IF(R163="維持",K163,IF(R163="排除",0,IFERROR(INDEX(事件規則!$C$2:$C$53,MATCH(S163,事件規則!$A$2:$A$53,0)),"")))</f>
        <v>4</v>
      </c>
      <c r="V163" s="21"/>
      <c r="W163" s="22"/>
      <c r="X163" s="10" t="str">
        <f aca="false">IF(AND(R163="修改",S163=""),"請選新事件代碼",IF(AND(R163&lt;&gt;"修改",S163&lt;&gt;""),"只有「修改」才需填代碼",""))</f>
        <v/>
      </c>
      <c r="Y163" s="21"/>
      <c r="Z163" s="22"/>
      <c r="AA163" s="12" t="s">
        <v>770</v>
      </c>
      <c r="AB163" s="12"/>
    </row>
    <row r="164" customFormat="false" ht="44" hidden="false" customHeight="false" outlineLevel="0" collapsed="false">
      <c r="A164" s="17" t="n">
        <v>163</v>
      </c>
      <c r="B164" s="9" t="s">
        <v>266</v>
      </c>
      <c r="C164" s="9" t="s">
        <v>392</v>
      </c>
      <c r="D164" s="10" t="s">
        <v>393</v>
      </c>
      <c r="E164" s="11" t="s">
        <v>771</v>
      </c>
      <c r="F164" s="10" t="s">
        <v>772</v>
      </c>
      <c r="G164" s="12" t="s">
        <v>416</v>
      </c>
      <c r="H164" s="13" t="n">
        <v>-0.11</v>
      </c>
      <c r="I164" s="14" t="s">
        <v>96</v>
      </c>
      <c r="J164" s="15" t="s">
        <v>397</v>
      </c>
      <c r="K164" s="9" t="n">
        <v>4</v>
      </c>
      <c r="L164" s="17"/>
      <c r="M164" s="16" t="s">
        <v>105</v>
      </c>
      <c r="N164" s="14"/>
      <c r="O164" s="17" t="s">
        <v>97</v>
      </c>
      <c r="P164" s="10" t="s">
        <v>728</v>
      </c>
      <c r="Q164" s="17"/>
      <c r="R164" s="18" t="s">
        <v>105</v>
      </c>
      <c r="S164" s="19"/>
      <c r="T164" s="15" t="str">
        <f aca="false">IF(R164="維持",J164,IF(R164="排除","無關新聞事件",IFERROR(INDEX(事件規則!$B$2:$B$53,MATCH(S164,事件規則!$A$2:$A$53,0)),"")))</f>
        <v>重大訴訟</v>
      </c>
      <c r="U164" s="20" t="n">
        <f aca="false">IF(R164="維持",K164,IF(R164="排除",0,IFERROR(INDEX(事件規則!$C$2:$C$53,MATCH(S164,事件規則!$A$2:$A$53,0)),"")))</f>
        <v>4</v>
      </c>
      <c r="V164" s="21"/>
      <c r="W164" s="22"/>
      <c r="X164" s="10" t="str">
        <f aca="false">IF(AND(R164="修改",S164=""),"請選新事件代碼",IF(AND(R164&lt;&gt;"修改",S164&lt;&gt;""),"只有「修改」才需填代碼",""))</f>
        <v/>
      </c>
      <c r="Y164" s="21"/>
      <c r="Z164" s="22"/>
      <c r="AA164" s="12" t="s">
        <v>773</v>
      </c>
      <c r="AB164" s="12"/>
    </row>
    <row r="165" customFormat="false" ht="44" hidden="false" customHeight="false" outlineLevel="0" collapsed="false">
      <c r="A165" s="17" t="n">
        <v>164</v>
      </c>
      <c r="B165" s="9" t="s">
        <v>266</v>
      </c>
      <c r="C165" s="9" t="s">
        <v>419</v>
      </c>
      <c r="D165" s="10" t="s">
        <v>420</v>
      </c>
      <c r="E165" s="11" t="s">
        <v>774</v>
      </c>
      <c r="F165" s="10" t="s">
        <v>775</v>
      </c>
      <c r="G165" s="12" t="s">
        <v>416</v>
      </c>
      <c r="H165" s="13" t="n">
        <v>-0.065</v>
      </c>
      <c r="I165" s="14" t="s">
        <v>96</v>
      </c>
      <c r="J165" s="15" t="s">
        <v>397</v>
      </c>
      <c r="K165" s="9" t="n">
        <v>4</v>
      </c>
      <c r="L165" s="17"/>
      <c r="M165" s="16" t="s">
        <v>105</v>
      </c>
      <c r="N165" s="14"/>
      <c r="O165" s="17" t="s">
        <v>97</v>
      </c>
      <c r="P165" s="10" t="s">
        <v>423</v>
      </c>
      <c r="Q165" s="17"/>
      <c r="R165" s="18" t="s">
        <v>105</v>
      </c>
      <c r="S165" s="19"/>
      <c r="T165" s="15" t="str">
        <f aca="false">IF(R165="維持",J165,IF(R165="排除","無關新聞事件",IFERROR(INDEX(事件規則!$B$2:$B$53,MATCH(S165,事件規則!$A$2:$A$53,0)),"")))</f>
        <v>重大訴訟</v>
      </c>
      <c r="U165" s="20" t="n">
        <f aca="false">IF(R165="維持",K165,IF(R165="排除",0,IFERROR(INDEX(事件規則!$C$2:$C$53,MATCH(S165,事件規則!$A$2:$A$53,0)),"")))</f>
        <v>4</v>
      </c>
      <c r="V165" s="21"/>
      <c r="W165" s="22"/>
      <c r="X165" s="10" t="str">
        <f aca="false">IF(AND(R165="修改",S165=""),"請選新事件代碼",IF(AND(R165&lt;&gt;"修改",S165&lt;&gt;""),"只有「修改」才需填代碼",""))</f>
        <v/>
      </c>
      <c r="Y165" s="21"/>
      <c r="Z165" s="22"/>
      <c r="AA165" s="12" t="s">
        <v>776</v>
      </c>
      <c r="AB165" s="12"/>
    </row>
    <row r="166" customFormat="false" ht="58.2" hidden="false" customHeight="false" outlineLevel="0" collapsed="false">
      <c r="A166" s="17" t="n">
        <v>165</v>
      </c>
      <c r="B166" s="9" t="s">
        <v>266</v>
      </c>
      <c r="C166" s="9" t="s">
        <v>419</v>
      </c>
      <c r="D166" s="10" t="s">
        <v>420</v>
      </c>
      <c r="E166" s="11" t="s">
        <v>519</v>
      </c>
      <c r="F166" s="15" t="s">
        <v>520</v>
      </c>
      <c r="G166" s="12" t="s">
        <v>416</v>
      </c>
      <c r="H166" s="13" t="n">
        <v>-0.907</v>
      </c>
      <c r="I166" s="14" t="s">
        <v>96</v>
      </c>
      <c r="J166" s="15" t="s">
        <v>397</v>
      </c>
      <c r="K166" s="9" t="n">
        <v>4</v>
      </c>
      <c r="L166" s="17"/>
      <c r="M166" s="16" t="s">
        <v>105</v>
      </c>
      <c r="N166" s="14"/>
      <c r="O166" s="17" t="s">
        <v>97</v>
      </c>
      <c r="P166" s="10" t="s">
        <v>423</v>
      </c>
      <c r="Q166" s="17"/>
      <c r="R166" s="18" t="s">
        <v>105</v>
      </c>
      <c r="S166" s="19"/>
      <c r="T166" s="15" t="str">
        <f aca="false">IF(R166="維持",J166,IF(R166="排除","無關新聞事件",IFERROR(INDEX(事件規則!$B$2:$B$53,MATCH(S166,事件規則!$A$2:$A$53,0)),"")))</f>
        <v>重大訴訟</v>
      </c>
      <c r="U166" s="20" t="n">
        <f aca="false">IF(R166="維持",K166,IF(R166="排除",0,IFERROR(INDEX(事件規則!$C$2:$C$53,MATCH(S166,事件規則!$A$2:$A$53,0)),"")))</f>
        <v>4</v>
      </c>
      <c r="V166" s="21"/>
      <c r="W166" s="22"/>
      <c r="X166" s="10" t="str">
        <f aca="false">IF(AND(R166="修改",S166=""),"請選新事件代碼",IF(AND(R166&lt;&gt;"修改",S166&lt;&gt;""),"只有「修改」才需填代碼",""))</f>
        <v/>
      </c>
      <c r="Y166" s="21"/>
      <c r="Z166" s="22"/>
      <c r="AA166" s="12" t="s">
        <v>777</v>
      </c>
      <c r="AB166" s="12"/>
    </row>
    <row r="167" customFormat="false" ht="29.85" hidden="false" customHeight="false" outlineLevel="0" collapsed="false">
      <c r="A167" s="17" t="n">
        <v>166</v>
      </c>
      <c r="B167" s="9" t="s">
        <v>266</v>
      </c>
      <c r="C167" s="9" t="s">
        <v>392</v>
      </c>
      <c r="D167" s="10" t="s">
        <v>393</v>
      </c>
      <c r="E167" s="11" t="s">
        <v>778</v>
      </c>
      <c r="F167" s="10" t="s">
        <v>779</v>
      </c>
      <c r="G167" s="12" t="s">
        <v>416</v>
      </c>
      <c r="H167" s="13" t="n">
        <v>-0.515</v>
      </c>
      <c r="I167" s="14" t="s">
        <v>96</v>
      </c>
      <c r="J167" s="15" t="s">
        <v>397</v>
      </c>
      <c r="K167" s="9" t="n">
        <v>4</v>
      </c>
      <c r="L167" s="17"/>
      <c r="M167" s="16" t="s">
        <v>105</v>
      </c>
      <c r="N167" s="14"/>
      <c r="O167" s="17" t="s">
        <v>97</v>
      </c>
      <c r="P167" s="10" t="s">
        <v>728</v>
      </c>
      <c r="Q167" s="17"/>
      <c r="R167" s="18" t="s">
        <v>105</v>
      </c>
      <c r="S167" s="19"/>
      <c r="T167" s="15" t="str">
        <f aca="false">IF(R167="維持",J167,IF(R167="排除","無關新聞事件",IFERROR(INDEX(事件規則!$B$2:$B$53,MATCH(S167,事件規則!$A$2:$A$53,0)),"")))</f>
        <v>重大訴訟</v>
      </c>
      <c r="U167" s="20" t="n">
        <f aca="false">IF(R167="維持",K167,IF(R167="排除",0,IFERROR(INDEX(事件規則!$C$2:$C$53,MATCH(S167,事件規則!$A$2:$A$53,0)),"")))</f>
        <v>4</v>
      </c>
      <c r="V167" s="21"/>
      <c r="W167" s="22"/>
      <c r="X167" s="10" t="str">
        <f aca="false">IF(AND(R167="修改",S167=""),"請選新事件代碼",IF(AND(R167&lt;&gt;"修改",S167&lt;&gt;""),"只有「修改」才需填代碼",""))</f>
        <v/>
      </c>
      <c r="Y167" s="21"/>
      <c r="Z167" s="22"/>
      <c r="AA167" s="12" t="s">
        <v>780</v>
      </c>
      <c r="AB167" s="12"/>
    </row>
    <row r="168" customFormat="false" ht="44" hidden="false" customHeight="false" outlineLevel="0" collapsed="false">
      <c r="A168" s="17" t="n">
        <v>167</v>
      </c>
      <c r="B168" s="9" t="s">
        <v>266</v>
      </c>
      <c r="C168" s="9" t="s">
        <v>462</v>
      </c>
      <c r="D168" s="10" t="s">
        <v>463</v>
      </c>
      <c r="E168" s="11" t="s">
        <v>781</v>
      </c>
      <c r="F168" s="15" t="s">
        <v>782</v>
      </c>
      <c r="G168" s="12" t="s">
        <v>416</v>
      </c>
      <c r="H168" s="13" t="n">
        <v>-0.869</v>
      </c>
      <c r="I168" s="14" t="s">
        <v>96</v>
      </c>
      <c r="J168" s="15" t="s">
        <v>397</v>
      </c>
      <c r="K168" s="9" t="n">
        <v>4</v>
      </c>
      <c r="L168" s="17"/>
      <c r="M168" s="16" t="s">
        <v>105</v>
      </c>
      <c r="N168" s="14"/>
      <c r="O168" s="17" t="s">
        <v>97</v>
      </c>
      <c r="P168" s="10" t="s">
        <v>711</v>
      </c>
      <c r="Q168" s="17"/>
      <c r="R168" s="18" t="s">
        <v>105</v>
      </c>
      <c r="S168" s="19"/>
      <c r="T168" s="15" t="str">
        <f aca="false">IF(R168="維持",J168,IF(R168="排除","無關新聞事件",IFERROR(INDEX(事件規則!$B$2:$B$53,MATCH(S168,事件規則!$A$2:$A$53,0)),"")))</f>
        <v>重大訴訟</v>
      </c>
      <c r="U168" s="20" t="n">
        <f aca="false">IF(R168="維持",K168,IF(R168="排除",0,IFERROR(INDEX(事件規則!$C$2:$C$53,MATCH(S168,事件規則!$A$2:$A$53,0)),"")))</f>
        <v>4</v>
      </c>
      <c r="V168" s="21"/>
      <c r="W168" s="22"/>
      <c r="X168" s="10" t="str">
        <f aca="false">IF(AND(R168="修改",S168=""),"請選新事件代碼",IF(AND(R168&lt;&gt;"修改",S168&lt;&gt;""),"只有「修改」才需填代碼",""))</f>
        <v/>
      </c>
      <c r="Y168" s="21"/>
      <c r="Z168" s="22"/>
      <c r="AA168" s="12" t="s">
        <v>783</v>
      </c>
      <c r="AB168" s="12"/>
    </row>
    <row r="169" customFormat="false" ht="44" hidden="false" customHeight="false" outlineLevel="0" collapsed="false">
      <c r="A169" s="17" t="n">
        <v>168</v>
      </c>
      <c r="B169" s="9" t="s">
        <v>266</v>
      </c>
      <c r="C169" s="9" t="s">
        <v>412</v>
      </c>
      <c r="D169" s="10" t="s">
        <v>413</v>
      </c>
      <c r="E169" s="11" t="s">
        <v>659</v>
      </c>
      <c r="F169" s="15" t="s">
        <v>784</v>
      </c>
      <c r="G169" s="12" t="s">
        <v>416</v>
      </c>
      <c r="H169" s="13" t="n">
        <v>-0.881</v>
      </c>
      <c r="I169" s="14" t="s">
        <v>96</v>
      </c>
      <c r="J169" s="15" t="s">
        <v>397</v>
      </c>
      <c r="K169" s="9" t="n">
        <v>4</v>
      </c>
      <c r="L169" s="17"/>
      <c r="M169" s="16" t="s">
        <v>105</v>
      </c>
      <c r="N169" s="14"/>
      <c r="O169" s="17" t="s">
        <v>97</v>
      </c>
      <c r="P169" s="10" t="s">
        <v>417</v>
      </c>
      <c r="Q169" s="17"/>
      <c r="R169" s="18" t="s">
        <v>105</v>
      </c>
      <c r="S169" s="19"/>
      <c r="T169" s="15" t="str">
        <f aca="false">IF(R169="維持",J169,IF(R169="排除","無關新聞事件",IFERROR(INDEX(事件規則!$B$2:$B$53,MATCH(S169,事件規則!$A$2:$A$53,0)),"")))</f>
        <v>重大訴訟</v>
      </c>
      <c r="U169" s="20" t="n">
        <f aca="false">IF(R169="維持",K169,IF(R169="排除",0,IFERROR(INDEX(事件規則!$C$2:$C$53,MATCH(S169,事件規則!$A$2:$A$53,0)),"")))</f>
        <v>4</v>
      </c>
      <c r="V169" s="21"/>
      <c r="W169" s="22"/>
      <c r="X169" s="10" t="str">
        <f aca="false">IF(AND(R169="修改",S169=""),"請選新事件代碼",IF(AND(R169&lt;&gt;"修改",S169&lt;&gt;""),"只有「修改」才需填代碼",""))</f>
        <v/>
      </c>
      <c r="Y169" s="21"/>
      <c r="Z169" s="22"/>
      <c r="AA169" s="12" t="s">
        <v>785</v>
      </c>
      <c r="AB169" s="12"/>
    </row>
    <row r="170" customFormat="false" ht="29.85" hidden="false" customHeight="false" outlineLevel="0" collapsed="false">
      <c r="A170" s="17" t="n">
        <v>169</v>
      </c>
      <c r="B170" s="9" t="s">
        <v>266</v>
      </c>
      <c r="C170" s="9" t="s">
        <v>143</v>
      </c>
      <c r="D170" s="10" t="s">
        <v>144</v>
      </c>
      <c r="E170" s="11" t="s">
        <v>786</v>
      </c>
      <c r="F170" s="15" t="s">
        <v>787</v>
      </c>
      <c r="G170" s="12" t="s">
        <v>788</v>
      </c>
      <c r="H170" s="13" t="n">
        <v>0.017</v>
      </c>
      <c r="I170" s="14" t="s">
        <v>96</v>
      </c>
      <c r="J170" s="15" t="s">
        <v>397</v>
      </c>
      <c r="K170" s="9" t="n">
        <v>4</v>
      </c>
      <c r="L170" s="17"/>
      <c r="M170" s="16" t="s">
        <v>53</v>
      </c>
      <c r="N170" s="14"/>
      <c r="O170" s="17" t="s">
        <v>54</v>
      </c>
      <c r="P170" s="10" t="s">
        <v>789</v>
      </c>
      <c r="Q170" s="17"/>
      <c r="R170" s="18" t="s">
        <v>53</v>
      </c>
      <c r="S170" s="19"/>
      <c r="T170" s="15" t="str">
        <f aca="false">IF(R170="維持",J170,IF(R170="排除","無關新聞事件",IFERROR(INDEX(事件規則!$B$2:$B$53,MATCH(S170,事件規則!$A$2:$A$53,0)),"")))</f>
        <v>無關新聞事件</v>
      </c>
      <c r="U170" s="20" t="n">
        <f aca="false">IF(R170="維持",K170,IF(R170="排除",0,IFERROR(INDEX(事件規則!$C$2:$C$53,MATCH(S170,事件規則!$A$2:$A$53,0)),"")))</f>
        <v>0</v>
      </c>
      <c r="V170" s="21"/>
      <c r="W170" s="22"/>
      <c r="X170" s="10" t="str">
        <f aca="false">IF(AND(R170="修改",S170=""),"請選新事件代碼",IF(AND(R170&lt;&gt;"修改",S170&lt;&gt;""),"只有「修改」才需填代碼",""))</f>
        <v/>
      </c>
      <c r="Y170" s="21"/>
      <c r="Z170" s="22"/>
      <c r="AA170" s="12" t="s">
        <v>790</v>
      </c>
      <c r="AB170" s="12"/>
    </row>
    <row r="171" customFormat="false" ht="29.85" hidden="false" customHeight="false" outlineLevel="0" collapsed="false">
      <c r="A171" s="17" t="n">
        <v>170</v>
      </c>
      <c r="B171" s="9" t="s">
        <v>223</v>
      </c>
      <c r="C171" s="17"/>
      <c r="D171" s="10" t="s">
        <v>791</v>
      </c>
      <c r="E171" s="11" t="s">
        <v>792</v>
      </c>
      <c r="F171" s="15" t="s">
        <v>793</v>
      </c>
      <c r="G171" s="12" t="s">
        <v>319</v>
      </c>
      <c r="H171" s="13" t="n">
        <v>-0.945</v>
      </c>
      <c r="I171" s="14" t="s">
        <v>96</v>
      </c>
      <c r="J171" s="15" t="s">
        <v>397</v>
      </c>
      <c r="K171" s="9" t="n">
        <v>4</v>
      </c>
      <c r="L171" s="17" t="s">
        <v>320</v>
      </c>
      <c r="M171" s="16" t="s">
        <v>105</v>
      </c>
      <c r="N171" s="14"/>
      <c r="O171" s="17" t="s">
        <v>292</v>
      </c>
      <c r="P171" s="15" t="s">
        <v>794</v>
      </c>
      <c r="Q171" s="17" t="s">
        <v>169</v>
      </c>
      <c r="R171" s="18" t="s">
        <v>105</v>
      </c>
      <c r="S171" s="19"/>
      <c r="T171" s="15" t="str">
        <f aca="false">IF(R171="維持",J171,IF(R171="排除","無關新聞事件",IFERROR(INDEX(事件規則!$B$2:$B$53,MATCH(S171,事件規則!$A$2:$A$53,0)),"")))</f>
        <v>重大訴訟</v>
      </c>
      <c r="U171" s="20" t="n">
        <f aca="false">IF(R171="維持",K171,IF(R171="排除",0,IFERROR(INDEX(事件規則!$C$2:$C$53,MATCH(S171,事件規則!$A$2:$A$53,0)),"")))</f>
        <v>4</v>
      </c>
      <c r="V171" s="21" t="s">
        <v>795</v>
      </c>
      <c r="W171" s="22" t="s">
        <v>796</v>
      </c>
      <c r="X171" s="10" t="str">
        <f aca="false">IF(AND(R171="修改",S171=""),"請選新事件代碼",IF(AND(R171&lt;&gt;"修改",S171&lt;&gt;""),"只有「修改」才需填代碼",""))</f>
        <v/>
      </c>
      <c r="Y171" s="21"/>
      <c r="Z171" s="22"/>
      <c r="AA171" s="12" t="s">
        <v>797</v>
      </c>
      <c r="AB171" s="12"/>
    </row>
    <row r="172" customFormat="false" ht="72.35" hidden="false" customHeight="false" outlineLevel="0" collapsed="false">
      <c r="A172" s="17" t="n">
        <v>171</v>
      </c>
      <c r="B172" s="9" t="s">
        <v>223</v>
      </c>
      <c r="C172" s="9" t="s">
        <v>412</v>
      </c>
      <c r="D172" s="10" t="s">
        <v>413</v>
      </c>
      <c r="E172" s="11" t="s">
        <v>798</v>
      </c>
      <c r="F172" s="10" t="s">
        <v>799</v>
      </c>
      <c r="G172" s="12" t="s">
        <v>800</v>
      </c>
      <c r="H172" s="13" t="n">
        <v>-0.058</v>
      </c>
      <c r="I172" s="14" t="s">
        <v>96</v>
      </c>
      <c r="J172" s="15" t="s">
        <v>397</v>
      </c>
      <c r="K172" s="9" t="n">
        <v>4</v>
      </c>
      <c r="L172" s="17"/>
      <c r="M172" s="16" t="s">
        <v>105</v>
      </c>
      <c r="N172" s="14"/>
      <c r="O172" s="17" t="s">
        <v>97</v>
      </c>
      <c r="P172" s="10" t="s">
        <v>417</v>
      </c>
      <c r="Q172" s="17"/>
      <c r="R172" s="18" t="s">
        <v>105</v>
      </c>
      <c r="S172" s="19"/>
      <c r="T172" s="15" t="str">
        <f aca="false">IF(R172="維持",J172,IF(R172="排除","無關新聞事件",IFERROR(INDEX(事件規則!$B$2:$B$53,MATCH(S172,事件規則!$A$2:$A$53,0)),"")))</f>
        <v>重大訴訟</v>
      </c>
      <c r="U172" s="20" t="n">
        <f aca="false">IF(R172="維持",K172,IF(R172="排除",0,IFERROR(INDEX(事件規則!$C$2:$C$53,MATCH(S172,事件規則!$A$2:$A$53,0)),"")))</f>
        <v>4</v>
      </c>
      <c r="V172" s="21"/>
      <c r="W172" s="22"/>
      <c r="X172" s="10" t="str">
        <f aca="false">IF(AND(R172="修改",S172=""),"請選新事件代碼",IF(AND(R172&lt;&gt;"修改",S172&lt;&gt;""),"只有「修改」才需填代碼",""))</f>
        <v/>
      </c>
      <c r="Y172" s="21"/>
      <c r="Z172" s="22"/>
      <c r="AA172" s="12" t="s">
        <v>801</v>
      </c>
      <c r="AB172" s="12"/>
    </row>
    <row r="173" customFormat="false" ht="44" hidden="false" customHeight="false" outlineLevel="0" collapsed="false">
      <c r="A173" s="17" t="n">
        <v>172</v>
      </c>
      <c r="B173" s="9" t="s">
        <v>223</v>
      </c>
      <c r="C173" s="9" t="s">
        <v>419</v>
      </c>
      <c r="D173" s="10" t="s">
        <v>420</v>
      </c>
      <c r="E173" s="11" t="s">
        <v>802</v>
      </c>
      <c r="F173" s="10" t="s">
        <v>803</v>
      </c>
      <c r="G173" s="12" t="s">
        <v>416</v>
      </c>
      <c r="H173" s="13" t="n">
        <v>0.088</v>
      </c>
      <c r="I173" s="14" t="s">
        <v>96</v>
      </c>
      <c r="J173" s="15" t="s">
        <v>397</v>
      </c>
      <c r="K173" s="9" t="n">
        <v>4</v>
      </c>
      <c r="L173" s="17"/>
      <c r="M173" s="16" t="s">
        <v>105</v>
      </c>
      <c r="N173" s="14"/>
      <c r="O173" s="17" t="s">
        <v>97</v>
      </c>
      <c r="P173" s="10" t="s">
        <v>423</v>
      </c>
      <c r="Q173" s="17"/>
      <c r="R173" s="18" t="s">
        <v>105</v>
      </c>
      <c r="S173" s="19"/>
      <c r="T173" s="15" t="str">
        <f aca="false">IF(R173="維持",J173,IF(R173="排除","無關新聞事件",IFERROR(INDEX(事件規則!$B$2:$B$53,MATCH(S173,事件規則!$A$2:$A$53,0)),"")))</f>
        <v>重大訴訟</v>
      </c>
      <c r="U173" s="20" t="n">
        <f aca="false">IF(R173="維持",K173,IF(R173="排除",0,IFERROR(INDEX(事件規則!$C$2:$C$53,MATCH(S173,事件規則!$A$2:$A$53,0)),"")))</f>
        <v>4</v>
      </c>
      <c r="V173" s="21"/>
      <c r="W173" s="22"/>
      <c r="X173" s="10" t="str">
        <f aca="false">IF(AND(R173="修改",S173=""),"請選新事件代碼",IF(AND(R173&lt;&gt;"修改",S173&lt;&gt;""),"只有「修改」才需填代碼",""))</f>
        <v/>
      </c>
      <c r="Y173" s="21"/>
      <c r="Z173" s="22"/>
      <c r="AA173" s="12" t="s">
        <v>804</v>
      </c>
      <c r="AB173" s="12"/>
    </row>
    <row r="174" customFormat="false" ht="29.85" hidden="false" customHeight="false" outlineLevel="0" collapsed="false">
      <c r="A174" s="17" t="n">
        <v>173</v>
      </c>
      <c r="B174" s="9" t="s">
        <v>223</v>
      </c>
      <c r="C174" s="9" t="s">
        <v>566</v>
      </c>
      <c r="D174" s="10" t="s">
        <v>562</v>
      </c>
      <c r="E174" s="11" t="s">
        <v>805</v>
      </c>
      <c r="F174" s="15" t="s">
        <v>806</v>
      </c>
      <c r="G174" s="12" t="s">
        <v>94</v>
      </c>
      <c r="H174" s="13" t="n">
        <v>-0.93</v>
      </c>
      <c r="I174" s="14" t="s">
        <v>96</v>
      </c>
      <c r="J174" s="15" t="s">
        <v>397</v>
      </c>
      <c r="K174" s="9" t="n">
        <v>4</v>
      </c>
      <c r="L174" s="17"/>
      <c r="M174" s="16" t="s">
        <v>53</v>
      </c>
      <c r="N174" s="14"/>
      <c r="O174" s="17" t="s">
        <v>97</v>
      </c>
      <c r="P174" s="10" t="s">
        <v>807</v>
      </c>
      <c r="Q174" s="17"/>
      <c r="R174" s="18" t="s">
        <v>53</v>
      </c>
      <c r="S174" s="19"/>
      <c r="T174" s="15" t="str">
        <f aca="false">IF(R174="維持",J174,IF(R174="排除","無關新聞事件",IFERROR(INDEX(事件規則!$B$2:$B$53,MATCH(S174,事件規則!$A$2:$A$53,0)),"")))</f>
        <v>無關新聞事件</v>
      </c>
      <c r="U174" s="20" t="n">
        <f aca="false">IF(R174="維持",K174,IF(R174="排除",0,IFERROR(INDEX(事件規則!$C$2:$C$53,MATCH(S174,事件規則!$A$2:$A$53,0)),"")))</f>
        <v>0</v>
      </c>
      <c r="V174" s="21"/>
      <c r="W174" s="22"/>
      <c r="X174" s="10" t="str">
        <f aca="false">IF(AND(R174="修改",S174=""),"請選新事件代碼",IF(AND(R174&lt;&gt;"修改",S174&lt;&gt;""),"只有「修改」才需填代碼",""))</f>
        <v/>
      </c>
      <c r="Y174" s="21"/>
      <c r="Z174" s="22"/>
      <c r="AA174" s="12" t="s">
        <v>808</v>
      </c>
      <c r="AB174" s="12"/>
    </row>
    <row r="175" customFormat="false" ht="29.85" hidden="false" customHeight="false" outlineLevel="0" collapsed="false">
      <c r="A175" s="17" t="n">
        <v>174</v>
      </c>
      <c r="B175" s="9" t="s">
        <v>223</v>
      </c>
      <c r="C175" s="9" t="s">
        <v>809</v>
      </c>
      <c r="D175" s="10" t="s">
        <v>810</v>
      </c>
      <c r="E175" s="11" t="s">
        <v>811</v>
      </c>
      <c r="F175" s="10" t="s">
        <v>812</v>
      </c>
      <c r="G175" s="12" t="s">
        <v>813</v>
      </c>
      <c r="H175" s="13" t="n">
        <v>-0.945</v>
      </c>
      <c r="I175" s="14" t="s">
        <v>96</v>
      </c>
      <c r="J175" s="15" t="s">
        <v>397</v>
      </c>
      <c r="K175" s="9" t="n">
        <v>4</v>
      </c>
      <c r="L175" s="17"/>
      <c r="M175" s="16" t="s">
        <v>95</v>
      </c>
      <c r="N175" s="14" t="s">
        <v>814</v>
      </c>
      <c r="O175" s="17" t="s">
        <v>97</v>
      </c>
      <c r="P175" s="10" t="s">
        <v>815</v>
      </c>
      <c r="Q175" s="17"/>
      <c r="R175" s="18" t="s">
        <v>95</v>
      </c>
      <c r="S175" s="19" t="s">
        <v>814</v>
      </c>
      <c r="T175" s="15" t="str">
        <f aca="false">IF(R175="維持",J175,IF(R175="排除","無關新聞事件",IFERROR(INDEX(事件規則!$B$2:$B$53,MATCH(S175,事件規則!$A$2:$A$53,0)),"")))</f>
        <v>隱私事件</v>
      </c>
      <c r="U175" s="20" t="n">
        <f aca="false">IF(R175="維持",K175,IF(R175="排除",0,IFERROR(INDEX(事件規則!$C$2:$C$53,MATCH(S175,事件規則!$A$2:$A$53,0)),"")))</f>
        <v>2</v>
      </c>
      <c r="V175" s="21"/>
      <c r="W175" s="22"/>
      <c r="X175" s="10" t="str">
        <f aca="false">IF(AND(R175="修改",S175=""),"請選新事件代碼",IF(AND(R175&lt;&gt;"修改",S175&lt;&gt;""),"只有「修改」才需填代碼",""))</f>
        <v/>
      </c>
      <c r="Y175" s="21"/>
      <c r="Z175" s="22"/>
      <c r="AA175" s="12" t="s">
        <v>816</v>
      </c>
      <c r="AB175" s="12"/>
    </row>
    <row r="176" customFormat="false" ht="29.85" hidden="false" customHeight="false" outlineLevel="0" collapsed="false">
      <c r="A176" s="17" t="n">
        <v>175</v>
      </c>
      <c r="B176" s="9" t="s">
        <v>223</v>
      </c>
      <c r="C176" s="9" t="s">
        <v>412</v>
      </c>
      <c r="D176" s="10" t="s">
        <v>413</v>
      </c>
      <c r="E176" s="11" t="s">
        <v>732</v>
      </c>
      <c r="F176" s="10" t="s">
        <v>817</v>
      </c>
      <c r="G176" s="12" t="s">
        <v>416</v>
      </c>
      <c r="H176" s="13" t="n">
        <v>-0.142</v>
      </c>
      <c r="I176" s="14" t="s">
        <v>96</v>
      </c>
      <c r="J176" s="15" t="s">
        <v>397</v>
      </c>
      <c r="K176" s="9" t="n">
        <v>4</v>
      </c>
      <c r="L176" s="17"/>
      <c r="M176" s="16" t="s">
        <v>105</v>
      </c>
      <c r="N176" s="14"/>
      <c r="O176" s="17" t="s">
        <v>97</v>
      </c>
      <c r="P176" s="10" t="s">
        <v>417</v>
      </c>
      <c r="Q176" s="17"/>
      <c r="R176" s="18" t="s">
        <v>105</v>
      </c>
      <c r="S176" s="19"/>
      <c r="T176" s="15" t="str">
        <f aca="false">IF(R176="維持",J176,IF(R176="排除","無關新聞事件",IFERROR(INDEX(事件規則!$B$2:$B$53,MATCH(S176,事件規則!$A$2:$A$53,0)),"")))</f>
        <v>重大訴訟</v>
      </c>
      <c r="U176" s="20" t="n">
        <f aca="false">IF(R176="維持",K176,IF(R176="排除",0,IFERROR(INDEX(事件規則!$C$2:$C$53,MATCH(S176,事件規則!$A$2:$A$53,0)),"")))</f>
        <v>4</v>
      </c>
      <c r="V176" s="21"/>
      <c r="W176" s="22"/>
      <c r="X176" s="10" t="str">
        <f aca="false">IF(AND(R176="修改",S176=""),"請選新事件代碼",IF(AND(R176&lt;&gt;"修改",S176&lt;&gt;""),"只有「修改」才需填代碼",""))</f>
        <v/>
      </c>
      <c r="Y176" s="21"/>
      <c r="Z176" s="22"/>
      <c r="AA176" s="12" t="s">
        <v>818</v>
      </c>
      <c r="AB176" s="12"/>
    </row>
    <row r="177" customFormat="false" ht="72.35" hidden="false" customHeight="false" outlineLevel="0" collapsed="false">
      <c r="A177" s="17" t="n">
        <v>176</v>
      </c>
      <c r="B177" s="9" t="s">
        <v>223</v>
      </c>
      <c r="C177" s="9" t="s">
        <v>419</v>
      </c>
      <c r="D177" s="10" t="s">
        <v>420</v>
      </c>
      <c r="E177" s="11" t="s">
        <v>819</v>
      </c>
      <c r="F177" s="10" t="s">
        <v>820</v>
      </c>
      <c r="G177" s="12" t="s">
        <v>416</v>
      </c>
      <c r="H177" s="13" t="n">
        <v>-0.905</v>
      </c>
      <c r="I177" s="14" t="s">
        <v>96</v>
      </c>
      <c r="J177" s="15" t="s">
        <v>397</v>
      </c>
      <c r="K177" s="9" t="n">
        <v>4</v>
      </c>
      <c r="L177" s="17"/>
      <c r="M177" s="16" t="s">
        <v>105</v>
      </c>
      <c r="N177" s="14"/>
      <c r="O177" s="17" t="s">
        <v>97</v>
      </c>
      <c r="P177" s="10" t="s">
        <v>423</v>
      </c>
      <c r="Q177" s="17"/>
      <c r="R177" s="18" t="s">
        <v>105</v>
      </c>
      <c r="S177" s="19"/>
      <c r="T177" s="15" t="str">
        <f aca="false">IF(R177="維持",J177,IF(R177="排除","無關新聞事件",IFERROR(INDEX(事件規則!$B$2:$B$53,MATCH(S177,事件規則!$A$2:$A$53,0)),"")))</f>
        <v>重大訴訟</v>
      </c>
      <c r="U177" s="20" t="n">
        <f aca="false">IF(R177="維持",K177,IF(R177="排除",0,IFERROR(INDEX(事件規則!$C$2:$C$53,MATCH(S177,事件規則!$A$2:$A$53,0)),"")))</f>
        <v>4</v>
      </c>
      <c r="V177" s="21"/>
      <c r="W177" s="22"/>
      <c r="X177" s="10" t="str">
        <f aca="false">IF(AND(R177="修改",S177=""),"請選新事件代碼",IF(AND(R177&lt;&gt;"修改",S177&lt;&gt;""),"只有「修改」才需填代碼",""))</f>
        <v/>
      </c>
      <c r="Y177" s="21"/>
      <c r="Z177" s="22"/>
      <c r="AA177" s="12" t="s">
        <v>821</v>
      </c>
      <c r="AB177" s="12"/>
    </row>
    <row r="178" customFormat="false" ht="44" hidden="false" customHeight="false" outlineLevel="0" collapsed="false">
      <c r="A178" s="17" t="n">
        <v>177</v>
      </c>
      <c r="B178" s="9" t="s">
        <v>223</v>
      </c>
      <c r="C178" s="9" t="s">
        <v>462</v>
      </c>
      <c r="D178" s="10" t="s">
        <v>463</v>
      </c>
      <c r="E178" s="11" t="s">
        <v>822</v>
      </c>
      <c r="F178" s="10" t="s">
        <v>823</v>
      </c>
      <c r="G178" s="12" t="s">
        <v>441</v>
      </c>
      <c r="H178" s="13" t="n">
        <v>-0.705</v>
      </c>
      <c r="I178" s="14" t="s">
        <v>96</v>
      </c>
      <c r="J178" s="15" t="s">
        <v>397</v>
      </c>
      <c r="K178" s="9" t="n">
        <v>4</v>
      </c>
      <c r="L178" s="17"/>
      <c r="M178" s="16" t="s">
        <v>105</v>
      </c>
      <c r="N178" s="14"/>
      <c r="O178" s="17" t="s">
        <v>97</v>
      </c>
      <c r="P178" s="10" t="s">
        <v>711</v>
      </c>
      <c r="Q178" s="17"/>
      <c r="R178" s="18" t="s">
        <v>105</v>
      </c>
      <c r="S178" s="19"/>
      <c r="T178" s="15" t="str">
        <f aca="false">IF(R178="維持",J178,IF(R178="排除","無關新聞事件",IFERROR(INDEX(事件規則!$B$2:$B$53,MATCH(S178,事件規則!$A$2:$A$53,0)),"")))</f>
        <v>重大訴訟</v>
      </c>
      <c r="U178" s="20" t="n">
        <f aca="false">IF(R178="維持",K178,IF(R178="排除",0,IFERROR(INDEX(事件規則!$C$2:$C$53,MATCH(S178,事件規則!$A$2:$A$53,0)),"")))</f>
        <v>4</v>
      </c>
      <c r="V178" s="21"/>
      <c r="W178" s="22"/>
      <c r="X178" s="10" t="str">
        <f aca="false">IF(AND(R178="修改",S178=""),"請選新事件代碼",IF(AND(R178&lt;&gt;"修改",S178&lt;&gt;""),"只有「修改」才需填代碼",""))</f>
        <v/>
      </c>
      <c r="Y178" s="21"/>
      <c r="Z178" s="22"/>
      <c r="AA178" s="12" t="s">
        <v>824</v>
      </c>
      <c r="AB178" s="12"/>
    </row>
    <row r="179" customFormat="false" ht="44" hidden="false" customHeight="false" outlineLevel="0" collapsed="false">
      <c r="A179" s="17" t="n">
        <v>178</v>
      </c>
      <c r="B179" s="9" t="s">
        <v>223</v>
      </c>
      <c r="C179" s="9" t="s">
        <v>412</v>
      </c>
      <c r="D179" s="10" t="s">
        <v>413</v>
      </c>
      <c r="E179" s="11" t="s">
        <v>498</v>
      </c>
      <c r="F179" s="10" t="s">
        <v>499</v>
      </c>
      <c r="G179" s="12" t="s">
        <v>547</v>
      </c>
      <c r="H179" s="13" t="n">
        <v>-0.724</v>
      </c>
      <c r="I179" s="14" t="s">
        <v>96</v>
      </c>
      <c r="J179" s="15" t="s">
        <v>397</v>
      </c>
      <c r="K179" s="9" t="n">
        <v>4</v>
      </c>
      <c r="L179" s="17"/>
      <c r="M179" s="16" t="s">
        <v>105</v>
      </c>
      <c r="N179" s="14"/>
      <c r="O179" s="17" t="s">
        <v>97</v>
      </c>
      <c r="P179" s="10" t="s">
        <v>417</v>
      </c>
      <c r="Q179" s="17"/>
      <c r="R179" s="18" t="s">
        <v>105</v>
      </c>
      <c r="S179" s="19"/>
      <c r="T179" s="15" t="str">
        <f aca="false">IF(R179="維持",J179,IF(R179="排除","無關新聞事件",IFERROR(INDEX(事件規則!$B$2:$B$53,MATCH(S179,事件規則!$A$2:$A$53,0)),"")))</f>
        <v>重大訴訟</v>
      </c>
      <c r="U179" s="20" t="n">
        <f aca="false">IF(R179="維持",K179,IF(R179="排除",0,IFERROR(INDEX(事件規則!$C$2:$C$53,MATCH(S179,事件規則!$A$2:$A$53,0)),"")))</f>
        <v>4</v>
      </c>
      <c r="V179" s="21"/>
      <c r="W179" s="22"/>
      <c r="X179" s="10" t="str">
        <f aca="false">IF(AND(R179="修改",S179=""),"請選新事件代碼",IF(AND(R179&lt;&gt;"修改",S179&lt;&gt;""),"只有「修改」才需填代碼",""))</f>
        <v/>
      </c>
      <c r="Y179" s="21"/>
      <c r="Z179" s="22"/>
      <c r="AA179" s="12" t="s">
        <v>825</v>
      </c>
      <c r="AB179" s="12"/>
    </row>
    <row r="180" customFormat="false" ht="15" hidden="false" customHeight="false" outlineLevel="0" collapsed="false">
      <c r="A180" s="17" t="n">
        <v>179</v>
      </c>
      <c r="B180" s="9" t="s">
        <v>381</v>
      </c>
      <c r="C180" s="9" t="s">
        <v>150</v>
      </c>
      <c r="D180" s="10" t="s">
        <v>151</v>
      </c>
      <c r="E180" s="11" t="s">
        <v>826</v>
      </c>
      <c r="F180" s="15"/>
      <c r="G180" s="12" t="s">
        <v>827</v>
      </c>
      <c r="H180" s="13" t="n">
        <v>-0.935</v>
      </c>
      <c r="I180" s="14" t="s">
        <v>96</v>
      </c>
      <c r="J180" s="15" t="s">
        <v>397</v>
      </c>
      <c r="K180" s="9" t="n">
        <v>4</v>
      </c>
      <c r="L180" s="17"/>
      <c r="M180" s="16" t="s">
        <v>53</v>
      </c>
      <c r="N180" s="14"/>
      <c r="O180" s="17" t="s">
        <v>97</v>
      </c>
      <c r="P180" s="15" t="s">
        <v>828</v>
      </c>
      <c r="Q180" s="17"/>
      <c r="R180" s="18" t="s">
        <v>53</v>
      </c>
      <c r="S180" s="19"/>
      <c r="T180" s="15" t="str">
        <f aca="false">IF(R180="維持",J180,IF(R180="排除","無關新聞事件",IFERROR(INDEX(事件規則!$B$2:$B$53,MATCH(S180,事件規則!$A$2:$A$53,0)),"")))</f>
        <v>無關新聞事件</v>
      </c>
      <c r="U180" s="20" t="n">
        <f aca="false">IF(R180="維持",K180,IF(R180="排除",0,IFERROR(INDEX(事件規則!$C$2:$C$53,MATCH(S180,事件規則!$A$2:$A$53,0)),"")))</f>
        <v>0</v>
      </c>
      <c r="V180" s="21"/>
      <c r="W180" s="22"/>
      <c r="X180" s="10" t="str">
        <f aca="false">IF(AND(R180="修改",S180=""),"請選新事件代碼",IF(AND(R180&lt;&gt;"修改",S180&lt;&gt;""),"只有「修改」才需填代碼",""))</f>
        <v/>
      </c>
      <c r="Y180" s="21"/>
      <c r="Z180" s="22"/>
      <c r="AA180" s="12" t="s">
        <v>829</v>
      </c>
      <c r="AB180" s="12"/>
    </row>
    <row r="181" customFormat="false" ht="29.85" hidden="false" customHeight="false" outlineLevel="0" collapsed="false">
      <c r="A181" s="17" t="n">
        <v>180</v>
      </c>
      <c r="B181" s="9" t="s">
        <v>381</v>
      </c>
      <c r="C181" s="9" t="s">
        <v>830</v>
      </c>
      <c r="D181" s="10" t="s">
        <v>831</v>
      </c>
      <c r="E181" s="11" t="s">
        <v>832</v>
      </c>
      <c r="F181" s="15"/>
      <c r="G181" s="12" t="s">
        <v>833</v>
      </c>
      <c r="H181" s="13" t="n">
        <v>-0.494</v>
      </c>
      <c r="I181" s="14" t="s">
        <v>96</v>
      </c>
      <c r="J181" s="15" t="s">
        <v>397</v>
      </c>
      <c r="K181" s="9" t="n">
        <v>4</v>
      </c>
      <c r="L181" s="17"/>
      <c r="M181" s="16" t="s">
        <v>95</v>
      </c>
      <c r="N181" s="14" t="s">
        <v>814</v>
      </c>
      <c r="O181" s="17" t="s">
        <v>97</v>
      </c>
      <c r="P181" s="10" t="s">
        <v>834</v>
      </c>
      <c r="Q181" s="17"/>
      <c r="R181" s="18" t="s">
        <v>95</v>
      </c>
      <c r="S181" s="19" t="s">
        <v>814</v>
      </c>
      <c r="T181" s="15" t="str">
        <f aca="false">IF(R181="維持",J181,IF(R181="排除","無關新聞事件",IFERROR(INDEX(事件規則!$B$2:$B$53,MATCH(S181,事件規則!$A$2:$A$53,0)),"")))</f>
        <v>隱私事件</v>
      </c>
      <c r="U181" s="20" t="n">
        <f aca="false">IF(R181="維持",K181,IF(R181="排除",0,IFERROR(INDEX(事件規則!$C$2:$C$53,MATCH(S181,事件規則!$A$2:$A$53,0)),"")))</f>
        <v>2</v>
      </c>
      <c r="V181" s="21"/>
      <c r="W181" s="22"/>
      <c r="X181" s="10" t="str">
        <f aca="false">IF(AND(R181="修改",S181=""),"請選新事件代碼",IF(AND(R181&lt;&gt;"修改",S181&lt;&gt;""),"只有「修改」才需填代碼",""))</f>
        <v/>
      </c>
      <c r="Y181" s="21"/>
      <c r="Z181" s="22"/>
      <c r="AA181" s="12" t="s">
        <v>835</v>
      </c>
      <c r="AB181" s="12"/>
    </row>
    <row r="182" customFormat="false" ht="23.85" hidden="false" customHeight="false" outlineLevel="0" collapsed="false">
      <c r="A182" s="17" t="n">
        <v>181</v>
      </c>
      <c r="B182" s="9" t="s">
        <v>836</v>
      </c>
      <c r="C182" s="9" t="s">
        <v>462</v>
      </c>
      <c r="D182" s="10" t="s">
        <v>463</v>
      </c>
      <c r="E182" s="11" t="s">
        <v>837</v>
      </c>
      <c r="F182" s="15"/>
      <c r="G182" s="12" t="s">
        <v>409</v>
      </c>
      <c r="H182" s="13" t="n">
        <v>-0.134</v>
      </c>
      <c r="I182" s="14" t="s">
        <v>96</v>
      </c>
      <c r="J182" s="15" t="s">
        <v>397</v>
      </c>
      <c r="K182" s="9" t="n">
        <v>4</v>
      </c>
      <c r="L182" s="17"/>
      <c r="M182" s="16" t="s">
        <v>105</v>
      </c>
      <c r="N182" s="14"/>
      <c r="O182" s="17" t="s">
        <v>97</v>
      </c>
      <c r="P182" s="10" t="s">
        <v>711</v>
      </c>
      <c r="Q182" s="17"/>
      <c r="R182" s="18" t="s">
        <v>105</v>
      </c>
      <c r="S182" s="19"/>
      <c r="T182" s="15" t="str">
        <f aca="false">IF(R182="維持",J182,IF(R182="排除","無關新聞事件",IFERROR(INDEX(事件規則!$B$2:$B$53,MATCH(S182,事件規則!$A$2:$A$53,0)),"")))</f>
        <v>重大訴訟</v>
      </c>
      <c r="U182" s="20" t="n">
        <f aca="false">IF(R182="維持",K182,IF(R182="排除",0,IFERROR(INDEX(事件規則!$C$2:$C$53,MATCH(S182,事件規則!$A$2:$A$53,0)),"")))</f>
        <v>4</v>
      </c>
      <c r="V182" s="21"/>
      <c r="W182" s="22"/>
      <c r="X182" s="10" t="str">
        <f aca="false">IF(AND(R182="修改",S182=""),"請選新事件代碼",IF(AND(R182&lt;&gt;"修改",S182&lt;&gt;""),"只有「修改」才需填代碼",""))</f>
        <v/>
      </c>
      <c r="Y182" s="21"/>
      <c r="Z182" s="22"/>
      <c r="AA182" s="12" t="s">
        <v>838</v>
      </c>
      <c r="AB182" s="12"/>
    </row>
    <row r="183" customFormat="false" ht="23.85" hidden="false" customHeight="false" outlineLevel="0" collapsed="false">
      <c r="A183" s="17" t="n">
        <v>182</v>
      </c>
      <c r="B183" s="9" t="s">
        <v>279</v>
      </c>
      <c r="C183" s="9" t="s">
        <v>462</v>
      </c>
      <c r="D183" s="10" t="s">
        <v>463</v>
      </c>
      <c r="E183" s="11" t="s">
        <v>839</v>
      </c>
      <c r="F183" s="15"/>
      <c r="G183" s="12" t="s">
        <v>416</v>
      </c>
      <c r="H183" s="13" t="n">
        <v>0.001</v>
      </c>
      <c r="I183" s="14" t="s">
        <v>96</v>
      </c>
      <c r="J183" s="15" t="s">
        <v>397</v>
      </c>
      <c r="K183" s="9" t="n">
        <v>4</v>
      </c>
      <c r="L183" s="17"/>
      <c r="M183" s="16" t="s">
        <v>105</v>
      </c>
      <c r="N183" s="14"/>
      <c r="O183" s="17" t="s">
        <v>97</v>
      </c>
      <c r="P183" s="10" t="s">
        <v>711</v>
      </c>
      <c r="Q183" s="17"/>
      <c r="R183" s="18" t="s">
        <v>105</v>
      </c>
      <c r="S183" s="19"/>
      <c r="T183" s="15" t="str">
        <f aca="false">IF(R183="維持",J183,IF(R183="排除","無關新聞事件",IFERROR(INDEX(事件規則!$B$2:$B$53,MATCH(S183,事件規則!$A$2:$A$53,0)),"")))</f>
        <v>重大訴訟</v>
      </c>
      <c r="U183" s="20" t="n">
        <f aca="false">IF(R183="維持",K183,IF(R183="排除",0,IFERROR(INDEX(事件規則!$C$2:$C$53,MATCH(S183,事件規則!$A$2:$A$53,0)),"")))</f>
        <v>4</v>
      </c>
      <c r="V183" s="21"/>
      <c r="W183" s="22"/>
      <c r="X183" s="10" t="str">
        <f aca="false">IF(AND(R183="修改",S183=""),"請選新事件代碼",IF(AND(R183&lt;&gt;"修改",S183&lt;&gt;""),"只有「修改」才需填代碼",""))</f>
        <v/>
      </c>
      <c r="Y183" s="21"/>
      <c r="Z183" s="22"/>
      <c r="AA183" s="12" t="s">
        <v>840</v>
      </c>
      <c r="AB183" s="12"/>
    </row>
    <row r="184" customFormat="false" ht="23.85" hidden="false" customHeight="false" outlineLevel="0" collapsed="false">
      <c r="A184" s="17" t="n">
        <v>183</v>
      </c>
      <c r="B184" s="9" t="s">
        <v>279</v>
      </c>
      <c r="C184" s="9" t="s">
        <v>462</v>
      </c>
      <c r="D184" s="10" t="s">
        <v>463</v>
      </c>
      <c r="E184" s="11" t="s">
        <v>841</v>
      </c>
      <c r="F184" s="15"/>
      <c r="G184" s="12" t="s">
        <v>416</v>
      </c>
      <c r="H184" s="13" t="n">
        <v>-0.339</v>
      </c>
      <c r="I184" s="14" t="s">
        <v>96</v>
      </c>
      <c r="J184" s="15" t="s">
        <v>397</v>
      </c>
      <c r="K184" s="9" t="n">
        <v>4</v>
      </c>
      <c r="L184" s="17"/>
      <c r="M184" s="16" t="s">
        <v>105</v>
      </c>
      <c r="N184" s="14"/>
      <c r="O184" s="17" t="s">
        <v>97</v>
      </c>
      <c r="P184" s="10" t="s">
        <v>711</v>
      </c>
      <c r="Q184" s="17"/>
      <c r="R184" s="18" t="s">
        <v>105</v>
      </c>
      <c r="S184" s="19"/>
      <c r="T184" s="15" t="str">
        <f aca="false">IF(R184="維持",J184,IF(R184="排除","無關新聞事件",IFERROR(INDEX(事件規則!$B$2:$B$53,MATCH(S184,事件規則!$A$2:$A$53,0)),"")))</f>
        <v>重大訴訟</v>
      </c>
      <c r="U184" s="20" t="n">
        <f aca="false">IF(R184="維持",K184,IF(R184="排除",0,IFERROR(INDEX(事件規則!$C$2:$C$53,MATCH(S184,事件規則!$A$2:$A$53,0)),"")))</f>
        <v>4</v>
      </c>
      <c r="V184" s="21"/>
      <c r="W184" s="22"/>
      <c r="X184" s="10" t="str">
        <f aca="false">IF(AND(R184="修改",S184=""),"請選新事件代碼",IF(AND(R184&lt;&gt;"修改",S184&lt;&gt;""),"只有「修改」才需填代碼",""))</f>
        <v/>
      </c>
      <c r="Y184" s="21"/>
      <c r="Z184" s="22"/>
      <c r="AA184" s="12" t="s">
        <v>842</v>
      </c>
      <c r="AB184" s="12"/>
    </row>
    <row r="185" customFormat="false" ht="23.85" hidden="false" customHeight="false" outlineLevel="0" collapsed="false">
      <c r="A185" s="17" t="n">
        <v>184</v>
      </c>
      <c r="B185" s="9" t="s">
        <v>279</v>
      </c>
      <c r="C185" s="9" t="s">
        <v>462</v>
      </c>
      <c r="D185" s="10" t="s">
        <v>463</v>
      </c>
      <c r="E185" s="11" t="s">
        <v>843</v>
      </c>
      <c r="F185" s="15"/>
      <c r="G185" s="12" t="s">
        <v>409</v>
      </c>
      <c r="H185" s="13" t="n">
        <v>-0.394</v>
      </c>
      <c r="I185" s="14" t="s">
        <v>96</v>
      </c>
      <c r="J185" s="15" t="s">
        <v>397</v>
      </c>
      <c r="K185" s="9" t="n">
        <v>4</v>
      </c>
      <c r="L185" s="17"/>
      <c r="M185" s="16" t="s">
        <v>105</v>
      </c>
      <c r="N185" s="14"/>
      <c r="O185" s="17" t="s">
        <v>97</v>
      </c>
      <c r="P185" s="10" t="s">
        <v>711</v>
      </c>
      <c r="Q185" s="17"/>
      <c r="R185" s="18" t="s">
        <v>105</v>
      </c>
      <c r="S185" s="19"/>
      <c r="T185" s="15" t="str">
        <f aca="false">IF(R185="維持",J185,IF(R185="排除","無關新聞事件",IFERROR(INDEX(事件規則!$B$2:$B$53,MATCH(S185,事件規則!$A$2:$A$53,0)),"")))</f>
        <v>重大訴訟</v>
      </c>
      <c r="U185" s="20" t="n">
        <f aca="false">IF(R185="維持",K185,IF(R185="排除",0,IFERROR(INDEX(事件規則!$C$2:$C$53,MATCH(S185,事件規則!$A$2:$A$53,0)),"")))</f>
        <v>4</v>
      </c>
      <c r="V185" s="21"/>
      <c r="W185" s="22"/>
      <c r="X185" s="10" t="str">
        <f aca="false">IF(AND(R185="修改",S185=""),"請選新事件代碼",IF(AND(R185&lt;&gt;"修改",S185&lt;&gt;""),"只有「修改」才需填代碼",""))</f>
        <v/>
      </c>
      <c r="Y185" s="21"/>
      <c r="Z185" s="22"/>
      <c r="AA185" s="12" t="s">
        <v>844</v>
      </c>
      <c r="AB185" s="12"/>
    </row>
    <row r="186" customFormat="false" ht="15" hidden="false" customHeight="false" outlineLevel="0" collapsed="false">
      <c r="A186" s="17" t="n">
        <v>185</v>
      </c>
      <c r="B186" s="9" t="s">
        <v>279</v>
      </c>
      <c r="C186" s="9" t="s">
        <v>845</v>
      </c>
      <c r="D186" s="10" t="s">
        <v>846</v>
      </c>
      <c r="E186" s="11" t="s">
        <v>847</v>
      </c>
      <c r="F186" s="15"/>
      <c r="G186" s="12" t="s">
        <v>651</v>
      </c>
      <c r="H186" s="13" t="n">
        <v>-0.92</v>
      </c>
      <c r="I186" s="14" t="s">
        <v>96</v>
      </c>
      <c r="J186" s="15" t="s">
        <v>397</v>
      </c>
      <c r="K186" s="9" t="n">
        <v>4</v>
      </c>
      <c r="L186" s="17"/>
      <c r="M186" s="16" t="s">
        <v>105</v>
      </c>
      <c r="N186" s="14"/>
      <c r="O186" s="17" t="s">
        <v>54</v>
      </c>
      <c r="P186" s="15" t="s">
        <v>848</v>
      </c>
      <c r="Q186" s="17"/>
      <c r="R186" s="18" t="s">
        <v>105</v>
      </c>
      <c r="S186" s="19"/>
      <c r="T186" s="15" t="str">
        <f aca="false">IF(R186="維持",J186,IF(R186="排除","無關新聞事件",IFERROR(INDEX(事件規則!$B$2:$B$53,MATCH(S186,事件規則!$A$2:$A$53,0)),"")))</f>
        <v>重大訴訟</v>
      </c>
      <c r="U186" s="20" t="n">
        <f aca="false">IF(R186="維持",K186,IF(R186="排除",0,IFERROR(INDEX(事件規則!$C$2:$C$53,MATCH(S186,事件規則!$A$2:$A$53,0)),"")))</f>
        <v>4</v>
      </c>
      <c r="V186" s="21"/>
      <c r="W186" s="22"/>
      <c r="X186" s="10" t="str">
        <f aca="false">IF(AND(R186="修改",S186=""),"請選新事件代碼",IF(AND(R186&lt;&gt;"修改",S186&lt;&gt;""),"只有「修改」才需填代碼",""))</f>
        <v/>
      </c>
      <c r="Y186" s="21"/>
      <c r="Z186" s="22"/>
      <c r="AA186" s="12" t="s">
        <v>849</v>
      </c>
      <c r="AB186" s="12"/>
    </row>
    <row r="187" customFormat="false" ht="23.85" hidden="false" customHeight="false" outlineLevel="0" collapsed="false">
      <c r="A187" s="17" t="n">
        <v>186</v>
      </c>
      <c r="B187" s="9" t="s">
        <v>850</v>
      </c>
      <c r="C187" s="9" t="s">
        <v>462</v>
      </c>
      <c r="D187" s="10" t="s">
        <v>463</v>
      </c>
      <c r="E187" s="11" t="s">
        <v>851</v>
      </c>
      <c r="F187" s="15"/>
      <c r="G187" s="12" t="s">
        <v>503</v>
      </c>
      <c r="H187" s="13" t="n">
        <v>-0.407</v>
      </c>
      <c r="I187" s="14" t="s">
        <v>96</v>
      </c>
      <c r="J187" s="15" t="s">
        <v>397</v>
      </c>
      <c r="K187" s="9" t="n">
        <v>4</v>
      </c>
      <c r="L187" s="17"/>
      <c r="M187" s="16" t="s">
        <v>105</v>
      </c>
      <c r="N187" s="14"/>
      <c r="O187" s="17" t="s">
        <v>97</v>
      </c>
      <c r="P187" s="10" t="s">
        <v>711</v>
      </c>
      <c r="Q187" s="17"/>
      <c r="R187" s="18" t="s">
        <v>105</v>
      </c>
      <c r="S187" s="19"/>
      <c r="T187" s="15" t="str">
        <f aca="false">IF(R187="維持",J187,IF(R187="排除","無關新聞事件",IFERROR(INDEX(事件規則!$B$2:$B$53,MATCH(S187,事件規則!$A$2:$A$53,0)),"")))</f>
        <v>重大訴訟</v>
      </c>
      <c r="U187" s="20" t="n">
        <f aca="false">IF(R187="維持",K187,IF(R187="排除",0,IFERROR(INDEX(事件規則!$C$2:$C$53,MATCH(S187,事件規則!$A$2:$A$53,0)),"")))</f>
        <v>4</v>
      </c>
      <c r="V187" s="21"/>
      <c r="W187" s="22"/>
      <c r="X187" s="10" t="str">
        <f aca="false">IF(AND(R187="修改",S187=""),"請選新事件代碼",IF(AND(R187&lt;&gt;"修改",S187&lt;&gt;""),"只有「修改」才需填代碼",""))</f>
        <v/>
      </c>
      <c r="Y187" s="21"/>
      <c r="Z187" s="22"/>
      <c r="AA187" s="12" t="s">
        <v>852</v>
      </c>
      <c r="AB187" s="12"/>
    </row>
    <row r="188" customFormat="false" ht="15" hidden="false" customHeight="false" outlineLevel="0" collapsed="false">
      <c r="A188" s="17" t="n">
        <v>187</v>
      </c>
      <c r="B188" s="9" t="s">
        <v>850</v>
      </c>
      <c r="C188" s="9" t="s">
        <v>412</v>
      </c>
      <c r="D188" s="10" t="s">
        <v>413</v>
      </c>
      <c r="E188" s="11" t="s">
        <v>853</v>
      </c>
      <c r="F188" s="15"/>
      <c r="G188" s="12" t="s">
        <v>409</v>
      </c>
      <c r="H188" s="13" t="n">
        <v>0.02</v>
      </c>
      <c r="I188" s="14" t="s">
        <v>96</v>
      </c>
      <c r="J188" s="15" t="s">
        <v>397</v>
      </c>
      <c r="K188" s="9" t="n">
        <v>4</v>
      </c>
      <c r="L188" s="17"/>
      <c r="M188" s="16" t="s">
        <v>105</v>
      </c>
      <c r="N188" s="14"/>
      <c r="O188" s="17" t="s">
        <v>97</v>
      </c>
      <c r="P188" s="10" t="s">
        <v>417</v>
      </c>
      <c r="Q188" s="17"/>
      <c r="R188" s="18" t="s">
        <v>105</v>
      </c>
      <c r="S188" s="19"/>
      <c r="T188" s="15" t="str">
        <f aca="false">IF(R188="維持",J188,IF(R188="排除","無關新聞事件",IFERROR(INDEX(事件規則!$B$2:$B$53,MATCH(S188,事件規則!$A$2:$A$53,0)),"")))</f>
        <v>重大訴訟</v>
      </c>
      <c r="U188" s="20" t="n">
        <f aca="false">IF(R188="維持",K188,IF(R188="排除",0,IFERROR(INDEX(事件規則!$C$2:$C$53,MATCH(S188,事件規則!$A$2:$A$53,0)),"")))</f>
        <v>4</v>
      </c>
      <c r="V188" s="21"/>
      <c r="W188" s="22"/>
      <c r="X188" s="10" t="str">
        <f aca="false">IF(AND(R188="修改",S188=""),"請選新事件代碼",IF(AND(R188&lt;&gt;"修改",S188&lt;&gt;""),"只有「修改」才需填代碼",""))</f>
        <v/>
      </c>
      <c r="Y188" s="21"/>
      <c r="Z188" s="22"/>
      <c r="AA188" s="12" t="s">
        <v>854</v>
      </c>
      <c r="AB188" s="12"/>
    </row>
    <row r="189" customFormat="false" ht="23.85" hidden="false" customHeight="false" outlineLevel="0" collapsed="false">
      <c r="A189" s="17" t="n">
        <v>188</v>
      </c>
      <c r="B189" s="9" t="s">
        <v>855</v>
      </c>
      <c r="C189" s="9" t="s">
        <v>462</v>
      </c>
      <c r="D189" s="10" t="s">
        <v>463</v>
      </c>
      <c r="E189" s="11" t="s">
        <v>856</v>
      </c>
      <c r="F189" s="15"/>
      <c r="G189" s="12" t="s">
        <v>409</v>
      </c>
      <c r="H189" s="13" t="n">
        <v>-0.427</v>
      </c>
      <c r="I189" s="14" t="s">
        <v>96</v>
      </c>
      <c r="J189" s="15" t="s">
        <v>397</v>
      </c>
      <c r="K189" s="9" t="n">
        <v>4</v>
      </c>
      <c r="L189" s="17"/>
      <c r="M189" s="16" t="s">
        <v>105</v>
      </c>
      <c r="N189" s="14"/>
      <c r="O189" s="17" t="s">
        <v>97</v>
      </c>
      <c r="P189" s="10" t="s">
        <v>711</v>
      </c>
      <c r="Q189" s="17"/>
      <c r="R189" s="18" t="s">
        <v>105</v>
      </c>
      <c r="S189" s="19"/>
      <c r="T189" s="15" t="str">
        <f aca="false">IF(R189="維持",J189,IF(R189="排除","無關新聞事件",IFERROR(INDEX(事件規則!$B$2:$B$53,MATCH(S189,事件規則!$A$2:$A$53,0)),"")))</f>
        <v>重大訴訟</v>
      </c>
      <c r="U189" s="20" t="n">
        <f aca="false">IF(R189="維持",K189,IF(R189="排除",0,IFERROR(INDEX(事件規則!$C$2:$C$53,MATCH(S189,事件規則!$A$2:$A$53,0)),"")))</f>
        <v>4</v>
      </c>
      <c r="V189" s="21"/>
      <c r="W189" s="22"/>
      <c r="X189" s="10" t="str">
        <f aca="false">IF(AND(R189="修改",S189=""),"請選新事件代碼",IF(AND(R189&lt;&gt;"修改",S189&lt;&gt;""),"只有「修改」才需填代碼",""))</f>
        <v/>
      </c>
      <c r="Y189" s="21"/>
      <c r="Z189" s="22"/>
      <c r="AA189" s="12" t="s">
        <v>857</v>
      </c>
      <c r="AB189" s="12"/>
    </row>
    <row r="190" customFormat="false" ht="23.85" hidden="false" customHeight="false" outlineLevel="0" collapsed="false">
      <c r="A190" s="17" t="n">
        <v>189</v>
      </c>
      <c r="B190" s="9" t="s">
        <v>286</v>
      </c>
      <c r="C190" s="9" t="s">
        <v>462</v>
      </c>
      <c r="D190" s="10" t="s">
        <v>463</v>
      </c>
      <c r="E190" s="11" t="s">
        <v>858</v>
      </c>
      <c r="F190" s="15"/>
      <c r="G190" s="12" t="s">
        <v>409</v>
      </c>
      <c r="H190" s="13" t="n">
        <v>-0.835</v>
      </c>
      <c r="I190" s="14" t="s">
        <v>96</v>
      </c>
      <c r="J190" s="15" t="s">
        <v>397</v>
      </c>
      <c r="K190" s="9" t="n">
        <v>4</v>
      </c>
      <c r="L190" s="17"/>
      <c r="M190" s="16" t="s">
        <v>105</v>
      </c>
      <c r="N190" s="14"/>
      <c r="O190" s="17" t="s">
        <v>97</v>
      </c>
      <c r="P190" s="10" t="s">
        <v>711</v>
      </c>
      <c r="Q190" s="17"/>
      <c r="R190" s="18" t="s">
        <v>105</v>
      </c>
      <c r="S190" s="19"/>
      <c r="T190" s="15" t="str">
        <f aca="false">IF(R190="維持",J190,IF(R190="排除","無關新聞事件",IFERROR(INDEX(事件規則!$B$2:$B$53,MATCH(S190,事件規則!$A$2:$A$53,0)),"")))</f>
        <v>重大訴訟</v>
      </c>
      <c r="U190" s="20" t="n">
        <f aca="false">IF(R190="維持",K190,IF(R190="排除",0,IFERROR(INDEX(事件規則!$C$2:$C$53,MATCH(S190,事件規則!$A$2:$A$53,0)),"")))</f>
        <v>4</v>
      </c>
      <c r="V190" s="21"/>
      <c r="W190" s="22"/>
      <c r="X190" s="10" t="str">
        <f aca="false">IF(AND(R190="修改",S190=""),"請選新事件代碼",IF(AND(R190&lt;&gt;"修改",S190&lt;&gt;""),"只有「修改」才需填代碼",""))</f>
        <v/>
      </c>
      <c r="Y190" s="21"/>
      <c r="Z190" s="22"/>
      <c r="AA190" s="12" t="s">
        <v>859</v>
      </c>
      <c r="AB190" s="12"/>
    </row>
    <row r="191" customFormat="false" ht="15" hidden="false" customHeight="false" outlineLevel="0" collapsed="false">
      <c r="A191" s="17" t="n">
        <v>190</v>
      </c>
      <c r="B191" s="9" t="s">
        <v>286</v>
      </c>
      <c r="C191" s="9" t="s">
        <v>412</v>
      </c>
      <c r="D191" s="10" t="s">
        <v>413</v>
      </c>
      <c r="E191" s="11" t="s">
        <v>860</v>
      </c>
      <c r="F191" s="15"/>
      <c r="G191" s="12" t="s">
        <v>409</v>
      </c>
      <c r="H191" s="13" t="n">
        <v>-0.121</v>
      </c>
      <c r="I191" s="14" t="s">
        <v>96</v>
      </c>
      <c r="J191" s="15" t="s">
        <v>397</v>
      </c>
      <c r="K191" s="9" t="n">
        <v>4</v>
      </c>
      <c r="L191" s="17"/>
      <c r="M191" s="16" t="s">
        <v>105</v>
      </c>
      <c r="N191" s="14"/>
      <c r="O191" s="17" t="s">
        <v>97</v>
      </c>
      <c r="P191" s="10" t="s">
        <v>417</v>
      </c>
      <c r="Q191" s="17"/>
      <c r="R191" s="18" t="s">
        <v>105</v>
      </c>
      <c r="S191" s="19"/>
      <c r="T191" s="15" t="str">
        <f aca="false">IF(R191="維持",J191,IF(R191="排除","無關新聞事件",IFERROR(INDEX(事件規則!$B$2:$B$53,MATCH(S191,事件規則!$A$2:$A$53,0)),"")))</f>
        <v>重大訴訟</v>
      </c>
      <c r="U191" s="20" t="n">
        <f aca="false">IF(R191="維持",K191,IF(R191="排除",0,IFERROR(INDEX(事件規則!$C$2:$C$53,MATCH(S191,事件規則!$A$2:$A$53,0)),"")))</f>
        <v>4</v>
      </c>
      <c r="V191" s="21"/>
      <c r="W191" s="22"/>
      <c r="X191" s="10" t="str">
        <f aca="false">IF(AND(R191="修改",S191=""),"請選新事件代碼",IF(AND(R191&lt;&gt;"修改",S191&lt;&gt;""),"只有「修改」才需填代碼",""))</f>
        <v/>
      </c>
      <c r="Y191" s="21"/>
      <c r="Z191" s="22"/>
      <c r="AA191" s="12" t="s">
        <v>861</v>
      </c>
      <c r="AB191" s="12"/>
    </row>
    <row r="192" customFormat="false" ht="35.05" hidden="false" customHeight="false" outlineLevel="0" collapsed="false">
      <c r="A192" s="17" t="n">
        <v>191</v>
      </c>
      <c r="B192" s="9" t="s">
        <v>862</v>
      </c>
      <c r="C192" s="9" t="s">
        <v>113</v>
      </c>
      <c r="D192" s="10" t="s">
        <v>114</v>
      </c>
      <c r="E192" s="11" t="s">
        <v>863</v>
      </c>
      <c r="F192" s="15"/>
      <c r="G192" s="12" t="s">
        <v>833</v>
      </c>
      <c r="H192" s="13" t="n">
        <v>-0.806</v>
      </c>
      <c r="I192" s="14" t="s">
        <v>96</v>
      </c>
      <c r="J192" s="15" t="s">
        <v>397</v>
      </c>
      <c r="K192" s="9" t="n">
        <v>4</v>
      </c>
      <c r="L192" s="17"/>
      <c r="M192" s="16" t="s">
        <v>53</v>
      </c>
      <c r="N192" s="14"/>
      <c r="O192" s="17" t="s">
        <v>97</v>
      </c>
      <c r="P192" s="15" t="s">
        <v>690</v>
      </c>
      <c r="Q192" s="17"/>
      <c r="R192" s="18" t="s">
        <v>53</v>
      </c>
      <c r="S192" s="19"/>
      <c r="T192" s="15" t="str">
        <f aca="false">IF(R192="維持",J192,IF(R192="排除","無關新聞事件",IFERROR(INDEX(事件規則!$B$2:$B$53,MATCH(S192,事件規則!$A$2:$A$53,0)),"")))</f>
        <v>無關新聞事件</v>
      </c>
      <c r="U192" s="20" t="n">
        <f aca="false">IF(R192="維持",K192,IF(R192="排除",0,IFERROR(INDEX(事件規則!$C$2:$C$53,MATCH(S192,事件規則!$A$2:$A$53,0)),"")))</f>
        <v>0</v>
      </c>
      <c r="V192" s="21"/>
      <c r="W192" s="22"/>
      <c r="X192" s="10" t="str">
        <f aca="false">IF(AND(R192="修改",S192=""),"請選新事件代碼",IF(AND(R192&lt;&gt;"修改",S192&lt;&gt;""),"只有「修改」才需填代碼",""))</f>
        <v/>
      </c>
      <c r="Y192" s="21"/>
      <c r="Z192" s="22"/>
      <c r="AA192" s="12" t="s">
        <v>864</v>
      </c>
      <c r="AB192" s="12"/>
    </row>
    <row r="193" customFormat="false" ht="15" hidden="false" customHeight="false" outlineLevel="0" collapsed="false">
      <c r="A193" s="17" t="n">
        <v>192</v>
      </c>
      <c r="B193" s="9" t="s">
        <v>865</v>
      </c>
      <c r="C193" s="9" t="s">
        <v>866</v>
      </c>
      <c r="D193" s="10" t="s">
        <v>867</v>
      </c>
      <c r="E193" s="11" t="s">
        <v>868</v>
      </c>
      <c r="F193" s="15"/>
      <c r="G193" s="12" t="s">
        <v>84</v>
      </c>
      <c r="H193" s="13" t="n">
        <v>-0.918</v>
      </c>
      <c r="I193" s="14" t="s">
        <v>96</v>
      </c>
      <c r="J193" s="15" t="s">
        <v>397</v>
      </c>
      <c r="K193" s="9" t="n">
        <v>4</v>
      </c>
      <c r="L193" s="17"/>
      <c r="M193" s="16" t="s">
        <v>105</v>
      </c>
      <c r="N193" s="14"/>
      <c r="O193" s="17" t="s">
        <v>97</v>
      </c>
      <c r="P193" s="10" t="s">
        <v>869</v>
      </c>
      <c r="Q193" s="17"/>
      <c r="R193" s="18" t="s">
        <v>105</v>
      </c>
      <c r="S193" s="19"/>
      <c r="T193" s="15" t="str">
        <f aca="false">IF(R193="維持",J193,IF(R193="排除","無關新聞事件",IFERROR(INDEX(事件規則!$B$2:$B$53,MATCH(S193,事件規則!$A$2:$A$53,0)),"")))</f>
        <v>重大訴訟</v>
      </c>
      <c r="U193" s="20" t="n">
        <f aca="false">IF(R193="維持",K193,IF(R193="排除",0,IFERROR(INDEX(事件規則!$C$2:$C$53,MATCH(S193,事件規則!$A$2:$A$53,0)),"")))</f>
        <v>4</v>
      </c>
      <c r="V193" s="21"/>
      <c r="W193" s="22"/>
      <c r="X193" s="10" t="str">
        <f aca="false">IF(AND(R193="修改",S193=""),"請選新事件代碼",IF(AND(R193&lt;&gt;"修改",S193&lt;&gt;""),"只有「修改」才需填代碼",""))</f>
        <v/>
      </c>
      <c r="Y193" s="21"/>
      <c r="Z193" s="22"/>
      <c r="AA193" s="12" t="s">
        <v>870</v>
      </c>
      <c r="AB193" s="12"/>
    </row>
    <row r="194" customFormat="false" ht="15" hidden="false" customHeight="false" outlineLevel="0" collapsed="false">
      <c r="A194" s="17" t="n">
        <v>193</v>
      </c>
      <c r="B194" s="9" t="s">
        <v>871</v>
      </c>
      <c r="C194" s="9" t="s">
        <v>412</v>
      </c>
      <c r="D194" s="10" t="s">
        <v>413</v>
      </c>
      <c r="E194" s="11" t="s">
        <v>872</v>
      </c>
      <c r="F194" s="15"/>
      <c r="G194" s="12" t="s">
        <v>409</v>
      </c>
      <c r="H194" s="13" t="n">
        <v>-0.068</v>
      </c>
      <c r="I194" s="14" t="s">
        <v>96</v>
      </c>
      <c r="J194" s="15" t="s">
        <v>397</v>
      </c>
      <c r="K194" s="9" t="n">
        <v>4</v>
      </c>
      <c r="L194" s="17"/>
      <c r="M194" s="16" t="s">
        <v>105</v>
      </c>
      <c r="N194" s="14"/>
      <c r="O194" s="17" t="s">
        <v>97</v>
      </c>
      <c r="P194" s="10" t="s">
        <v>417</v>
      </c>
      <c r="Q194" s="17"/>
      <c r="R194" s="18" t="s">
        <v>105</v>
      </c>
      <c r="S194" s="19"/>
      <c r="T194" s="15" t="str">
        <f aca="false">IF(R194="維持",J194,IF(R194="排除","無關新聞事件",IFERROR(INDEX(事件規則!$B$2:$B$53,MATCH(S194,事件規則!$A$2:$A$53,0)),"")))</f>
        <v>重大訴訟</v>
      </c>
      <c r="U194" s="20" t="n">
        <f aca="false">IF(R194="維持",K194,IF(R194="排除",0,IFERROR(INDEX(事件規則!$C$2:$C$53,MATCH(S194,事件規則!$A$2:$A$53,0)),"")))</f>
        <v>4</v>
      </c>
      <c r="V194" s="21"/>
      <c r="W194" s="22"/>
      <c r="X194" s="10" t="str">
        <f aca="false">IF(AND(R194="修改",S194=""),"請選新事件代碼",IF(AND(R194&lt;&gt;"修改",S194&lt;&gt;""),"只有「修改」才需填代碼",""))</f>
        <v/>
      </c>
      <c r="Y194" s="21"/>
      <c r="Z194" s="22"/>
      <c r="AA194" s="12" t="s">
        <v>873</v>
      </c>
      <c r="AB194" s="12"/>
    </row>
    <row r="195" customFormat="false" ht="15" hidden="false" customHeight="false" outlineLevel="0" collapsed="false">
      <c r="A195" s="17" t="n">
        <v>194</v>
      </c>
      <c r="B195" s="9" t="s">
        <v>385</v>
      </c>
      <c r="C195" s="9" t="s">
        <v>80</v>
      </c>
      <c r="D195" s="10" t="s">
        <v>81</v>
      </c>
      <c r="E195" s="11" t="s">
        <v>874</v>
      </c>
      <c r="F195" s="15"/>
      <c r="G195" s="12" t="s">
        <v>373</v>
      </c>
      <c r="H195" s="13" t="n">
        <v>-0.814</v>
      </c>
      <c r="I195" s="14" t="s">
        <v>96</v>
      </c>
      <c r="J195" s="15" t="s">
        <v>397</v>
      </c>
      <c r="K195" s="9" t="n">
        <v>4</v>
      </c>
      <c r="L195" s="17"/>
      <c r="M195" s="16" t="s">
        <v>53</v>
      </c>
      <c r="N195" s="14"/>
      <c r="O195" s="17" t="s">
        <v>97</v>
      </c>
      <c r="P195" s="15" t="s">
        <v>875</v>
      </c>
      <c r="Q195" s="17"/>
      <c r="R195" s="18" t="s">
        <v>53</v>
      </c>
      <c r="S195" s="19"/>
      <c r="T195" s="15" t="str">
        <f aca="false">IF(R195="維持",J195,IF(R195="排除","無關新聞事件",IFERROR(INDEX(事件規則!$B$2:$B$53,MATCH(S195,事件規則!$A$2:$A$53,0)),"")))</f>
        <v>無關新聞事件</v>
      </c>
      <c r="U195" s="20" t="n">
        <f aca="false">IF(R195="維持",K195,IF(R195="排除",0,IFERROR(INDEX(事件規則!$C$2:$C$53,MATCH(S195,事件規則!$A$2:$A$53,0)),"")))</f>
        <v>0</v>
      </c>
      <c r="V195" s="21"/>
      <c r="W195" s="22"/>
      <c r="X195" s="10" t="str">
        <f aca="false">IF(AND(R195="修改",S195=""),"請選新事件代碼",IF(AND(R195&lt;&gt;"修改",S195&lt;&gt;""),"只有「修改」才需填代碼",""))</f>
        <v/>
      </c>
      <c r="Y195" s="21"/>
      <c r="Z195" s="22"/>
      <c r="AA195" s="12" t="s">
        <v>876</v>
      </c>
      <c r="AB195" s="12"/>
    </row>
    <row r="196" customFormat="false" ht="23.85" hidden="false" customHeight="false" outlineLevel="0" collapsed="false">
      <c r="A196" s="17" t="n">
        <v>195</v>
      </c>
      <c r="B196" s="9" t="s">
        <v>316</v>
      </c>
      <c r="C196" s="9" t="s">
        <v>877</v>
      </c>
      <c r="D196" s="10" t="s">
        <v>878</v>
      </c>
      <c r="E196" s="11" t="s">
        <v>879</v>
      </c>
      <c r="F196" s="15"/>
      <c r="G196" s="12" t="s">
        <v>373</v>
      </c>
      <c r="H196" s="13" t="n">
        <v>-0.923</v>
      </c>
      <c r="I196" s="14" t="s">
        <v>96</v>
      </c>
      <c r="J196" s="15" t="s">
        <v>397</v>
      </c>
      <c r="K196" s="9" t="n">
        <v>4</v>
      </c>
      <c r="L196" s="17"/>
      <c r="M196" s="16" t="s">
        <v>105</v>
      </c>
      <c r="N196" s="14"/>
      <c r="O196" s="17" t="s">
        <v>54</v>
      </c>
      <c r="P196" s="15" t="s">
        <v>880</v>
      </c>
      <c r="Q196" s="17"/>
      <c r="R196" s="18" t="s">
        <v>105</v>
      </c>
      <c r="S196" s="19"/>
      <c r="T196" s="15" t="str">
        <f aca="false">IF(R196="維持",J196,IF(R196="排除","無關新聞事件",IFERROR(INDEX(事件規則!$B$2:$B$53,MATCH(S196,事件規則!$A$2:$A$53,0)),"")))</f>
        <v>重大訴訟</v>
      </c>
      <c r="U196" s="20" t="n">
        <f aca="false">IF(R196="維持",K196,IF(R196="排除",0,IFERROR(INDEX(事件規則!$C$2:$C$53,MATCH(S196,事件規則!$A$2:$A$53,0)),"")))</f>
        <v>4</v>
      </c>
      <c r="V196" s="21"/>
      <c r="W196" s="22"/>
      <c r="X196" s="10" t="str">
        <f aca="false">IF(AND(R196="修改",S196=""),"請選新事件代碼",IF(AND(R196&lt;&gt;"修改",S196&lt;&gt;""),"只有「修改」才需填代碼",""))</f>
        <v/>
      </c>
      <c r="Y196" s="21"/>
      <c r="Z196" s="22"/>
      <c r="AA196" s="12" t="s">
        <v>881</v>
      </c>
      <c r="AB196" s="12"/>
    </row>
    <row r="197" customFormat="false" ht="29.85" hidden="false" customHeight="false" outlineLevel="0" collapsed="false">
      <c r="A197" s="17" t="n">
        <v>196</v>
      </c>
      <c r="B197" s="9" t="s">
        <v>882</v>
      </c>
      <c r="C197" s="17"/>
      <c r="D197" s="10" t="s">
        <v>883</v>
      </c>
      <c r="E197" s="23" t="s">
        <v>884</v>
      </c>
      <c r="F197" s="15"/>
      <c r="G197" s="12" t="s">
        <v>319</v>
      </c>
      <c r="H197" s="13" t="n">
        <v>0.035</v>
      </c>
      <c r="I197" s="14" t="s">
        <v>96</v>
      </c>
      <c r="J197" s="15" t="s">
        <v>397</v>
      </c>
      <c r="K197" s="9" t="n">
        <v>4</v>
      </c>
      <c r="L197" s="17" t="s">
        <v>320</v>
      </c>
      <c r="M197" s="16" t="s">
        <v>53</v>
      </c>
      <c r="N197" s="14"/>
      <c r="O197" s="17" t="s">
        <v>97</v>
      </c>
      <c r="P197" s="10" t="s">
        <v>885</v>
      </c>
      <c r="Q197" s="17"/>
      <c r="R197" s="18" t="s">
        <v>53</v>
      </c>
      <c r="S197" s="19"/>
      <c r="T197" s="15" t="str">
        <f aca="false">IF(R197="維持",J197,IF(R197="排除","無關新聞事件",IFERROR(INDEX(事件規則!$B$2:$B$53,MATCH(S197,事件規則!$A$2:$A$53,0)),"")))</f>
        <v>無關新聞事件</v>
      </c>
      <c r="U197" s="20" t="n">
        <f aca="false">IF(R197="維持",K197,IF(R197="排除",0,IFERROR(INDEX(事件規則!$C$2:$C$53,MATCH(S197,事件規則!$A$2:$A$53,0)),"")))</f>
        <v>0</v>
      </c>
      <c r="V197" s="21"/>
      <c r="W197" s="22"/>
      <c r="X197" s="10" t="str">
        <f aca="false">IF(AND(R197="修改",S197=""),"請選新事件代碼",IF(AND(R197&lt;&gt;"修改",S197&lt;&gt;""),"只有「修改」才需填代碼",""))</f>
        <v/>
      </c>
      <c r="Y197" s="21"/>
      <c r="Z197" s="22"/>
      <c r="AA197" s="12" t="s">
        <v>886</v>
      </c>
      <c r="AB197" s="12"/>
    </row>
    <row r="198" customFormat="false" ht="35.05" hidden="false" customHeight="false" outlineLevel="0" collapsed="false">
      <c r="A198" s="17" t="n">
        <v>197</v>
      </c>
      <c r="B198" s="9" t="s">
        <v>171</v>
      </c>
      <c r="C198" s="9" t="s">
        <v>887</v>
      </c>
      <c r="D198" s="10" t="s">
        <v>888</v>
      </c>
      <c r="E198" s="11" t="s">
        <v>889</v>
      </c>
      <c r="F198" s="15"/>
      <c r="G198" s="12" t="s">
        <v>373</v>
      </c>
      <c r="H198" s="13" t="n">
        <v>-0.94</v>
      </c>
      <c r="I198" s="14" t="s">
        <v>96</v>
      </c>
      <c r="J198" s="15" t="s">
        <v>397</v>
      </c>
      <c r="K198" s="9" t="n">
        <v>4</v>
      </c>
      <c r="L198" s="17"/>
      <c r="M198" s="16" t="s">
        <v>105</v>
      </c>
      <c r="N198" s="14"/>
      <c r="O198" s="17" t="s">
        <v>97</v>
      </c>
      <c r="P198" s="15" t="s">
        <v>890</v>
      </c>
      <c r="Q198" s="17"/>
      <c r="R198" s="18" t="s">
        <v>105</v>
      </c>
      <c r="S198" s="19"/>
      <c r="T198" s="15" t="str">
        <f aca="false">IF(R198="維持",J198,IF(R198="排除","無關新聞事件",IFERROR(INDEX(事件規則!$B$2:$B$53,MATCH(S198,事件規則!$A$2:$A$53,0)),"")))</f>
        <v>重大訴訟</v>
      </c>
      <c r="U198" s="20" t="n">
        <f aca="false">IF(R198="維持",K198,IF(R198="排除",0,IFERROR(INDEX(事件規則!$C$2:$C$53,MATCH(S198,事件規則!$A$2:$A$53,0)),"")))</f>
        <v>4</v>
      </c>
      <c r="V198" s="21"/>
      <c r="W198" s="22"/>
      <c r="X198" s="10" t="str">
        <f aca="false">IF(AND(R198="修改",S198=""),"請選新事件代碼",IF(AND(R198&lt;&gt;"修改",S198&lt;&gt;""),"只有「修改」才需填代碼",""))</f>
        <v/>
      </c>
      <c r="Y198" s="21"/>
      <c r="Z198" s="22"/>
      <c r="AA198" s="12" t="s">
        <v>891</v>
      </c>
      <c r="AB198" s="12"/>
    </row>
    <row r="199" customFormat="false" ht="29.85" hidden="false" customHeight="false" outlineLevel="0" collapsed="false">
      <c r="A199" s="17" t="n">
        <v>198</v>
      </c>
      <c r="B199" s="9" t="s">
        <v>171</v>
      </c>
      <c r="C199" s="9" t="s">
        <v>892</v>
      </c>
      <c r="D199" s="10" t="s">
        <v>893</v>
      </c>
      <c r="E199" s="11" t="s">
        <v>894</v>
      </c>
      <c r="F199" s="15"/>
      <c r="G199" s="12" t="s">
        <v>416</v>
      </c>
      <c r="H199" s="13" t="n">
        <v>0.039</v>
      </c>
      <c r="I199" s="14" t="s">
        <v>96</v>
      </c>
      <c r="J199" s="15" t="s">
        <v>397</v>
      </c>
      <c r="K199" s="9" t="n">
        <v>4</v>
      </c>
      <c r="L199" s="17"/>
      <c r="M199" s="16" t="s">
        <v>105</v>
      </c>
      <c r="N199" s="14"/>
      <c r="O199" s="17" t="s">
        <v>292</v>
      </c>
      <c r="P199" s="15" t="s">
        <v>895</v>
      </c>
      <c r="Q199" s="17" t="s">
        <v>169</v>
      </c>
      <c r="R199" s="18" t="s">
        <v>105</v>
      </c>
      <c r="S199" s="19"/>
      <c r="T199" s="15" t="str">
        <f aca="false">IF(R199="維持",J199,IF(R199="排除","無關新聞事件",IFERROR(INDEX(事件規則!$B$2:$B$53,MATCH(S199,事件規則!$A$2:$A$53,0)),"")))</f>
        <v>重大訴訟</v>
      </c>
      <c r="U199" s="20" t="n">
        <f aca="false">IF(R199="維持",K199,IF(R199="排除",0,IFERROR(INDEX(事件規則!$C$2:$C$53,MATCH(S199,事件規則!$A$2:$A$53,0)),"")))</f>
        <v>4</v>
      </c>
      <c r="V199" s="21"/>
      <c r="W199" s="22"/>
      <c r="X199" s="10" t="str">
        <f aca="false">IF(AND(R199="修改",S199=""),"請選新事件代碼",IF(AND(R199&lt;&gt;"修改",S199&lt;&gt;""),"只有「修改」才需填代碼",""))</f>
        <v/>
      </c>
      <c r="Y199" s="21"/>
      <c r="Z199" s="22"/>
      <c r="AA199" s="12" t="s">
        <v>896</v>
      </c>
      <c r="AB199" s="12"/>
    </row>
    <row r="200" customFormat="false" ht="29.85" hidden="false" customHeight="false" outlineLevel="0" collapsed="false">
      <c r="A200" s="17" t="n">
        <v>199</v>
      </c>
      <c r="B200" s="9" t="s">
        <v>897</v>
      </c>
      <c r="C200" s="17"/>
      <c r="D200" s="10" t="s">
        <v>898</v>
      </c>
      <c r="E200" s="23" t="s">
        <v>899</v>
      </c>
      <c r="F200" s="15"/>
      <c r="G200" s="12" t="s">
        <v>319</v>
      </c>
      <c r="H200" s="13" t="n">
        <v>0.101</v>
      </c>
      <c r="I200" s="14" t="s">
        <v>96</v>
      </c>
      <c r="J200" s="15" t="s">
        <v>397</v>
      </c>
      <c r="K200" s="9" t="n">
        <v>4</v>
      </c>
      <c r="L200" s="17" t="s">
        <v>320</v>
      </c>
      <c r="M200" s="16" t="s">
        <v>105</v>
      </c>
      <c r="N200" s="14"/>
      <c r="O200" s="17" t="s">
        <v>292</v>
      </c>
      <c r="P200" s="15" t="s">
        <v>900</v>
      </c>
      <c r="Q200" s="17" t="s">
        <v>169</v>
      </c>
      <c r="R200" s="18" t="s">
        <v>105</v>
      </c>
      <c r="S200" s="19"/>
      <c r="T200" s="15" t="str">
        <f aca="false">IF(R200="維持",J200,IF(R200="排除","無關新聞事件",IFERROR(INDEX(事件規則!$B$2:$B$53,MATCH(S200,事件規則!$A$2:$A$53,0)),"")))</f>
        <v>重大訴訟</v>
      </c>
      <c r="U200" s="20" t="n">
        <f aca="false">IF(R200="維持",K200,IF(R200="排除",0,IFERROR(INDEX(事件規則!$C$2:$C$53,MATCH(S200,事件規則!$A$2:$A$53,0)),"")))</f>
        <v>4</v>
      </c>
      <c r="V200" s="21"/>
      <c r="W200" s="22" t="s">
        <v>901</v>
      </c>
      <c r="X200" s="10" t="str">
        <f aca="false">IF(AND(R200="修改",S200=""),"請選新事件代碼",IF(AND(R200&lt;&gt;"修改",S200&lt;&gt;""),"只有「修改」才需填代碼",""))</f>
        <v/>
      </c>
      <c r="Y200" s="21"/>
      <c r="Z200" s="22"/>
      <c r="AA200" s="12" t="s">
        <v>902</v>
      </c>
      <c r="AB200" s="12"/>
    </row>
    <row r="201" customFormat="false" ht="29.85" hidden="false" customHeight="false" outlineLevel="0" collapsed="false">
      <c r="A201" s="17" t="n">
        <v>200</v>
      </c>
      <c r="B201" s="9" t="s">
        <v>897</v>
      </c>
      <c r="C201" s="9" t="s">
        <v>119</v>
      </c>
      <c r="D201" s="10" t="s">
        <v>120</v>
      </c>
      <c r="E201" s="11" t="s">
        <v>903</v>
      </c>
      <c r="F201" s="15"/>
      <c r="G201" s="12" t="s">
        <v>833</v>
      </c>
      <c r="H201" s="13" t="n">
        <v>-0.669</v>
      </c>
      <c r="I201" s="14" t="s">
        <v>96</v>
      </c>
      <c r="J201" s="15" t="s">
        <v>397</v>
      </c>
      <c r="K201" s="9" t="n">
        <v>4</v>
      </c>
      <c r="L201" s="17"/>
      <c r="M201" s="16" t="s">
        <v>53</v>
      </c>
      <c r="N201" s="14"/>
      <c r="O201" s="17" t="s">
        <v>97</v>
      </c>
      <c r="P201" s="15" t="s">
        <v>690</v>
      </c>
      <c r="Q201" s="17"/>
      <c r="R201" s="18" t="s">
        <v>53</v>
      </c>
      <c r="S201" s="19"/>
      <c r="T201" s="15" t="str">
        <f aca="false">IF(R201="維持",J201,IF(R201="排除","無關新聞事件",IFERROR(INDEX(事件規則!$B$2:$B$53,MATCH(S201,事件規則!$A$2:$A$53,0)),"")))</f>
        <v>無關新聞事件</v>
      </c>
      <c r="U201" s="20" t="n">
        <f aca="false">IF(R201="維持",K201,IF(R201="排除",0,IFERROR(INDEX(事件規則!$C$2:$C$53,MATCH(S201,事件規則!$A$2:$A$53,0)),"")))</f>
        <v>0</v>
      </c>
      <c r="V201" s="21"/>
      <c r="W201" s="22"/>
      <c r="X201" s="10" t="str">
        <f aca="false">IF(AND(R201="修改",S201=""),"請選新事件代碼",IF(AND(R201&lt;&gt;"修改",S201&lt;&gt;""),"只有「修改」才需填代碼",""))</f>
        <v/>
      </c>
      <c r="Y201" s="21"/>
      <c r="Z201" s="22"/>
      <c r="AA201" s="12" t="s">
        <v>904</v>
      </c>
      <c r="AB201" s="12"/>
    </row>
    <row r="202" customFormat="false" ht="29.85" hidden="false" customHeight="false" outlineLevel="0" collapsed="false">
      <c r="A202" s="17" t="n">
        <v>201</v>
      </c>
      <c r="B202" s="9" t="s">
        <v>897</v>
      </c>
      <c r="C202" s="9" t="s">
        <v>905</v>
      </c>
      <c r="D202" s="10" t="s">
        <v>906</v>
      </c>
      <c r="E202" s="11" t="s">
        <v>907</v>
      </c>
      <c r="F202" s="15"/>
      <c r="G202" s="12" t="s">
        <v>908</v>
      </c>
      <c r="H202" s="13" t="n">
        <v>-0.734</v>
      </c>
      <c r="I202" s="14" t="s">
        <v>96</v>
      </c>
      <c r="J202" s="15" t="s">
        <v>397</v>
      </c>
      <c r="K202" s="9" t="n">
        <v>4</v>
      </c>
      <c r="L202" s="17"/>
      <c r="M202" s="16" t="s">
        <v>53</v>
      </c>
      <c r="N202" s="14"/>
      <c r="O202" s="17" t="s">
        <v>97</v>
      </c>
      <c r="P202" s="15" t="s">
        <v>909</v>
      </c>
      <c r="Q202" s="17"/>
      <c r="R202" s="18" t="s">
        <v>53</v>
      </c>
      <c r="S202" s="19"/>
      <c r="T202" s="15" t="str">
        <f aca="false">IF(R202="維持",J202,IF(R202="排除","無關新聞事件",IFERROR(INDEX(事件規則!$B$2:$B$53,MATCH(S202,事件規則!$A$2:$A$53,0)),"")))</f>
        <v>無關新聞事件</v>
      </c>
      <c r="U202" s="20" t="n">
        <f aca="false">IF(R202="維持",K202,IF(R202="排除",0,IFERROR(INDEX(事件規則!$C$2:$C$53,MATCH(S202,事件規則!$A$2:$A$53,0)),"")))</f>
        <v>0</v>
      </c>
      <c r="V202" s="21"/>
      <c r="W202" s="22"/>
      <c r="X202" s="10" t="str">
        <f aca="false">IF(AND(R202="修改",S202=""),"請選新事件代碼",IF(AND(R202&lt;&gt;"修改",S202&lt;&gt;""),"只有「修改」才需填代碼",""))</f>
        <v/>
      </c>
      <c r="Y202" s="21"/>
      <c r="Z202" s="22"/>
      <c r="AA202" s="12" t="s">
        <v>910</v>
      </c>
      <c r="AB202" s="12"/>
    </row>
    <row r="203" customFormat="false" ht="29.85" hidden="false" customHeight="false" outlineLevel="0" collapsed="false">
      <c r="A203" s="17" t="n">
        <v>202</v>
      </c>
      <c r="B203" s="9" t="s">
        <v>180</v>
      </c>
      <c r="C203" s="9" t="s">
        <v>119</v>
      </c>
      <c r="D203" s="10" t="s">
        <v>120</v>
      </c>
      <c r="E203" s="11" t="s">
        <v>911</v>
      </c>
      <c r="F203" s="15"/>
      <c r="G203" s="12" t="s">
        <v>496</v>
      </c>
      <c r="H203" s="13" t="n">
        <v>-0.697</v>
      </c>
      <c r="I203" s="14" t="s">
        <v>96</v>
      </c>
      <c r="J203" s="15" t="s">
        <v>397</v>
      </c>
      <c r="K203" s="9" t="n">
        <v>4</v>
      </c>
      <c r="L203" s="17"/>
      <c r="M203" s="16" t="s">
        <v>53</v>
      </c>
      <c r="N203" s="14"/>
      <c r="O203" s="17" t="s">
        <v>97</v>
      </c>
      <c r="P203" s="15" t="s">
        <v>690</v>
      </c>
      <c r="Q203" s="17"/>
      <c r="R203" s="18" t="s">
        <v>53</v>
      </c>
      <c r="S203" s="19"/>
      <c r="T203" s="15" t="str">
        <f aca="false">IF(R203="維持",J203,IF(R203="排除","無關新聞事件",IFERROR(INDEX(事件規則!$B$2:$B$53,MATCH(S203,事件規則!$A$2:$A$53,0)),"")))</f>
        <v>無關新聞事件</v>
      </c>
      <c r="U203" s="20" t="n">
        <f aca="false">IF(R203="維持",K203,IF(R203="排除",0,IFERROR(INDEX(事件規則!$C$2:$C$53,MATCH(S203,事件規則!$A$2:$A$53,0)),"")))</f>
        <v>0</v>
      </c>
      <c r="V203" s="21"/>
      <c r="W203" s="22"/>
      <c r="X203" s="10" t="str">
        <f aca="false">IF(AND(R203="修改",S203=""),"請選新事件代碼",IF(AND(R203&lt;&gt;"修改",S203&lt;&gt;""),"只有「修改」才需填代碼",""))</f>
        <v/>
      </c>
      <c r="Y203" s="21"/>
      <c r="Z203" s="22"/>
      <c r="AA203" s="12" t="s">
        <v>912</v>
      </c>
      <c r="AB203" s="12"/>
    </row>
    <row r="204" customFormat="false" ht="29.85" hidden="false" customHeight="false" outlineLevel="0" collapsed="false">
      <c r="A204" s="17" t="n">
        <v>203</v>
      </c>
      <c r="B204" s="9" t="s">
        <v>180</v>
      </c>
      <c r="C204" s="17"/>
      <c r="D204" s="10" t="s">
        <v>906</v>
      </c>
      <c r="E204" s="23" t="s">
        <v>913</v>
      </c>
      <c r="F204" s="15"/>
      <c r="G204" s="12" t="s">
        <v>319</v>
      </c>
      <c r="H204" s="13" t="n">
        <v>0.04</v>
      </c>
      <c r="I204" s="14" t="s">
        <v>96</v>
      </c>
      <c r="J204" s="15" t="s">
        <v>397</v>
      </c>
      <c r="K204" s="9" t="n">
        <v>4</v>
      </c>
      <c r="L204" s="17" t="s">
        <v>320</v>
      </c>
      <c r="M204" s="16" t="s">
        <v>53</v>
      </c>
      <c r="N204" s="14"/>
      <c r="O204" s="17" t="s">
        <v>97</v>
      </c>
      <c r="P204" s="15" t="s">
        <v>909</v>
      </c>
      <c r="Q204" s="17"/>
      <c r="R204" s="18" t="s">
        <v>53</v>
      </c>
      <c r="S204" s="19"/>
      <c r="T204" s="15" t="str">
        <f aca="false">IF(R204="維持",J204,IF(R204="排除","無關新聞事件",IFERROR(INDEX(事件規則!$B$2:$B$53,MATCH(S204,事件規則!$A$2:$A$53,0)),"")))</f>
        <v>無關新聞事件</v>
      </c>
      <c r="U204" s="20" t="n">
        <f aca="false">IF(R204="維持",K204,IF(R204="排除",0,IFERROR(INDEX(事件規則!$C$2:$C$53,MATCH(S204,事件規則!$A$2:$A$53,0)),"")))</f>
        <v>0</v>
      </c>
      <c r="V204" s="21"/>
      <c r="W204" s="22"/>
      <c r="X204" s="10" t="str">
        <f aca="false">IF(AND(R204="修改",S204=""),"請選新事件代碼",IF(AND(R204&lt;&gt;"修改",S204&lt;&gt;""),"只有「修改」才需填代碼",""))</f>
        <v/>
      </c>
      <c r="Y204" s="21"/>
      <c r="Z204" s="22"/>
      <c r="AA204" s="12" t="s">
        <v>914</v>
      </c>
      <c r="AB204" s="12"/>
    </row>
    <row r="205" customFormat="false" ht="15" hidden="false" customHeight="false" outlineLevel="0" collapsed="false">
      <c r="A205" s="17" t="n">
        <v>204</v>
      </c>
      <c r="B205" s="9" t="s">
        <v>915</v>
      </c>
      <c r="C205" s="9" t="s">
        <v>80</v>
      </c>
      <c r="D205" s="10" t="s">
        <v>81</v>
      </c>
      <c r="E205" s="11" t="s">
        <v>916</v>
      </c>
      <c r="F205" s="15"/>
      <c r="G205" s="12" t="s">
        <v>496</v>
      </c>
      <c r="H205" s="13" t="n">
        <v>-0.426</v>
      </c>
      <c r="I205" s="14" t="s">
        <v>96</v>
      </c>
      <c r="J205" s="15" t="s">
        <v>397</v>
      </c>
      <c r="K205" s="9" t="n">
        <v>4</v>
      </c>
      <c r="L205" s="17"/>
      <c r="M205" s="16" t="s">
        <v>53</v>
      </c>
      <c r="N205" s="14"/>
      <c r="O205" s="17" t="s">
        <v>97</v>
      </c>
      <c r="P205" s="15" t="s">
        <v>917</v>
      </c>
      <c r="Q205" s="17"/>
      <c r="R205" s="18" t="s">
        <v>53</v>
      </c>
      <c r="S205" s="19"/>
      <c r="T205" s="15" t="str">
        <f aca="false">IF(R205="維持",J205,IF(R205="排除","無關新聞事件",IFERROR(INDEX(事件規則!$B$2:$B$53,MATCH(S205,事件規則!$A$2:$A$53,0)),"")))</f>
        <v>無關新聞事件</v>
      </c>
      <c r="U205" s="20" t="n">
        <f aca="false">IF(R205="維持",K205,IF(R205="排除",0,IFERROR(INDEX(事件規則!$C$2:$C$53,MATCH(S205,事件規則!$A$2:$A$53,0)),"")))</f>
        <v>0</v>
      </c>
      <c r="V205" s="21"/>
      <c r="W205" s="22"/>
      <c r="X205" s="10" t="str">
        <f aca="false">IF(AND(R205="修改",S205=""),"請選新事件代碼",IF(AND(R205&lt;&gt;"修改",S205&lt;&gt;""),"只有「修改」才需填代碼",""))</f>
        <v/>
      </c>
      <c r="Y205" s="21"/>
      <c r="Z205" s="22"/>
      <c r="AA205" s="12" t="s">
        <v>918</v>
      </c>
      <c r="AB205" s="12"/>
    </row>
    <row r="206" customFormat="false" ht="72.35" hidden="false" customHeight="false" outlineLevel="0" collapsed="false">
      <c r="A206" s="17" t="n">
        <v>205</v>
      </c>
      <c r="B206" s="9" t="s">
        <v>919</v>
      </c>
      <c r="C206" s="9" t="s">
        <v>920</v>
      </c>
      <c r="D206" s="10" t="s">
        <v>921</v>
      </c>
      <c r="E206" s="11" t="s">
        <v>922</v>
      </c>
      <c r="F206" s="15" t="s">
        <v>923</v>
      </c>
      <c r="G206" s="12" t="s">
        <v>547</v>
      </c>
      <c r="H206" s="13" t="n">
        <v>-0.397</v>
      </c>
      <c r="I206" s="14" t="s">
        <v>96</v>
      </c>
      <c r="J206" s="15" t="s">
        <v>397</v>
      </c>
      <c r="K206" s="9" t="n">
        <v>4</v>
      </c>
      <c r="L206" s="17"/>
      <c r="M206" s="16" t="s">
        <v>105</v>
      </c>
      <c r="N206" s="14"/>
      <c r="O206" s="17" t="s">
        <v>97</v>
      </c>
      <c r="P206" s="10" t="s">
        <v>924</v>
      </c>
      <c r="Q206" s="17"/>
      <c r="R206" s="18" t="s">
        <v>105</v>
      </c>
      <c r="S206" s="19"/>
      <c r="T206" s="15" t="str">
        <f aca="false">IF(R206="維持",J206,IF(R206="排除","無關新聞事件",IFERROR(INDEX(事件規則!$B$2:$B$53,MATCH(S206,事件規則!$A$2:$A$53,0)),"")))</f>
        <v>重大訴訟</v>
      </c>
      <c r="U206" s="20" t="n">
        <f aca="false">IF(R206="維持",K206,IF(R206="排除",0,IFERROR(INDEX(事件規則!$C$2:$C$53,MATCH(S206,事件規則!$A$2:$A$53,0)),"")))</f>
        <v>4</v>
      </c>
      <c r="V206" s="21"/>
      <c r="W206" s="22"/>
      <c r="X206" s="10" t="str">
        <f aca="false">IF(AND(R206="修改",S206=""),"請選新事件代碼",IF(AND(R206&lt;&gt;"修改",S206&lt;&gt;""),"只有「修改」才需填代碼",""))</f>
        <v/>
      </c>
      <c r="Y206" s="21"/>
      <c r="Z206" s="22"/>
      <c r="AA206" s="12" t="s">
        <v>925</v>
      </c>
      <c r="AB206" s="12"/>
    </row>
    <row r="207" customFormat="false" ht="44" hidden="false" customHeight="false" outlineLevel="0" collapsed="false">
      <c r="A207" s="17" t="n">
        <v>206</v>
      </c>
      <c r="B207" s="9" t="s">
        <v>323</v>
      </c>
      <c r="C207" s="9" t="s">
        <v>920</v>
      </c>
      <c r="D207" s="10" t="s">
        <v>921</v>
      </c>
      <c r="E207" s="11" t="s">
        <v>926</v>
      </c>
      <c r="F207" s="10" t="s">
        <v>927</v>
      </c>
      <c r="G207" s="12" t="s">
        <v>416</v>
      </c>
      <c r="H207" s="13" t="n">
        <v>-0.293</v>
      </c>
      <c r="I207" s="14" t="s">
        <v>96</v>
      </c>
      <c r="J207" s="15" t="s">
        <v>397</v>
      </c>
      <c r="K207" s="9" t="n">
        <v>4</v>
      </c>
      <c r="L207" s="17"/>
      <c r="M207" s="16" t="s">
        <v>105</v>
      </c>
      <c r="N207" s="14"/>
      <c r="O207" s="17" t="s">
        <v>97</v>
      </c>
      <c r="P207" s="10" t="s">
        <v>924</v>
      </c>
      <c r="Q207" s="17"/>
      <c r="R207" s="18" t="s">
        <v>105</v>
      </c>
      <c r="S207" s="19"/>
      <c r="T207" s="15" t="str">
        <f aca="false">IF(R207="維持",J207,IF(R207="排除","無關新聞事件",IFERROR(INDEX(事件規則!$B$2:$B$53,MATCH(S207,事件規則!$A$2:$A$53,0)),"")))</f>
        <v>重大訴訟</v>
      </c>
      <c r="U207" s="20" t="n">
        <f aca="false">IF(R207="維持",K207,IF(R207="排除",0,IFERROR(INDEX(事件規則!$C$2:$C$53,MATCH(S207,事件規則!$A$2:$A$53,0)),"")))</f>
        <v>4</v>
      </c>
      <c r="V207" s="21"/>
      <c r="W207" s="22"/>
      <c r="X207" s="10" t="str">
        <f aca="false">IF(AND(R207="修改",S207=""),"請選新事件代碼",IF(AND(R207&lt;&gt;"修改",S207&lt;&gt;""),"只有「修改」才需填代碼",""))</f>
        <v/>
      </c>
      <c r="Y207" s="21"/>
      <c r="Z207" s="22"/>
      <c r="AA207" s="12" t="s">
        <v>928</v>
      </c>
      <c r="AB207" s="12"/>
    </row>
    <row r="208" customFormat="false" ht="44" hidden="false" customHeight="false" outlineLevel="0" collapsed="false">
      <c r="A208" s="17" t="n">
        <v>207</v>
      </c>
      <c r="B208" s="9" t="s">
        <v>323</v>
      </c>
      <c r="C208" s="9" t="s">
        <v>920</v>
      </c>
      <c r="D208" s="10" t="s">
        <v>921</v>
      </c>
      <c r="E208" s="11" t="s">
        <v>929</v>
      </c>
      <c r="F208" s="10" t="s">
        <v>930</v>
      </c>
      <c r="G208" s="12" t="s">
        <v>396</v>
      </c>
      <c r="H208" s="13" t="n">
        <v>0.05</v>
      </c>
      <c r="I208" s="14" t="s">
        <v>96</v>
      </c>
      <c r="J208" s="15" t="s">
        <v>397</v>
      </c>
      <c r="K208" s="9" t="n">
        <v>4</v>
      </c>
      <c r="L208" s="17"/>
      <c r="M208" s="16" t="s">
        <v>105</v>
      </c>
      <c r="N208" s="14"/>
      <c r="O208" s="17" t="s">
        <v>97</v>
      </c>
      <c r="P208" s="10" t="s">
        <v>924</v>
      </c>
      <c r="Q208" s="17"/>
      <c r="R208" s="18" t="s">
        <v>105</v>
      </c>
      <c r="S208" s="19"/>
      <c r="T208" s="15" t="str">
        <f aca="false">IF(R208="維持",J208,IF(R208="排除","無關新聞事件",IFERROR(INDEX(事件規則!$B$2:$B$53,MATCH(S208,事件規則!$A$2:$A$53,0)),"")))</f>
        <v>重大訴訟</v>
      </c>
      <c r="U208" s="20" t="n">
        <f aca="false">IF(R208="維持",K208,IF(R208="排除",0,IFERROR(INDEX(事件規則!$C$2:$C$53,MATCH(S208,事件規則!$A$2:$A$53,0)),"")))</f>
        <v>4</v>
      </c>
      <c r="V208" s="21"/>
      <c r="W208" s="22"/>
      <c r="X208" s="10" t="str">
        <f aca="false">IF(AND(R208="修改",S208=""),"請選新事件代碼",IF(AND(R208&lt;&gt;"修改",S208&lt;&gt;""),"只有「修改」才需填代碼",""))</f>
        <v/>
      </c>
      <c r="Y208" s="21"/>
      <c r="Z208" s="22"/>
      <c r="AA208" s="12" t="s">
        <v>931</v>
      </c>
      <c r="AB208" s="12"/>
    </row>
    <row r="209" customFormat="false" ht="29.85" hidden="false" customHeight="false" outlineLevel="0" collapsed="false">
      <c r="A209" s="17" t="n">
        <v>208</v>
      </c>
      <c r="B209" s="9" t="s">
        <v>186</v>
      </c>
      <c r="C209" s="9" t="s">
        <v>150</v>
      </c>
      <c r="D209" s="10" t="s">
        <v>151</v>
      </c>
      <c r="E209" s="11" t="s">
        <v>932</v>
      </c>
      <c r="F209" s="15" t="s">
        <v>933</v>
      </c>
      <c r="G209" s="12" t="s">
        <v>496</v>
      </c>
      <c r="H209" s="13" t="n">
        <v>-0.943</v>
      </c>
      <c r="I209" s="14" t="s">
        <v>96</v>
      </c>
      <c r="J209" s="15" t="s">
        <v>397</v>
      </c>
      <c r="K209" s="9" t="n">
        <v>4</v>
      </c>
      <c r="L209" s="17"/>
      <c r="M209" s="16" t="s">
        <v>53</v>
      </c>
      <c r="N209" s="14"/>
      <c r="O209" s="17" t="s">
        <v>97</v>
      </c>
      <c r="P209" s="15" t="s">
        <v>917</v>
      </c>
      <c r="Q209" s="17"/>
      <c r="R209" s="18" t="s">
        <v>53</v>
      </c>
      <c r="S209" s="19"/>
      <c r="T209" s="15" t="str">
        <f aca="false">IF(R209="維持",J209,IF(R209="排除","無關新聞事件",IFERROR(INDEX(事件規則!$B$2:$B$53,MATCH(S209,事件規則!$A$2:$A$53,0)),"")))</f>
        <v>無關新聞事件</v>
      </c>
      <c r="U209" s="20" t="n">
        <f aca="false">IF(R209="維持",K209,IF(R209="排除",0,IFERROR(INDEX(事件規則!$C$2:$C$53,MATCH(S209,事件規則!$A$2:$A$53,0)),"")))</f>
        <v>0</v>
      </c>
      <c r="V209" s="21"/>
      <c r="W209" s="22"/>
      <c r="X209" s="10" t="str">
        <f aca="false">IF(AND(R209="修改",S209=""),"請選新事件代碼",IF(AND(R209&lt;&gt;"修改",S209&lt;&gt;""),"只有「修改」才需填代碼",""))</f>
        <v/>
      </c>
      <c r="Y209" s="21"/>
      <c r="Z209" s="22"/>
      <c r="AA209" s="12" t="s">
        <v>934</v>
      </c>
      <c r="AB209" s="12"/>
    </row>
    <row r="210" customFormat="false" ht="29.85" hidden="false" customHeight="false" outlineLevel="0" collapsed="false">
      <c r="A210" s="17" t="n">
        <v>209</v>
      </c>
      <c r="B210" s="9" t="s">
        <v>186</v>
      </c>
      <c r="C210" s="9" t="s">
        <v>920</v>
      </c>
      <c r="D210" s="10" t="s">
        <v>921</v>
      </c>
      <c r="E210" s="11" t="s">
        <v>935</v>
      </c>
      <c r="F210" s="10" t="s">
        <v>936</v>
      </c>
      <c r="G210" s="12" t="s">
        <v>937</v>
      </c>
      <c r="H210" s="13" t="n">
        <v>-0.032</v>
      </c>
      <c r="I210" s="14" t="s">
        <v>96</v>
      </c>
      <c r="J210" s="15" t="s">
        <v>397</v>
      </c>
      <c r="K210" s="9" t="n">
        <v>4</v>
      </c>
      <c r="L210" s="17"/>
      <c r="M210" s="16" t="s">
        <v>105</v>
      </c>
      <c r="N210" s="14"/>
      <c r="O210" s="17" t="s">
        <v>97</v>
      </c>
      <c r="P210" s="10" t="s">
        <v>924</v>
      </c>
      <c r="Q210" s="17"/>
      <c r="R210" s="18" t="s">
        <v>105</v>
      </c>
      <c r="S210" s="19"/>
      <c r="T210" s="15" t="str">
        <f aca="false">IF(R210="維持",J210,IF(R210="排除","無關新聞事件",IFERROR(INDEX(事件規則!$B$2:$B$53,MATCH(S210,事件規則!$A$2:$A$53,0)),"")))</f>
        <v>重大訴訟</v>
      </c>
      <c r="U210" s="20" t="n">
        <f aca="false">IF(R210="維持",K210,IF(R210="排除",0,IFERROR(INDEX(事件規則!$C$2:$C$53,MATCH(S210,事件規則!$A$2:$A$53,0)),"")))</f>
        <v>4</v>
      </c>
      <c r="V210" s="21"/>
      <c r="W210" s="22"/>
      <c r="X210" s="10" t="str">
        <f aca="false">IF(AND(R210="修改",S210=""),"請選新事件代碼",IF(AND(R210&lt;&gt;"修改",S210&lt;&gt;""),"只有「修改」才需填代碼",""))</f>
        <v/>
      </c>
      <c r="Y210" s="21"/>
      <c r="Z210" s="22"/>
      <c r="AA210" s="12" t="s">
        <v>938</v>
      </c>
      <c r="AB210" s="12"/>
    </row>
    <row r="211" customFormat="false" ht="29.85" hidden="false" customHeight="false" outlineLevel="0" collapsed="false">
      <c r="A211" s="17" t="n">
        <v>210</v>
      </c>
      <c r="B211" s="9" t="s">
        <v>186</v>
      </c>
      <c r="C211" s="9" t="s">
        <v>866</v>
      </c>
      <c r="D211" s="10" t="s">
        <v>867</v>
      </c>
      <c r="E211" s="11" t="s">
        <v>939</v>
      </c>
      <c r="F211" s="10" t="s">
        <v>940</v>
      </c>
      <c r="G211" s="12" t="s">
        <v>409</v>
      </c>
      <c r="H211" s="13" t="n">
        <v>-0.05</v>
      </c>
      <c r="I211" s="14" t="s">
        <v>96</v>
      </c>
      <c r="J211" s="15" t="s">
        <v>397</v>
      </c>
      <c r="K211" s="9" t="n">
        <v>4</v>
      </c>
      <c r="L211" s="17"/>
      <c r="M211" s="16" t="s">
        <v>105</v>
      </c>
      <c r="N211" s="14"/>
      <c r="O211" s="17" t="s">
        <v>97</v>
      </c>
      <c r="P211" s="10" t="s">
        <v>869</v>
      </c>
      <c r="Q211" s="17"/>
      <c r="R211" s="18" t="s">
        <v>105</v>
      </c>
      <c r="S211" s="19"/>
      <c r="T211" s="15" t="str">
        <f aca="false">IF(R211="維持",J211,IF(R211="排除","無關新聞事件",IFERROR(INDEX(事件規則!$B$2:$B$53,MATCH(S211,事件規則!$A$2:$A$53,0)),"")))</f>
        <v>重大訴訟</v>
      </c>
      <c r="U211" s="20" t="n">
        <f aca="false">IF(R211="維持",K211,IF(R211="排除",0,IFERROR(INDEX(事件規則!$C$2:$C$53,MATCH(S211,事件規則!$A$2:$A$53,0)),"")))</f>
        <v>4</v>
      </c>
      <c r="V211" s="21"/>
      <c r="W211" s="22"/>
      <c r="X211" s="10" t="str">
        <f aca="false">IF(AND(R211="修改",S211=""),"請選新事件代碼",IF(AND(R211&lt;&gt;"修改",S211&lt;&gt;""),"只有「修改」才需填代碼",""))</f>
        <v/>
      </c>
      <c r="Y211" s="21"/>
      <c r="Z211" s="22"/>
      <c r="AA211" s="12" t="s">
        <v>941</v>
      </c>
      <c r="AB211" s="12"/>
    </row>
    <row r="212" customFormat="false" ht="44" hidden="false" customHeight="false" outlineLevel="0" collapsed="false">
      <c r="A212" s="17" t="n">
        <v>211</v>
      </c>
      <c r="B212" s="9" t="s">
        <v>186</v>
      </c>
      <c r="C212" s="9" t="s">
        <v>920</v>
      </c>
      <c r="D212" s="10" t="s">
        <v>921</v>
      </c>
      <c r="E212" s="11" t="s">
        <v>942</v>
      </c>
      <c r="F212" s="10" t="s">
        <v>943</v>
      </c>
      <c r="G212" s="12" t="s">
        <v>409</v>
      </c>
      <c r="H212" s="13" t="n">
        <v>-0.033</v>
      </c>
      <c r="I212" s="14" t="s">
        <v>96</v>
      </c>
      <c r="J212" s="15" t="s">
        <v>397</v>
      </c>
      <c r="K212" s="9" t="n">
        <v>4</v>
      </c>
      <c r="L212" s="17"/>
      <c r="M212" s="16" t="s">
        <v>105</v>
      </c>
      <c r="N212" s="14"/>
      <c r="O212" s="17" t="s">
        <v>97</v>
      </c>
      <c r="P212" s="10" t="s">
        <v>924</v>
      </c>
      <c r="Q212" s="17"/>
      <c r="R212" s="18" t="s">
        <v>105</v>
      </c>
      <c r="S212" s="19"/>
      <c r="T212" s="15" t="str">
        <f aca="false">IF(R212="維持",J212,IF(R212="排除","無關新聞事件",IFERROR(INDEX(事件規則!$B$2:$B$53,MATCH(S212,事件規則!$A$2:$A$53,0)),"")))</f>
        <v>重大訴訟</v>
      </c>
      <c r="U212" s="20" t="n">
        <f aca="false">IF(R212="維持",K212,IF(R212="排除",0,IFERROR(INDEX(事件規則!$C$2:$C$53,MATCH(S212,事件規則!$A$2:$A$53,0)),"")))</f>
        <v>4</v>
      </c>
      <c r="V212" s="21"/>
      <c r="W212" s="22"/>
      <c r="X212" s="10" t="str">
        <f aca="false">IF(AND(R212="修改",S212=""),"請選新事件代碼",IF(AND(R212&lt;&gt;"修改",S212&lt;&gt;""),"只有「修改」才需填代碼",""))</f>
        <v/>
      </c>
      <c r="Y212" s="21"/>
      <c r="Z212" s="22"/>
      <c r="AA212" s="12" t="s">
        <v>944</v>
      </c>
      <c r="AB212" s="12"/>
    </row>
    <row r="213" customFormat="false" ht="44" hidden="false" customHeight="false" outlineLevel="0" collapsed="false">
      <c r="A213" s="17" t="n">
        <v>212</v>
      </c>
      <c r="B213" s="9" t="s">
        <v>186</v>
      </c>
      <c r="C213" s="9" t="s">
        <v>462</v>
      </c>
      <c r="D213" s="10" t="s">
        <v>463</v>
      </c>
      <c r="E213" s="11" t="s">
        <v>710</v>
      </c>
      <c r="F213" s="10" t="s">
        <v>945</v>
      </c>
      <c r="G213" s="12" t="s">
        <v>409</v>
      </c>
      <c r="H213" s="13" t="n">
        <v>-0.072</v>
      </c>
      <c r="I213" s="14" t="s">
        <v>96</v>
      </c>
      <c r="J213" s="15" t="s">
        <v>397</v>
      </c>
      <c r="K213" s="9" t="n">
        <v>4</v>
      </c>
      <c r="L213" s="17"/>
      <c r="M213" s="16" t="s">
        <v>105</v>
      </c>
      <c r="N213" s="14"/>
      <c r="O213" s="17" t="s">
        <v>97</v>
      </c>
      <c r="P213" s="10" t="s">
        <v>711</v>
      </c>
      <c r="Q213" s="17"/>
      <c r="R213" s="18" t="s">
        <v>105</v>
      </c>
      <c r="S213" s="19"/>
      <c r="T213" s="15" t="str">
        <f aca="false">IF(R213="維持",J213,IF(R213="排除","無關新聞事件",IFERROR(INDEX(事件規則!$B$2:$B$53,MATCH(S213,事件規則!$A$2:$A$53,0)),"")))</f>
        <v>重大訴訟</v>
      </c>
      <c r="U213" s="20" t="n">
        <f aca="false">IF(R213="維持",K213,IF(R213="排除",0,IFERROR(INDEX(事件規則!$C$2:$C$53,MATCH(S213,事件規則!$A$2:$A$53,0)),"")))</f>
        <v>4</v>
      </c>
      <c r="V213" s="21"/>
      <c r="W213" s="22"/>
      <c r="X213" s="10" t="str">
        <f aca="false">IF(AND(R213="修改",S213=""),"請選新事件代碼",IF(AND(R213&lt;&gt;"修改",S213&lt;&gt;""),"只有「修改」才需填代碼",""))</f>
        <v/>
      </c>
      <c r="Y213" s="21"/>
      <c r="Z213" s="22"/>
      <c r="AA213" s="12" t="s">
        <v>946</v>
      </c>
      <c r="AB213" s="12"/>
    </row>
    <row r="214" customFormat="false" ht="29.85" hidden="false" customHeight="false" outlineLevel="0" collapsed="false">
      <c r="A214" s="17" t="n">
        <v>213</v>
      </c>
      <c r="B214" s="9" t="s">
        <v>186</v>
      </c>
      <c r="C214" s="9" t="s">
        <v>456</v>
      </c>
      <c r="D214" s="10" t="s">
        <v>457</v>
      </c>
      <c r="E214" s="11" t="s">
        <v>947</v>
      </c>
      <c r="F214" s="10" t="s">
        <v>948</v>
      </c>
      <c r="G214" s="12" t="s">
        <v>496</v>
      </c>
      <c r="H214" s="13" t="n">
        <v>-0.45</v>
      </c>
      <c r="I214" s="14" t="s">
        <v>96</v>
      </c>
      <c r="J214" s="15" t="s">
        <v>397</v>
      </c>
      <c r="K214" s="9" t="n">
        <v>4</v>
      </c>
      <c r="L214" s="17"/>
      <c r="M214" s="16" t="s">
        <v>53</v>
      </c>
      <c r="N214" s="14"/>
      <c r="O214" s="17" t="s">
        <v>97</v>
      </c>
      <c r="P214" s="15" t="s">
        <v>690</v>
      </c>
      <c r="Q214" s="17"/>
      <c r="R214" s="18" t="s">
        <v>53</v>
      </c>
      <c r="S214" s="19"/>
      <c r="T214" s="15" t="str">
        <f aca="false">IF(R214="維持",J214,IF(R214="排除","無關新聞事件",IFERROR(INDEX(事件規則!$B$2:$B$53,MATCH(S214,事件規則!$A$2:$A$53,0)),"")))</f>
        <v>無關新聞事件</v>
      </c>
      <c r="U214" s="20" t="n">
        <f aca="false">IF(R214="維持",K214,IF(R214="排除",0,IFERROR(INDEX(事件規則!$C$2:$C$53,MATCH(S214,事件規則!$A$2:$A$53,0)),"")))</f>
        <v>0</v>
      </c>
      <c r="V214" s="21"/>
      <c r="W214" s="22"/>
      <c r="X214" s="10" t="str">
        <f aca="false">IF(AND(R214="修改",S214=""),"請選新事件代碼",IF(AND(R214&lt;&gt;"修改",S214&lt;&gt;""),"只有「修改」才需填代碼",""))</f>
        <v/>
      </c>
      <c r="Y214" s="21"/>
      <c r="Z214" s="22"/>
      <c r="AA214" s="12" t="s">
        <v>949</v>
      </c>
      <c r="AB214" s="12"/>
    </row>
    <row r="215" customFormat="false" ht="55.2" hidden="false" customHeight="false" outlineLevel="0" collapsed="false">
      <c r="A215" s="17" t="n">
        <v>214</v>
      </c>
      <c r="B215" s="9" t="s">
        <v>186</v>
      </c>
      <c r="C215" s="9" t="s">
        <v>920</v>
      </c>
      <c r="D215" s="10" t="s">
        <v>921</v>
      </c>
      <c r="E215" s="11" t="s">
        <v>950</v>
      </c>
      <c r="F215" s="15" t="s">
        <v>951</v>
      </c>
      <c r="G215" s="12" t="s">
        <v>416</v>
      </c>
      <c r="H215" s="13" t="n">
        <v>-0.892</v>
      </c>
      <c r="I215" s="14" t="s">
        <v>96</v>
      </c>
      <c r="J215" s="15" t="s">
        <v>397</v>
      </c>
      <c r="K215" s="9" t="n">
        <v>4</v>
      </c>
      <c r="L215" s="17"/>
      <c r="M215" s="16" t="s">
        <v>105</v>
      </c>
      <c r="N215" s="14"/>
      <c r="O215" s="17" t="s">
        <v>97</v>
      </c>
      <c r="P215" s="10" t="s">
        <v>924</v>
      </c>
      <c r="Q215" s="17"/>
      <c r="R215" s="18" t="s">
        <v>105</v>
      </c>
      <c r="S215" s="19"/>
      <c r="T215" s="15" t="str">
        <f aca="false">IF(R215="維持",J215,IF(R215="排除","無關新聞事件",IFERROR(INDEX(事件規則!$B$2:$B$53,MATCH(S215,事件規則!$A$2:$A$53,0)),"")))</f>
        <v>重大訴訟</v>
      </c>
      <c r="U215" s="20" t="n">
        <f aca="false">IF(R215="維持",K215,IF(R215="排除",0,IFERROR(INDEX(事件規則!$C$2:$C$53,MATCH(S215,事件規則!$A$2:$A$53,0)),"")))</f>
        <v>4</v>
      </c>
      <c r="V215" s="21"/>
      <c r="W215" s="22"/>
      <c r="X215" s="10" t="str">
        <f aca="false">IF(AND(R215="修改",S215=""),"請選新事件代碼",IF(AND(R215&lt;&gt;"修改",S215&lt;&gt;""),"只有「修改」才需填代碼",""))</f>
        <v/>
      </c>
      <c r="Y215" s="21"/>
      <c r="Z215" s="22"/>
      <c r="AA215" s="12" t="s">
        <v>952</v>
      </c>
      <c r="AB215" s="12"/>
    </row>
    <row r="216" customFormat="false" ht="29.85" hidden="false" customHeight="false" outlineLevel="0" collapsed="false">
      <c r="A216" s="17" t="n">
        <v>215</v>
      </c>
      <c r="B216" s="9" t="s">
        <v>186</v>
      </c>
      <c r="C216" s="9" t="s">
        <v>260</v>
      </c>
      <c r="D216" s="10" t="s">
        <v>261</v>
      </c>
      <c r="E216" s="11" t="s">
        <v>953</v>
      </c>
      <c r="F216" s="15" t="s">
        <v>954</v>
      </c>
      <c r="G216" s="12" t="s">
        <v>955</v>
      </c>
      <c r="H216" s="13" t="n">
        <v>-0.117</v>
      </c>
      <c r="I216" s="14" t="s">
        <v>96</v>
      </c>
      <c r="J216" s="15" t="s">
        <v>397</v>
      </c>
      <c r="K216" s="9" t="n">
        <v>4</v>
      </c>
      <c r="L216" s="17"/>
      <c r="M216" s="16" t="s">
        <v>53</v>
      </c>
      <c r="N216" s="14"/>
      <c r="O216" s="17" t="s">
        <v>97</v>
      </c>
      <c r="P216" s="15" t="s">
        <v>264</v>
      </c>
      <c r="Q216" s="17"/>
      <c r="R216" s="18" t="s">
        <v>53</v>
      </c>
      <c r="S216" s="19"/>
      <c r="T216" s="15" t="str">
        <f aca="false">IF(R216="維持",J216,IF(R216="排除","無關新聞事件",IFERROR(INDEX(事件規則!$B$2:$B$53,MATCH(S216,事件規則!$A$2:$A$53,0)),"")))</f>
        <v>無關新聞事件</v>
      </c>
      <c r="U216" s="20" t="n">
        <f aca="false">IF(R216="維持",K216,IF(R216="排除",0,IFERROR(INDEX(事件規則!$C$2:$C$53,MATCH(S216,事件規則!$A$2:$A$53,0)),"")))</f>
        <v>0</v>
      </c>
      <c r="V216" s="21"/>
      <c r="W216" s="22"/>
      <c r="X216" s="10" t="str">
        <f aca="false">IF(AND(R216="修改",S216=""),"請選新事件代碼",IF(AND(R216&lt;&gt;"修改",S216&lt;&gt;""),"只有「修改」才需填代碼",""))</f>
        <v/>
      </c>
      <c r="Y216" s="21"/>
      <c r="Z216" s="22"/>
      <c r="AA216" s="12" t="s">
        <v>956</v>
      </c>
      <c r="AB216" s="12"/>
    </row>
    <row r="217" customFormat="false" ht="44" hidden="false" customHeight="false" outlineLevel="0" collapsed="false">
      <c r="A217" s="17" t="n">
        <v>216</v>
      </c>
      <c r="B217" s="9" t="s">
        <v>391</v>
      </c>
      <c r="C217" s="9" t="s">
        <v>150</v>
      </c>
      <c r="D217" s="10" t="s">
        <v>151</v>
      </c>
      <c r="E217" s="11" t="s">
        <v>957</v>
      </c>
      <c r="F217" s="15" t="s">
        <v>958</v>
      </c>
      <c r="G217" s="12" t="s">
        <v>959</v>
      </c>
      <c r="H217" s="13" t="n">
        <v>-0.703</v>
      </c>
      <c r="I217" s="14" t="s">
        <v>960</v>
      </c>
      <c r="J217" s="15" t="s">
        <v>961</v>
      </c>
      <c r="K217" s="9" t="n">
        <v>4</v>
      </c>
      <c r="L217" s="17"/>
      <c r="M217" s="16" t="s">
        <v>53</v>
      </c>
      <c r="N217" s="14"/>
      <c r="O217" s="17" t="s">
        <v>97</v>
      </c>
      <c r="P217" s="10" t="s">
        <v>962</v>
      </c>
      <c r="Q217" s="17"/>
      <c r="R217" s="18" t="s">
        <v>53</v>
      </c>
      <c r="S217" s="19"/>
      <c r="T217" s="15" t="str">
        <f aca="false">IF(R217="維持",J217,IF(R217="排除","無關新聞事件",IFERROR(INDEX(事件規則!$B$2:$B$53,MATCH(S217,事件規則!$A$2:$A$53,0)),"")))</f>
        <v>無關新聞事件</v>
      </c>
      <c r="U217" s="20" t="n">
        <f aca="false">IF(R217="維持",K217,IF(R217="排除",0,IFERROR(INDEX(事件規則!$C$2:$C$53,MATCH(S217,事件規則!$A$2:$A$53,0)),"")))</f>
        <v>0</v>
      </c>
      <c r="V217" s="21"/>
      <c r="W217" s="22"/>
      <c r="X217" s="10" t="str">
        <f aca="false">IF(AND(R217="修改",S217=""),"請選新事件代碼",IF(AND(R217&lt;&gt;"修改",S217&lt;&gt;""),"只有「修改」才需填代碼",""))</f>
        <v/>
      </c>
      <c r="Y217" s="21"/>
      <c r="Z217" s="22"/>
      <c r="AA217" s="12" t="s">
        <v>963</v>
      </c>
      <c r="AB217" s="12"/>
    </row>
    <row r="218" customFormat="false" ht="38.05" hidden="false" customHeight="false" outlineLevel="0" collapsed="false">
      <c r="A218" s="17" t="n">
        <v>217</v>
      </c>
      <c r="B218" s="9" t="s">
        <v>67</v>
      </c>
      <c r="C218" s="9" t="s">
        <v>964</v>
      </c>
      <c r="D218" s="10" t="s">
        <v>965</v>
      </c>
      <c r="E218" s="11" t="s">
        <v>966</v>
      </c>
      <c r="F218" s="10" t="s">
        <v>967</v>
      </c>
      <c r="G218" s="12" t="s">
        <v>319</v>
      </c>
      <c r="H218" s="13" t="n">
        <v>0.019</v>
      </c>
      <c r="I218" s="14" t="s">
        <v>960</v>
      </c>
      <c r="J218" s="15" t="s">
        <v>961</v>
      </c>
      <c r="K218" s="9" t="n">
        <v>4</v>
      </c>
      <c r="L218" s="17"/>
      <c r="M218" s="16" t="s">
        <v>53</v>
      </c>
      <c r="N218" s="14"/>
      <c r="O218" s="17" t="s">
        <v>54</v>
      </c>
      <c r="P218" s="15" t="s">
        <v>968</v>
      </c>
      <c r="Q218" s="17"/>
      <c r="R218" s="18" t="s">
        <v>53</v>
      </c>
      <c r="S218" s="19"/>
      <c r="T218" s="15" t="str">
        <f aca="false">IF(R218="維持",J218,IF(R218="排除","無關新聞事件",IFERROR(INDEX(事件規則!$B$2:$B$53,MATCH(S218,事件規則!$A$2:$A$53,0)),"")))</f>
        <v>無關新聞事件</v>
      </c>
      <c r="U218" s="20" t="n">
        <f aca="false">IF(R218="維持",K218,IF(R218="排除",0,IFERROR(INDEX(事件規則!$C$2:$C$53,MATCH(S218,事件規則!$A$2:$A$53,0)),"")))</f>
        <v>0</v>
      </c>
      <c r="V218" s="21"/>
      <c r="W218" s="22"/>
      <c r="X218" s="10" t="str">
        <f aca="false">IF(AND(R218="修改",S218=""),"請選新事件代碼",IF(AND(R218&lt;&gt;"修改",S218&lt;&gt;""),"只有「修改」才需填代碼",""))</f>
        <v/>
      </c>
      <c r="Y218" s="21"/>
      <c r="Z218" s="22"/>
      <c r="AA218" s="12" t="s">
        <v>969</v>
      </c>
      <c r="AB218" s="12"/>
    </row>
    <row r="219" customFormat="false" ht="38.05" hidden="false" customHeight="false" outlineLevel="0" collapsed="false">
      <c r="A219" s="17" t="n">
        <v>218</v>
      </c>
      <c r="B219" s="9" t="s">
        <v>67</v>
      </c>
      <c r="C219" s="9" t="s">
        <v>970</v>
      </c>
      <c r="D219" s="10" t="s">
        <v>971</v>
      </c>
      <c r="E219" s="11" t="s">
        <v>966</v>
      </c>
      <c r="F219" s="10" t="s">
        <v>967</v>
      </c>
      <c r="G219" s="12" t="s">
        <v>319</v>
      </c>
      <c r="H219" s="13" t="n">
        <v>0.019</v>
      </c>
      <c r="I219" s="14" t="s">
        <v>960</v>
      </c>
      <c r="J219" s="15" t="s">
        <v>961</v>
      </c>
      <c r="K219" s="9" t="n">
        <v>4</v>
      </c>
      <c r="L219" s="17"/>
      <c r="M219" s="16" t="s">
        <v>53</v>
      </c>
      <c r="N219" s="14"/>
      <c r="O219" s="17" t="s">
        <v>54</v>
      </c>
      <c r="P219" s="15" t="s">
        <v>968</v>
      </c>
      <c r="Q219" s="17"/>
      <c r="R219" s="18" t="s">
        <v>53</v>
      </c>
      <c r="S219" s="19"/>
      <c r="T219" s="15" t="str">
        <f aca="false">IF(R219="維持",J219,IF(R219="排除","無關新聞事件",IFERROR(INDEX(事件規則!$B$2:$B$53,MATCH(S219,事件規則!$A$2:$A$53,0)),"")))</f>
        <v>無關新聞事件</v>
      </c>
      <c r="U219" s="20" t="n">
        <f aca="false">IF(R219="維持",K219,IF(R219="排除",0,IFERROR(INDEX(事件規則!$C$2:$C$53,MATCH(S219,事件規則!$A$2:$A$53,0)),"")))</f>
        <v>0</v>
      </c>
      <c r="V219" s="21"/>
      <c r="W219" s="22"/>
      <c r="X219" s="10" t="str">
        <f aca="false">IF(AND(R219="修改",S219=""),"請選新事件代碼",IF(AND(R219&lt;&gt;"修改",S219&lt;&gt;""),"只有「修改」才需填代碼",""))</f>
        <v/>
      </c>
      <c r="Y219" s="21"/>
      <c r="Z219" s="22"/>
      <c r="AA219" s="12" t="s">
        <v>972</v>
      </c>
      <c r="AB219" s="12"/>
    </row>
    <row r="220" customFormat="false" ht="29.85" hidden="false" customHeight="false" outlineLevel="0" collapsed="false">
      <c r="A220" s="17" t="n">
        <v>219</v>
      </c>
      <c r="B220" s="9" t="s">
        <v>656</v>
      </c>
      <c r="C220" s="9" t="s">
        <v>973</v>
      </c>
      <c r="D220" s="10" t="s">
        <v>974</v>
      </c>
      <c r="E220" s="11" t="s">
        <v>975</v>
      </c>
      <c r="F220" s="15"/>
      <c r="G220" s="12" t="s">
        <v>976</v>
      </c>
      <c r="H220" s="13" t="n">
        <v>-0.894</v>
      </c>
      <c r="I220" s="14" t="s">
        <v>960</v>
      </c>
      <c r="J220" s="15" t="s">
        <v>961</v>
      </c>
      <c r="K220" s="9" t="n">
        <v>4</v>
      </c>
      <c r="L220" s="17"/>
      <c r="M220" s="16" t="s">
        <v>53</v>
      </c>
      <c r="N220" s="14"/>
      <c r="O220" s="17" t="s">
        <v>54</v>
      </c>
      <c r="P220" s="10" t="s">
        <v>977</v>
      </c>
      <c r="Q220" s="17"/>
      <c r="R220" s="18" t="s">
        <v>53</v>
      </c>
      <c r="S220" s="19"/>
      <c r="T220" s="15" t="str">
        <f aca="false">IF(R220="維持",J220,IF(R220="排除","無關新聞事件",IFERROR(INDEX(事件規則!$B$2:$B$53,MATCH(S220,事件規則!$A$2:$A$53,0)),"")))</f>
        <v>無關新聞事件</v>
      </c>
      <c r="U220" s="20" t="n">
        <f aca="false">IF(R220="維持",K220,IF(R220="排除",0,IFERROR(INDEX(事件規則!$C$2:$C$53,MATCH(S220,事件規則!$A$2:$A$53,0)),"")))</f>
        <v>0</v>
      </c>
      <c r="V220" s="21"/>
      <c r="W220" s="22"/>
      <c r="X220" s="10" t="str">
        <f aca="false">IF(AND(R220="修改",S220=""),"請選新事件代碼",IF(AND(R220&lt;&gt;"修改",S220&lt;&gt;""),"只有「修改」才需填代碼",""))</f>
        <v/>
      </c>
      <c r="Y220" s="21"/>
      <c r="Z220" s="22"/>
      <c r="AA220" s="12" t="s">
        <v>978</v>
      </c>
      <c r="AB220" s="12"/>
    </row>
    <row r="221" customFormat="false" ht="29.85" hidden="false" customHeight="false" outlineLevel="0" collapsed="false">
      <c r="A221" s="17" t="n">
        <v>220</v>
      </c>
      <c r="B221" s="9" t="s">
        <v>656</v>
      </c>
      <c r="C221" s="17"/>
      <c r="D221" s="10" t="s">
        <v>979</v>
      </c>
      <c r="E221" s="23" t="s">
        <v>980</v>
      </c>
      <c r="F221" s="15"/>
      <c r="G221" s="12" t="s">
        <v>319</v>
      </c>
      <c r="H221" s="13"/>
      <c r="I221" s="14" t="s">
        <v>960</v>
      </c>
      <c r="J221" s="15" t="s">
        <v>961</v>
      </c>
      <c r="K221" s="9" t="n">
        <v>4</v>
      </c>
      <c r="L221" s="17" t="s">
        <v>320</v>
      </c>
      <c r="M221" s="16" t="s">
        <v>53</v>
      </c>
      <c r="N221" s="14"/>
      <c r="O221" s="17" t="s">
        <v>97</v>
      </c>
      <c r="P221" s="10" t="s">
        <v>981</v>
      </c>
      <c r="Q221" s="17"/>
      <c r="R221" s="18" t="s">
        <v>53</v>
      </c>
      <c r="S221" s="19"/>
      <c r="T221" s="15" t="str">
        <f aca="false">IF(R221="維持",J221,IF(R221="排除","無關新聞事件",IFERROR(INDEX(事件規則!$B$2:$B$53,MATCH(S221,事件規則!$A$2:$A$53,0)),"")))</f>
        <v>無關新聞事件</v>
      </c>
      <c r="U221" s="20" t="n">
        <f aca="false">IF(R221="維持",K221,IF(R221="排除",0,IFERROR(INDEX(事件規則!$C$2:$C$53,MATCH(S221,事件規則!$A$2:$A$53,0)),"")))</f>
        <v>0</v>
      </c>
      <c r="V221" s="21"/>
      <c r="W221" s="22"/>
      <c r="X221" s="10" t="str">
        <f aca="false">IF(AND(R221="修改",S221=""),"請選新事件代碼",IF(AND(R221&lt;&gt;"修改",S221&lt;&gt;""),"只有「修改」才需填代碼",""))</f>
        <v/>
      </c>
      <c r="Y221" s="21"/>
      <c r="Z221" s="22"/>
      <c r="AA221" s="12" t="s">
        <v>982</v>
      </c>
      <c r="AB221" s="12"/>
    </row>
    <row r="222" customFormat="false" ht="23.85" hidden="false" customHeight="false" outlineLevel="0" collapsed="false">
      <c r="A222" s="17" t="n">
        <v>221</v>
      </c>
      <c r="B222" s="9" t="s">
        <v>983</v>
      </c>
      <c r="C222" s="17"/>
      <c r="D222" s="10" t="s">
        <v>984</v>
      </c>
      <c r="E222" s="11" t="s">
        <v>985</v>
      </c>
      <c r="F222" s="15"/>
      <c r="G222" s="12" t="s">
        <v>319</v>
      </c>
      <c r="H222" s="13"/>
      <c r="I222" s="14" t="s">
        <v>960</v>
      </c>
      <c r="J222" s="15" t="s">
        <v>961</v>
      </c>
      <c r="K222" s="9" t="n">
        <v>4</v>
      </c>
      <c r="L222" s="17" t="s">
        <v>320</v>
      </c>
      <c r="M222" s="16" t="s">
        <v>53</v>
      </c>
      <c r="N222" s="14"/>
      <c r="O222" s="17" t="s">
        <v>97</v>
      </c>
      <c r="P222" s="10" t="s">
        <v>986</v>
      </c>
      <c r="Q222" s="17"/>
      <c r="R222" s="18" t="s">
        <v>53</v>
      </c>
      <c r="S222" s="19"/>
      <c r="T222" s="15" t="str">
        <f aca="false">IF(R222="維持",J222,IF(R222="排除","無關新聞事件",IFERROR(INDEX(事件規則!$B$2:$B$53,MATCH(S222,事件規則!$A$2:$A$53,0)),"")))</f>
        <v>無關新聞事件</v>
      </c>
      <c r="U222" s="20" t="n">
        <f aca="false">IF(R222="維持",K222,IF(R222="排除",0,IFERROR(INDEX(事件規則!$C$2:$C$53,MATCH(S222,事件規則!$A$2:$A$53,0)),"")))</f>
        <v>0</v>
      </c>
      <c r="V222" s="21"/>
      <c r="W222" s="22"/>
      <c r="X222" s="10" t="str">
        <f aca="false">IF(AND(R222="修改",S222=""),"請選新事件代碼",IF(AND(R222&lt;&gt;"修改",S222&lt;&gt;""),"只有「修改」才需填代碼",""))</f>
        <v/>
      </c>
      <c r="Y222" s="21"/>
      <c r="Z222" s="22"/>
      <c r="AA222" s="12" t="s">
        <v>987</v>
      </c>
      <c r="AB222" s="12"/>
    </row>
    <row r="223" customFormat="false" ht="29.85" hidden="false" customHeight="false" outlineLevel="0" collapsed="false">
      <c r="A223" s="17" t="n">
        <v>222</v>
      </c>
      <c r="B223" s="9" t="s">
        <v>988</v>
      </c>
      <c r="C223" s="9" t="s">
        <v>231</v>
      </c>
      <c r="D223" s="10" t="s">
        <v>232</v>
      </c>
      <c r="E223" s="11" t="s">
        <v>989</v>
      </c>
      <c r="F223" s="15"/>
      <c r="G223" s="12" t="s">
        <v>251</v>
      </c>
      <c r="H223" s="13" t="n">
        <v>-0.609</v>
      </c>
      <c r="I223" s="14" t="s">
        <v>960</v>
      </c>
      <c r="J223" s="15" t="s">
        <v>961</v>
      </c>
      <c r="K223" s="9" t="n">
        <v>4</v>
      </c>
      <c r="L223" s="17"/>
      <c r="M223" s="16" t="s">
        <v>105</v>
      </c>
      <c r="N223" s="14"/>
      <c r="O223" s="17" t="s">
        <v>292</v>
      </c>
      <c r="P223" s="10" t="s">
        <v>990</v>
      </c>
      <c r="Q223" s="17" t="s">
        <v>169</v>
      </c>
      <c r="R223" s="18" t="s">
        <v>105</v>
      </c>
      <c r="S223" s="19"/>
      <c r="T223" s="15" t="str">
        <f aca="false">IF(R223="維持",J223,IF(R223="排除","無關新聞事件",IFERROR(INDEX(事件規則!$B$2:$B$53,MATCH(S223,事件規則!$A$2:$A$53,0)),"")))</f>
        <v>監管調查</v>
      </c>
      <c r="U223" s="20" t="n">
        <f aca="false">IF(R223="維持",K223,IF(R223="排除",0,IFERROR(INDEX(事件規則!$C$2:$C$53,MATCH(S223,事件規則!$A$2:$A$53,0)),"")))</f>
        <v>4</v>
      </c>
      <c r="V223" s="21"/>
      <c r="W223" s="22"/>
      <c r="X223" s="10" t="str">
        <f aca="false">IF(AND(R223="修改",S223=""),"請選新事件代碼",IF(AND(R223&lt;&gt;"修改",S223&lt;&gt;""),"只有「修改」才需填代碼",""))</f>
        <v/>
      </c>
      <c r="Y223" s="21"/>
      <c r="Z223" s="22"/>
      <c r="AA223" s="12" t="s">
        <v>991</v>
      </c>
      <c r="AB223" s="12"/>
    </row>
    <row r="224" customFormat="false" ht="23.85" hidden="false" customHeight="false" outlineLevel="0" collapsed="false">
      <c r="A224" s="17" t="n">
        <v>223</v>
      </c>
      <c r="B224" s="9" t="s">
        <v>219</v>
      </c>
      <c r="C224" s="9" t="s">
        <v>150</v>
      </c>
      <c r="D224" s="10" t="s">
        <v>151</v>
      </c>
      <c r="E224" s="11" t="s">
        <v>992</v>
      </c>
      <c r="F224" s="15"/>
      <c r="G224" s="12" t="s">
        <v>993</v>
      </c>
      <c r="H224" s="13" t="n">
        <v>-0.868</v>
      </c>
      <c r="I224" s="14" t="s">
        <v>960</v>
      </c>
      <c r="J224" s="15" t="s">
        <v>961</v>
      </c>
      <c r="K224" s="9" t="n">
        <v>4</v>
      </c>
      <c r="L224" s="17"/>
      <c r="M224" s="16" t="s">
        <v>105</v>
      </c>
      <c r="N224" s="14"/>
      <c r="O224" s="17" t="s">
        <v>54</v>
      </c>
      <c r="P224" s="10" t="s">
        <v>994</v>
      </c>
      <c r="Q224" s="17"/>
      <c r="R224" s="18" t="s">
        <v>105</v>
      </c>
      <c r="S224" s="19"/>
      <c r="T224" s="15" t="str">
        <f aca="false">IF(R224="維持",J224,IF(R224="排除","無關新聞事件",IFERROR(INDEX(事件規則!$B$2:$B$53,MATCH(S224,事件規則!$A$2:$A$53,0)),"")))</f>
        <v>監管調查</v>
      </c>
      <c r="U224" s="20" t="n">
        <f aca="false">IF(R224="維持",K224,IF(R224="排除",0,IFERROR(INDEX(事件規則!$C$2:$C$53,MATCH(S224,事件規則!$A$2:$A$53,0)),"")))</f>
        <v>4</v>
      </c>
      <c r="V224" s="21"/>
      <c r="W224" s="22"/>
      <c r="X224" s="10" t="str">
        <f aca="false">IF(AND(R224="修改",S224=""),"請選新事件代碼",IF(AND(R224&lt;&gt;"修改",S224&lt;&gt;""),"只有「修改」才需填代碼",""))</f>
        <v/>
      </c>
      <c r="Y224" s="21"/>
      <c r="Z224" s="22"/>
      <c r="AA224" s="12" t="s">
        <v>995</v>
      </c>
      <c r="AB224" s="12"/>
    </row>
    <row r="225" customFormat="false" ht="23.85" hidden="false" customHeight="false" outlineLevel="0" collapsed="false">
      <c r="A225" s="17" t="n">
        <v>224</v>
      </c>
      <c r="B225" s="9" t="s">
        <v>219</v>
      </c>
      <c r="C225" s="9" t="s">
        <v>150</v>
      </c>
      <c r="D225" s="10" t="s">
        <v>151</v>
      </c>
      <c r="E225" s="11" t="s">
        <v>996</v>
      </c>
      <c r="F225" s="15"/>
      <c r="G225" s="12" t="s">
        <v>167</v>
      </c>
      <c r="H225" s="13" t="n">
        <v>-0.937</v>
      </c>
      <c r="I225" s="14" t="s">
        <v>960</v>
      </c>
      <c r="J225" s="15" t="s">
        <v>961</v>
      </c>
      <c r="K225" s="9" t="n">
        <v>4</v>
      </c>
      <c r="L225" s="17"/>
      <c r="M225" s="16" t="s">
        <v>105</v>
      </c>
      <c r="N225" s="14"/>
      <c r="O225" s="17" t="s">
        <v>54</v>
      </c>
      <c r="P225" s="10" t="s">
        <v>994</v>
      </c>
      <c r="Q225" s="17"/>
      <c r="R225" s="18" t="s">
        <v>105</v>
      </c>
      <c r="S225" s="19"/>
      <c r="T225" s="15" t="str">
        <f aca="false">IF(R225="維持",J225,IF(R225="排除","無關新聞事件",IFERROR(INDEX(事件規則!$B$2:$B$53,MATCH(S225,事件規則!$A$2:$A$53,0)),"")))</f>
        <v>監管調查</v>
      </c>
      <c r="U225" s="20" t="n">
        <f aca="false">IF(R225="維持",K225,IF(R225="排除",0,IFERROR(INDEX(事件規則!$C$2:$C$53,MATCH(S225,事件規則!$A$2:$A$53,0)),"")))</f>
        <v>4</v>
      </c>
      <c r="V225" s="21"/>
      <c r="W225" s="22"/>
      <c r="X225" s="10" t="str">
        <f aca="false">IF(AND(R225="修改",S225=""),"請選新事件代碼",IF(AND(R225&lt;&gt;"修改",S225&lt;&gt;""),"只有「修改」才需填代碼",""))</f>
        <v/>
      </c>
      <c r="Y225" s="21"/>
      <c r="Z225" s="22"/>
      <c r="AA225" s="12" t="s">
        <v>997</v>
      </c>
      <c r="AB225" s="12"/>
    </row>
    <row r="226" customFormat="false" ht="23.85" hidden="false" customHeight="false" outlineLevel="0" collapsed="false">
      <c r="A226" s="17" t="n">
        <v>225</v>
      </c>
      <c r="B226" s="9" t="s">
        <v>219</v>
      </c>
      <c r="C226" s="9" t="s">
        <v>150</v>
      </c>
      <c r="D226" s="10" t="s">
        <v>151</v>
      </c>
      <c r="E226" s="11" t="s">
        <v>998</v>
      </c>
      <c r="F226" s="15"/>
      <c r="G226" s="12" t="s">
        <v>167</v>
      </c>
      <c r="H226" s="13" t="n">
        <v>0.008</v>
      </c>
      <c r="I226" s="14" t="s">
        <v>960</v>
      </c>
      <c r="J226" s="15" t="s">
        <v>961</v>
      </c>
      <c r="K226" s="9" t="n">
        <v>4</v>
      </c>
      <c r="L226" s="17"/>
      <c r="M226" s="16" t="s">
        <v>105</v>
      </c>
      <c r="N226" s="14"/>
      <c r="O226" s="17" t="s">
        <v>54</v>
      </c>
      <c r="P226" s="10" t="s">
        <v>994</v>
      </c>
      <c r="Q226" s="17"/>
      <c r="R226" s="18" t="s">
        <v>105</v>
      </c>
      <c r="S226" s="19"/>
      <c r="T226" s="15" t="str">
        <f aca="false">IF(R226="維持",J226,IF(R226="排除","無關新聞事件",IFERROR(INDEX(事件規則!$B$2:$B$53,MATCH(S226,事件規則!$A$2:$A$53,0)),"")))</f>
        <v>監管調查</v>
      </c>
      <c r="U226" s="20" t="n">
        <f aca="false">IF(R226="維持",K226,IF(R226="排除",0,IFERROR(INDEX(事件規則!$C$2:$C$53,MATCH(S226,事件規則!$A$2:$A$53,0)),"")))</f>
        <v>4</v>
      </c>
      <c r="V226" s="21"/>
      <c r="W226" s="22"/>
      <c r="X226" s="10" t="str">
        <f aca="false">IF(AND(R226="修改",S226=""),"請選新事件代碼",IF(AND(R226&lt;&gt;"修改",S226&lt;&gt;""),"只有「修改」才需填代碼",""))</f>
        <v/>
      </c>
      <c r="Y226" s="21"/>
      <c r="Z226" s="22"/>
      <c r="AA226" s="12" t="s">
        <v>999</v>
      </c>
      <c r="AB226" s="12"/>
    </row>
    <row r="227" customFormat="false" ht="23.85" hidden="false" customHeight="false" outlineLevel="0" collapsed="false">
      <c r="A227" s="17" t="n">
        <v>226</v>
      </c>
      <c r="B227" s="9" t="s">
        <v>219</v>
      </c>
      <c r="C227" s="9" t="s">
        <v>150</v>
      </c>
      <c r="D227" s="10" t="s">
        <v>151</v>
      </c>
      <c r="E227" s="11" t="s">
        <v>1000</v>
      </c>
      <c r="F227" s="15"/>
      <c r="G227" s="12" t="s">
        <v>1001</v>
      </c>
      <c r="H227" s="13" t="n">
        <v>-0.951</v>
      </c>
      <c r="I227" s="14" t="s">
        <v>960</v>
      </c>
      <c r="J227" s="15" t="s">
        <v>961</v>
      </c>
      <c r="K227" s="9" t="n">
        <v>4</v>
      </c>
      <c r="L227" s="17"/>
      <c r="M227" s="16" t="s">
        <v>105</v>
      </c>
      <c r="N227" s="14"/>
      <c r="O227" s="17" t="s">
        <v>54</v>
      </c>
      <c r="P227" s="10" t="s">
        <v>994</v>
      </c>
      <c r="Q227" s="17"/>
      <c r="R227" s="18" t="s">
        <v>105</v>
      </c>
      <c r="S227" s="19"/>
      <c r="T227" s="15" t="str">
        <f aca="false">IF(R227="維持",J227,IF(R227="排除","無關新聞事件",IFERROR(INDEX(事件規則!$B$2:$B$53,MATCH(S227,事件規則!$A$2:$A$53,0)),"")))</f>
        <v>監管調查</v>
      </c>
      <c r="U227" s="20" t="n">
        <f aca="false">IF(R227="維持",K227,IF(R227="排除",0,IFERROR(INDEX(事件規則!$C$2:$C$53,MATCH(S227,事件規則!$A$2:$A$53,0)),"")))</f>
        <v>4</v>
      </c>
      <c r="V227" s="21"/>
      <c r="W227" s="22"/>
      <c r="X227" s="10" t="str">
        <f aca="false">IF(AND(R227="修改",S227=""),"請選新事件代碼",IF(AND(R227&lt;&gt;"修改",S227&lt;&gt;""),"只有「修改」才需填代碼",""))</f>
        <v/>
      </c>
      <c r="Y227" s="21"/>
      <c r="Z227" s="22"/>
      <c r="AA227" s="12" t="s">
        <v>1002</v>
      </c>
      <c r="AB227" s="12"/>
    </row>
    <row r="228" customFormat="false" ht="23.85" hidden="false" customHeight="false" outlineLevel="0" collapsed="false">
      <c r="A228" s="17" t="n">
        <v>227</v>
      </c>
      <c r="B228" s="9" t="s">
        <v>219</v>
      </c>
      <c r="C228" s="9" t="s">
        <v>150</v>
      </c>
      <c r="D228" s="10" t="s">
        <v>151</v>
      </c>
      <c r="E228" s="11" t="s">
        <v>1003</v>
      </c>
      <c r="F228" s="15"/>
      <c r="G228" s="12" t="s">
        <v>1004</v>
      </c>
      <c r="H228" s="13" t="n">
        <v>-0.929</v>
      </c>
      <c r="I228" s="14" t="s">
        <v>960</v>
      </c>
      <c r="J228" s="15" t="s">
        <v>961</v>
      </c>
      <c r="K228" s="9" t="n">
        <v>4</v>
      </c>
      <c r="L228" s="17"/>
      <c r="M228" s="16" t="s">
        <v>105</v>
      </c>
      <c r="N228" s="14"/>
      <c r="O228" s="17" t="s">
        <v>54</v>
      </c>
      <c r="P228" s="10" t="s">
        <v>994</v>
      </c>
      <c r="Q228" s="17"/>
      <c r="R228" s="18" t="s">
        <v>105</v>
      </c>
      <c r="S228" s="19"/>
      <c r="T228" s="15" t="str">
        <f aca="false">IF(R228="維持",J228,IF(R228="排除","無關新聞事件",IFERROR(INDEX(事件規則!$B$2:$B$53,MATCH(S228,事件規則!$A$2:$A$53,0)),"")))</f>
        <v>監管調查</v>
      </c>
      <c r="U228" s="20" t="n">
        <f aca="false">IF(R228="維持",K228,IF(R228="排除",0,IFERROR(INDEX(事件規則!$C$2:$C$53,MATCH(S228,事件規則!$A$2:$A$53,0)),"")))</f>
        <v>4</v>
      </c>
      <c r="V228" s="21"/>
      <c r="W228" s="22"/>
      <c r="X228" s="10" t="str">
        <f aca="false">IF(AND(R228="修改",S228=""),"請選新事件代碼",IF(AND(R228&lt;&gt;"修改",S228&lt;&gt;""),"只有「修改」才需填代碼",""))</f>
        <v/>
      </c>
      <c r="Y228" s="21"/>
      <c r="Z228" s="22"/>
      <c r="AA228" s="12" t="s">
        <v>1005</v>
      </c>
      <c r="AB228" s="12"/>
    </row>
    <row r="229" customFormat="false" ht="23.85" hidden="false" customHeight="false" outlineLevel="0" collapsed="false">
      <c r="A229" s="17" t="n">
        <v>228</v>
      </c>
      <c r="B229" s="9" t="s">
        <v>219</v>
      </c>
      <c r="C229" s="9" t="s">
        <v>150</v>
      </c>
      <c r="D229" s="10" t="s">
        <v>151</v>
      </c>
      <c r="E229" s="11" t="s">
        <v>1006</v>
      </c>
      <c r="F229" s="15"/>
      <c r="G229" s="12" t="s">
        <v>1007</v>
      </c>
      <c r="H229" s="13" t="n">
        <v>-0.937</v>
      </c>
      <c r="I229" s="14" t="s">
        <v>960</v>
      </c>
      <c r="J229" s="15" t="s">
        <v>961</v>
      </c>
      <c r="K229" s="9" t="n">
        <v>4</v>
      </c>
      <c r="L229" s="17"/>
      <c r="M229" s="16" t="s">
        <v>105</v>
      </c>
      <c r="N229" s="14"/>
      <c r="O229" s="17" t="s">
        <v>54</v>
      </c>
      <c r="P229" s="10" t="s">
        <v>994</v>
      </c>
      <c r="Q229" s="17"/>
      <c r="R229" s="18" t="s">
        <v>105</v>
      </c>
      <c r="S229" s="19"/>
      <c r="T229" s="15" t="str">
        <f aca="false">IF(R229="維持",J229,IF(R229="排除","無關新聞事件",IFERROR(INDEX(事件規則!$B$2:$B$53,MATCH(S229,事件規則!$A$2:$A$53,0)),"")))</f>
        <v>監管調查</v>
      </c>
      <c r="U229" s="20" t="n">
        <f aca="false">IF(R229="維持",K229,IF(R229="排除",0,IFERROR(INDEX(事件規則!$C$2:$C$53,MATCH(S229,事件規則!$A$2:$A$53,0)),"")))</f>
        <v>4</v>
      </c>
      <c r="V229" s="21"/>
      <c r="W229" s="22"/>
      <c r="X229" s="10" t="str">
        <f aca="false">IF(AND(R229="修改",S229=""),"請選新事件代碼",IF(AND(R229&lt;&gt;"修改",S229&lt;&gt;""),"只有「修改」才需填代碼",""))</f>
        <v/>
      </c>
      <c r="Y229" s="21"/>
      <c r="Z229" s="22"/>
      <c r="AA229" s="12" t="s">
        <v>1008</v>
      </c>
      <c r="AB229" s="12"/>
    </row>
    <row r="230" customFormat="false" ht="23.85" hidden="false" customHeight="false" outlineLevel="0" collapsed="false">
      <c r="A230" s="17" t="n">
        <v>229</v>
      </c>
      <c r="B230" s="9" t="s">
        <v>219</v>
      </c>
      <c r="C230" s="9" t="s">
        <v>150</v>
      </c>
      <c r="D230" s="10" t="s">
        <v>151</v>
      </c>
      <c r="E230" s="11" t="s">
        <v>1009</v>
      </c>
      <c r="F230" s="15"/>
      <c r="G230" s="12" t="s">
        <v>175</v>
      </c>
      <c r="H230" s="13" t="n">
        <v>-0.938</v>
      </c>
      <c r="I230" s="14" t="s">
        <v>960</v>
      </c>
      <c r="J230" s="15" t="s">
        <v>961</v>
      </c>
      <c r="K230" s="9" t="n">
        <v>4</v>
      </c>
      <c r="L230" s="17"/>
      <c r="M230" s="16" t="s">
        <v>105</v>
      </c>
      <c r="N230" s="14"/>
      <c r="O230" s="17" t="s">
        <v>54</v>
      </c>
      <c r="P230" s="10" t="s">
        <v>994</v>
      </c>
      <c r="Q230" s="17"/>
      <c r="R230" s="18" t="s">
        <v>105</v>
      </c>
      <c r="S230" s="19"/>
      <c r="T230" s="15" t="str">
        <f aca="false">IF(R230="維持",J230,IF(R230="排除","無關新聞事件",IFERROR(INDEX(事件規則!$B$2:$B$53,MATCH(S230,事件規則!$A$2:$A$53,0)),"")))</f>
        <v>監管調查</v>
      </c>
      <c r="U230" s="20" t="n">
        <f aca="false">IF(R230="維持",K230,IF(R230="排除",0,IFERROR(INDEX(事件規則!$C$2:$C$53,MATCH(S230,事件規則!$A$2:$A$53,0)),"")))</f>
        <v>4</v>
      </c>
      <c r="V230" s="21"/>
      <c r="W230" s="22"/>
      <c r="X230" s="10" t="str">
        <f aca="false">IF(AND(R230="修改",S230=""),"請選新事件代碼",IF(AND(R230&lt;&gt;"修改",S230&lt;&gt;""),"只有「修改」才需填代碼",""))</f>
        <v/>
      </c>
      <c r="Y230" s="21"/>
      <c r="Z230" s="22"/>
      <c r="AA230" s="12" t="s">
        <v>1010</v>
      </c>
      <c r="AB230" s="12"/>
    </row>
    <row r="231" customFormat="false" ht="23.85" hidden="false" customHeight="false" outlineLevel="0" collapsed="false">
      <c r="A231" s="17" t="n">
        <v>230</v>
      </c>
      <c r="B231" s="9" t="s">
        <v>219</v>
      </c>
      <c r="C231" s="9" t="s">
        <v>150</v>
      </c>
      <c r="D231" s="10" t="s">
        <v>151</v>
      </c>
      <c r="E231" s="11" t="s">
        <v>1011</v>
      </c>
      <c r="F231" s="15"/>
      <c r="G231" s="12" t="s">
        <v>1012</v>
      </c>
      <c r="H231" s="13" t="n">
        <v>-0.934</v>
      </c>
      <c r="I231" s="14" t="s">
        <v>960</v>
      </c>
      <c r="J231" s="15" t="s">
        <v>961</v>
      </c>
      <c r="K231" s="9" t="n">
        <v>4</v>
      </c>
      <c r="L231" s="17"/>
      <c r="M231" s="16" t="s">
        <v>105</v>
      </c>
      <c r="N231" s="14"/>
      <c r="O231" s="17" t="s">
        <v>54</v>
      </c>
      <c r="P231" s="10" t="s">
        <v>994</v>
      </c>
      <c r="Q231" s="17"/>
      <c r="R231" s="18" t="s">
        <v>105</v>
      </c>
      <c r="S231" s="19"/>
      <c r="T231" s="15" t="str">
        <f aca="false">IF(R231="維持",J231,IF(R231="排除","無關新聞事件",IFERROR(INDEX(事件規則!$B$2:$B$53,MATCH(S231,事件規則!$A$2:$A$53,0)),"")))</f>
        <v>監管調查</v>
      </c>
      <c r="U231" s="20" t="n">
        <f aca="false">IF(R231="維持",K231,IF(R231="排除",0,IFERROR(INDEX(事件規則!$C$2:$C$53,MATCH(S231,事件規則!$A$2:$A$53,0)),"")))</f>
        <v>4</v>
      </c>
      <c r="V231" s="21"/>
      <c r="W231" s="22"/>
      <c r="X231" s="10" t="str">
        <f aca="false">IF(AND(R231="修改",S231=""),"請選新事件代碼",IF(AND(R231&lt;&gt;"修改",S231&lt;&gt;""),"只有「修改」才需填代碼",""))</f>
        <v/>
      </c>
      <c r="Y231" s="21"/>
      <c r="Z231" s="22"/>
      <c r="AA231" s="12" t="s">
        <v>1013</v>
      </c>
      <c r="AB231" s="12"/>
    </row>
    <row r="232" customFormat="false" ht="23.85" hidden="false" customHeight="false" outlineLevel="0" collapsed="false">
      <c r="A232" s="17" t="n">
        <v>231</v>
      </c>
      <c r="B232" s="9" t="s">
        <v>219</v>
      </c>
      <c r="C232" s="17"/>
      <c r="D232" s="10" t="s">
        <v>151</v>
      </c>
      <c r="E232" s="11" t="s">
        <v>1014</v>
      </c>
      <c r="F232" s="15"/>
      <c r="G232" s="12" t="s">
        <v>319</v>
      </c>
      <c r="H232" s="13"/>
      <c r="I232" s="14" t="s">
        <v>960</v>
      </c>
      <c r="J232" s="15" t="s">
        <v>961</v>
      </c>
      <c r="K232" s="9" t="n">
        <v>4</v>
      </c>
      <c r="L232" s="17" t="s">
        <v>320</v>
      </c>
      <c r="M232" s="16" t="s">
        <v>105</v>
      </c>
      <c r="N232" s="14"/>
      <c r="O232" s="17" t="s">
        <v>54</v>
      </c>
      <c r="P232" s="10" t="s">
        <v>994</v>
      </c>
      <c r="Q232" s="17"/>
      <c r="R232" s="18" t="s">
        <v>105</v>
      </c>
      <c r="S232" s="19"/>
      <c r="T232" s="15" t="str">
        <f aca="false">IF(R232="維持",J232,IF(R232="排除","無關新聞事件",IFERROR(INDEX(事件規則!$B$2:$B$53,MATCH(S232,事件規則!$A$2:$A$53,0)),"")))</f>
        <v>監管調查</v>
      </c>
      <c r="U232" s="20" t="n">
        <f aca="false">IF(R232="維持",K232,IF(R232="排除",0,IFERROR(INDEX(事件規則!$C$2:$C$53,MATCH(S232,事件規則!$A$2:$A$53,0)),"")))</f>
        <v>4</v>
      </c>
      <c r="V232" s="21"/>
      <c r="W232" s="22" t="s">
        <v>150</v>
      </c>
      <c r="X232" s="10" t="str">
        <f aca="false">IF(AND(R232="修改",S232=""),"請選新事件代碼",IF(AND(R232&lt;&gt;"修改",S232&lt;&gt;""),"只有「修改」才需填代碼",""))</f>
        <v/>
      </c>
      <c r="Y232" s="21"/>
      <c r="Z232" s="22"/>
      <c r="AA232" s="12" t="s">
        <v>1015</v>
      </c>
      <c r="AB232" s="12"/>
    </row>
    <row r="233" customFormat="false" ht="23.85" hidden="false" customHeight="false" outlineLevel="0" collapsed="false">
      <c r="A233" s="17" t="n">
        <v>232</v>
      </c>
      <c r="B233" s="9" t="s">
        <v>749</v>
      </c>
      <c r="C233" s="9" t="s">
        <v>80</v>
      </c>
      <c r="D233" s="10" t="s">
        <v>81</v>
      </c>
      <c r="E233" s="11" t="s">
        <v>1016</v>
      </c>
      <c r="F233" s="15"/>
      <c r="G233" s="12" t="s">
        <v>1017</v>
      </c>
      <c r="H233" s="13" t="n">
        <v>-0.85</v>
      </c>
      <c r="I233" s="14" t="s">
        <v>960</v>
      </c>
      <c r="J233" s="15" t="s">
        <v>961</v>
      </c>
      <c r="K233" s="9" t="n">
        <v>4</v>
      </c>
      <c r="L233" s="17"/>
      <c r="M233" s="16" t="s">
        <v>105</v>
      </c>
      <c r="N233" s="14"/>
      <c r="O233" s="17" t="s">
        <v>54</v>
      </c>
      <c r="P233" s="15" t="s">
        <v>1018</v>
      </c>
      <c r="Q233" s="17"/>
      <c r="R233" s="18" t="s">
        <v>105</v>
      </c>
      <c r="S233" s="19"/>
      <c r="T233" s="15" t="str">
        <f aca="false">IF(R233="維持",J233,IF(R233="排除","無關新聞事件",IFERROR(INDEX(事件規則!$B$2:$B$53,MATCH(S233,事件規則!$A$2:$A$53,0)),"")))</f>
        <v>監管調查</v>
      </c>
      <c r="U233" s="20" t="n">
        <f aca="false">IF(R233="維持",K233,IF(R233="排除",0,IFERROR(INDEX(事件規則!$C$2:$C$53,MATCH(S233,事件規則!$A$2:$A$53,0)),"")))</f>
        <v>4</v>
      </c>
      <c r="V233" s="21"/>
      <c r="W233" s="22"/>
      <c r="X233" s="10" t="str">
        <f aca="false">IF(AND(R233="修改",S233=""),"請選新事件代碼",IF(AND(R233&lt;&gt;"修改",S233&lt;&gt;""),"只有「修改」才需填代碼",""))</f>
        <v/>
      </c>
      <c r="Y233" s="21"/>
      <c r="Z233" s="22"/>
      <c r="AA233" s="12" t="s">
        <v>1019</v>
      </c>
      <c r="AB233" s="12"/>
    </row>
    <row r="234" customFormat="false" ht="23.85" hidden="false" customHeight="false" outlineLevel="0" collapsed="false">
      <c r="A234" s="17" t="n">
        <v>233</v>
      </c>
      <c r="B234" s="9" t="s">
        <v>749</v>
      </c>
      <c r="C234" s="9" t="s">
        <v>150</v>
      </c>
      <c r="D234" s="10" t="s">
        <v>151</v>
      </c>
      <c r="E234" s="11" t="s">
        <v>1020</v>
      </c>
      <c r="F234" s="15"/>
      <c r="G234" s="12" t="s">
        <v>1021</v>
      </c>
      <c r="H234" s="13" t="n">
        <v>-0.815</v>
      </c>
      <c r="I234" s="14" t="s">
        <v>960</v>
      </c>
      <c r="J234" s="15" t="s">
        <v>961</v>
      </c>
      <c r="K234" s="9" t="n">
        <v>4</v>
      </c>
      <c r="L234" s="17"/>
      <c r="M234" s="16" t="s">
        <v>105</v>
      </c>
      <c r="N234" s="14"/>
      <c r="O234" s="17" t="s">
        <v>54</v>
      </c>
      <c r="P234" s="10" t="s">
        <v>994</v>
      </c>
      <c r="Q234" s="17"/>
      <c r="R234" s="18" t="s">
        <v>105</v>
      </c>
      <c r="S234" s="19"/>
      <c r="T234" s="15" t="str">
        <f aca="false">IF(R234="維持",J234,IF(R234="排除","無關新聞事件",IFERROR(INDEX(事件規則!$B$2:$B$53,MATCH(S234,事件規則!$A$2:$A$53,0)),"")))</f>
        <v>監管調查</v>
      </c>
      <c r="U234" s="20" t="n">
        <f aca="false">IF(R234="維持",K234,IF(R234="排除",0,IFERROR(INDEX(事件規則!$C$2:$C$53,MATCH(S234,事件規則!$A$2:$A$53,0)),"")))</f>
        <v>4</v>
      </c>
      <c r="V234" s="21"/>
      <c r="W234" s="22"/>
      <c r="X234" s="10" t="str">
        <f aca="false">IF(AND(R234="修改",S234=""),"請選新事件代碼",IF(AND(R234&lt;&gt;"修改",S234&lt;&gt;""),"只有「修改」才需填代碼",""))</f>
        <v/>
      </c>
      <c r="Y234" s="21"/>
      <c r="Z234" s="22"/>
      <c r="AA234" s="12" t="s">
        <v>1022</v>
      </c>
      <c r="AB234" s="12"/>
    </row>
    <row r="235" customFormat="false" ht="23.85" hidden="false" customHeight="false" outlineLevel="0" collapsed="false">
      <c r="A235" s="17" t="n">
        <v>234</v>
      </c>
      <c r="B235" s="9" t="s">
        <v>749</v>
      </c>
      <c r="C235" s="9" t="s">
        <v>150</v>
      </c>
      <c r="D235" s="10" t="s">
        <v>151</v>
      </c>
      <c r="E235" s="11" t="s">
        <v>1023</v>
      </c>
      <c r="F235" s="15"/>
      <c r="G235" s="12" t="s">
        <v>1024</v>
      </c>
      <c r="H235" s="13" t="n">
        <v>-0.952</v>
      </c>
      <c r="I235" s="14" t="s">
        <v>960</v>
      </c>
      <c r="J235" s="15" t="s">
        <v>961</v>
      </c>
      <c r="K235" s="9" t="n">
        <v>4</v>
      </c>
      <c r="L235" s="17"/>
      <c r="M235" s="16" t="s">
        <v>105</v>
      </c>
      <c r="N235" s="14"/>
      <c r="O235" s="17" t="s">
        <v>97</v>
      </c>
      <c r="P235" s="10" t="s">
        <v>1025</v>
      </c>
      <c r="Q235" s="17"/>
      <c r="R235" s="18" t="s">
        <v>105</v>
      </c>
      <c r="S235" s="19"/>
      <c r="T235" s="15" t="str">
        <f aca="false">IF(R235="維持",J235,IF(R235="排除","無關新聞事件",IFERROR(INDEX(事件規則!$B$2:$B$53,MATCH(S235,事件規則!$A$2:$A$53,0)),"")))</f>
        <v>監管調查</v>
      </c>
      <c r="U235" s="20" t="n">
        <f aca="false">IF(R235="維持",K235,IF(R235="排除",0,IFERROR(INDEX(事件規則!$C$2:$C$53,MATCH(S235,事件規則!$A$2:$A$53,0)),"")))</f>
        <v>4</v>
      </c>
      <c r="V235" s="21"/>
      <c r="W235" s="22"/>
      <c r="X235" s="10" t="str">
        <f aca="false">IF(AND(R235="修改",S235=""),"請選新事件代碼",IF(AND(R235&lt;&gt;"修改",S235&lt;&gt;""),"只有「修改」才需填代碼",""))</f>
        <v/>
      </c>
      <c r="Y235" s="21"/>
      <c r="Z235" s="22"/>
      <c r="AA235" s="12" t="s">
        <v>1026</v>
      </c>
      <c r="AB235" s="12"/>
    </row>
    <row r="236" customFormat="false" ht="23.85" hidden="false" customHeight="false" outlineLevel="0" collapsed="false">
      <c r="A236" s="17" t="n">
        <v>235</v>
      </c>
      <c r="B236" s="9" t="s">
        <v>749</v>
      </c>
      <c r="C236" s="9" t="s">
        <v>150</v>
      </c>
      <c r="D236" s="10" t="s">
        <v>151</v>
      </c>
      <c r="E236" s="11" t="s">
        <v>1027</v>
      </c>
      <c r="F236" s="15"/>
      <c r="G236" s="12" t="s">
        <v>140</v>
      </c>
      <c r="H236" s="13" t="n">
        <v>-0.673</v>
      </c>
      <c r="I236" s="14" t="s">
        <v>960</v>
      </c>
      <c r="J236" s="15" t="s">
        <v>961</v>
      </c>
      <c r="K236" s="9" t="n">
        <v>4</v>
      </c>
      <c r="L236" s="17"/>
      <c r="M236" s="16" t="s">
        <v>105</v>
      </c>
      <c r="N236" s="14"/>
      <c r="O236" s="17" t="s">
        <v>97</v>
      </c>
      <c r="P236" s="10" t="s">
        <v>1025</v>
      </c>
      <c r="Q236" s="17"/>
      <c r="R236" s="18" t="s">
        <v>105</v>
      </c>
      <c r="S236" s="19"/>
      <c r="T236" s="15" t="str">
        <f aca="false">IF(R236="維持",J236,IF(R236="排除","無關新聞事件",IFERROR(INDEX(事件規則!$B$2:$B$53,MATCH(S236,事件規則!$A$2:$A$53,0)),"")))</f>
        <v>監管調查</v>
      </c>
      <c r="U236" s="20" t="n">
        <f aca="false">IF(R236="維持",K236,IF(R236="排除",0,IFERROR(INDEX(事件規則!$C$2:$C$53,MATCH(S236,事件規則!$A$2:$A$53,0)),"")))</f>
        <v>4</v>
      </c>
      <c r="V236" s="21"/>
      <c r="W236" s="22"/>
      <c r="X236" s="10" t="str">
        <f aca="false">IF(AND(R236="修改",S236=""),"請選新事件代碼",IF(AND(R236&lt;&gt;"修改",S236&lt;&gt;""),"只有「修改」才需填代碼",""))</f>
        <v/>
      </c>
      <c r="Y236" s="21"/>
      <c r="Z236" s="22"/>
      <c r="AA236" s="12" t="s">
        <v>1028</v>
      </c>
      <c r="AB236" s="12"/>
    </row>
    <row r="237" customFormat="false" ht="29.85" hidden="false" customHeight="false" outlineLevel="0" collapsed="false">
      <c r="A237" s="17" t="n">
        <v>236</v>
      </c>
      <c r="B237" s="9" t="s">
        <v>266</v>
      </c>
      <c r="C237" s="9" t="s">
        <v>973</v>
      </c>
      <c r="D237" s="10" t="s">
        <v>974</v>
      </c>
      <c r="E237" s="11" t="s">
        <v>1029</v>
      </c>
      <c r="F237" s="10" t="s">
        <v>1030</v>
      </c>
      <c r="G237" s="12" t="s">
        <v>1031</v>
      </c>
      <c r="H237" s="13" t="n">
        <v>-0.919</v>
      </c>
      <c r="I237" s="14" t="s">
        <v>960</v>
      </c>
      <c r="J237" s="15" t="s">
        <v>961</v>
      </c>
      <c r="K237" s="9" t="n">
        <v>4</v>
      </c>
      <c r="L237" s="17"/>
      <c r="M237" s="16" t="s">
        <v>53</v>
      </c>
      <c r="N237" s="14"/>
      <c r="O237" s="17" t="s">
        <v>54</v>
      </c>
      <c r="P237" s="10" t="s">
        <v>1032</v>
      </c>
      <c r="Q237" s="17"/>
      <c r="R237" s="18" t="s">
        <v>53</v>
      </c>
      <c r="S237" s="19"/>
      <c r="T237" s="15" t="str">
        <f aca="false">IF(R237="維持",J237,IF(R237="排除","無關新聞事件",IFERROR(INDEX(事件規則!$B$2:$B$53,MATCH(S237,事件規則!$A$2:$A$53,0)),"")))</f>
        <v>無關新聞事件</v>
      </c>
      <c r="U237" s="20" t="n">
        <f aca="false">IF(R237="維持",K237,IF(R237="排除",0,IFERROR(INDEX(事件規則!$C$2:$C$53,MATCH(S237,事件規則!$A$2:$A$53,0)),"")))</f>
        <v>0</v>
      </c>
      <c r="V237" s="21"/>
      <c r="W237" s="22"/>
      <c r="X237" s="10" t="str">
        <f aca="false">IF(AND(R237="修改",S237=""),"請選新事件代碼",IF(AND(R237&lt;&gt;"修改",S237&lt;&gt;""),"只有「修改」才需填代碼",""))</f>
        <v/>
      </c>
      <c r="Y237" s="21"/>
      <c r="Z237" s="22"/>
      <c r="AA237" s="12" t="s">
        <v>1033</v>
      </c>
      <c r="AB237" s="12"/>
    </row>
    <row r="238" customFormat="false" ht="29.85" hidden="false" customHeight="false" outlineLevel="0" collapsed="false">
      <c r="A238" s="17" t="n">
        <v>237</v>
      </c>
      <c r="B238" s="9" t="s">
        <v>266</v>
      </c>
      <c r="C238" s="9" t="s">
        <v>973</v>
      </c>
      <c r="D238" s="10" t="s">
        <v>974</v>
      </c>
      <c r="E238" s="11" t="s">
        <v>1034</v>
      </c>
      <c r="F238" s="10" t="s">
        <v>1035</v>
      </c>
      <c r="G238" s="12" t="s">
        <v>1036</v>
      </c>
      <c r="H238" s="13" t="n">
        <v>-0.899</v>
      </c>
      <c r="I238" s="14" t="s">
        <v>960</v>
      </c>
      <c r="J238" s="15" t="s">
        <v>961</v>
      </c>
      <c r="K238" s="9" t="n">
        <v>4</v>
      </c>
      <c r="L238" s="17"/>
      <c r="M238" s="16" t="s">
        <v>53</v>
      </c>
      <c r="N238" s="14"/>
      <c r="O238" s="17" t="s">
        <v>54</v>
      </c>
      <c r="P238" s="10" t="s">
        <v>1032</v>
      </c>
      <c r="Q238" s="17"/>
      <c r="R238" s="18" t="s">
        <v>53</v>
      </c>
      <c r="S238" s="19"/>
      <c r="T238" s="15" t="str">
        <f aca="false">IF(R238="維持",J238,IF(R238="排除","無關新聞事件",IFERROR(INDEX(事件規則!$B$2:$B$53,MATCH(S238,事件規則!$A$2:$A$53,0)),"")))</f>
        <v>無關新聞事件</v>
      </c>
      <c r="U238" s="20" t="n">
        <f aca="false">IF(R238="維持",K238,IF(R238="排除",0,IFERROR(INDEX(事件規則!$C$2:$C$53,MATCH(S238,事件規則!$A$2:$A$53,0)),"")))</f>
        <v>0</v>
      </c>
      <c r="V238" s="21"/>
      <c r="W238" s="22"/>
      <c r="X238" s="10" t="str">
        <f aca="false">IF(AND(R238="修改",S238=""),"請選新事件代碼",IF(AND(R238&lt;&gt;"修改",S238&lt;&gt;""),"只有「修改」才需填代碼",""))</f>
        <v/>
      </c>
      <c r="Y238" s="21"/>
      <c r="Z238" s="22"/>
      <c r="AA238" s="12" t="s">
        <v>1037</v>
      </c>
      <c r="AB238" s="12"/>
    </row>
    <row r="239" customFormat="false" ht="29.85" hidden="false" customHeight="false" outlineLevel="0" collapsed="false">
      <c r="A239" s="17" t="n">
        <v>238</v>
      </c>
      <c r="B239" s="9" t="s">
        <v>266</v>
      </c>
      <c r="C239" s="9" t="s">
        <v>973</v>
      </c>
      <c r="D239" s="10" t="s">
        <v>974</v>
      </c>
      <c r="E239" s="11" t="s">
        <v>1038</v>
      </c>
      <c r="F239" s="10" t="s">
        <v>1039</v>
      </c>
      <c r="G239" s="12" t="s">
        <v>1040</v>
      </c>
      <c r="H239" s="13" t="n">
        <v>-0.826</v>
      </c>
      <c r="I239" s="14" t="s">
        <v>960</v>
      </c>
      <c r="J239" s="15" t="s">
        <v>961</v>
      </c>
      <c r="K239" s="9" t="n">
        <v>4</v>
      </c>
      <c r="L239" s="17"/>
      <c r="M239" s="16" t="s">
        <v>53</v>
      </c>
      <c r="N239" s="14"/>
      <c r="O239" s="17" t="s">
        <v>54</v>
      </c>
      <c r="P239" s="10" t="s">
        <v>1032</v>
      </c>
      <c r="Q239" s="17"/>
      <c r="R239" s="18" t="s">
        <v>53</v>
      </c>
      <c r="S239" s="19"/>
      <c r="T239" s="15" t="str">
        <f aca="false">IF(R239="維持",J239,IF(R239="排除","無關新聞事件",IFERROR(INDEX(事件規則!$B$2:$B$53,MATCH(S239,事件規則!$A$2:$A$53,0)),"")))</f>
        <v>無關新聞事件</v>
      </c>
      <c r="U239" s="20" t="n">
        <f aca="false">IF(R239="維持",K239,IF(R239="排除",0,IFERROR(INDEX(事件規則!$C$2:$C$53,MATCH(S239,事件規則!$A$2:$A$53,0)),"")))</f>
        <v>0</v>
      </c>
      <c r="V239" s="21"/>
      <c r="W239" s="22"/>
      <c r="X239" s="10" t="str">
        <f aca="false">IF(AND(R239="修改",S239=""),"請選新事件代碼",IF(AND(R239&lt;&gt;"修改",S239&lt;&gt;""),"只有「修改」才需填代碼",""))</f>
        <v/>
      </c>
      <c r="Y239" s="21"/>
      <c r="Z239" s="22"/>
      <c r="AA239" s="12" t="s">
        <v>1041</v>
      </c>
      <c r="AB239" s="12"/>
    </row>
    <row r="240" customFormat="false" ht="29.85" hidden="false" customHeight="false" outlineLevel="0" collapsed="false">
      <c r="A240" s="17" t="n">
        <v>239</v>
      </c>
      <c r="B240" s="9" t="s">
        <v>266</v>
      </c>
      <c r="C240" s="9" t="s">
        <v>973</v>
      </c>
      <c r="D240" s="10" t="s">
        <v>974</v>
      </c>
      <c r="E240" s="11" t="s">
        <v>1042</v>
      </c>
      <c r="F240" s="10" t="s">
        <v>1043</v>
      </c>
      <c r="G240" s="12" t="s">
        <v>1044</v>
      </c>
      <c r="H240" s="13" t="n">
        <v>-0.941</v>
      </c>
      <c r="I240" s="14" t="s">
        <v>960</v>
      </c>
      <c r="J240" s="15" t="s">
        <v>961</v>
      </c>
      <c r="K240" s="9" t="n">
        <v>4</v>
      </c>
      <c r="L240" s="17"/>
      <c r="M240" s="16" t="s">
        <v>53</v>
      </c>
      <c r="N240" s="14"/>
      <c r="O240" s="17" t="s">
        <v>54</v>
      </c>
      <c r="P240" s="10" t="s">
        <v>1032</v>
      </c>
      <c r="Q240" s="17"/>
      <c r="R240" s="18" t="s">
        <v>53</v>
      </c>
      <c r="S240" s="19"/>
      <c r="T240" s="15" t="str">
        <f aca="false">IF(R240="維持",J240,IF(R240="排除","無關新聞事件",IFERROR(INDEX(事件規則!$B$2:$B$53,MATCH(S240,事件規則!$A$2:$A$53,0)),"")))</f>
        <v>無關新聞事件</v>
      </c>
      <c r="U240" s="20" t="n">
        <f aca="false">IF(R240="維持",K240,IF(R240="排除",0,IFERROR(INDEX(事件規則!$C$2:$C$53,MATCH(S240,事件規則!$A$2:$A$53,0)),"")))</f>
        <v>0</v>
      </c>
      <c r="V240" s="21"/>
      <c r="W240" s="22"/>
      <c r="X240" s="10" t="str">
        <f aca="false">IF(AND(R240="修改",S240=""),"請選新事件代碼",IF(AND(R240&lt;&gt;"修改",S240&lt;&gt;""),"只有「修改」才需填代碼",""))</f>
        <v/>
      </c>
      <c r="Y240" s="21"/>
      <c r="Z240" s="22"/>
      <c r="AA240" s="12" t="s">
        <v>1045</v>
      </c>
      <c r="AB240" s="12"/>
    </row>
    <row r="241" customFormat="false" ht="29.85" hidden="false" customHeight="false" outlineLevel="0" collapsed="false">
      <c r="A241" s="17" t="n">
        <v>240</v>
      </c>
      <c r="B241" s="9" t="s">
        <v>266</v>
      </c>
      <c r="C241" s="9" t="s">
        <v>973</v>
      </c>
      <c r="D241" s="10" t="s">
        <v>974</v>
      </c>
      <c r="E241" s="11" t="s">
        <v>1046</v>
      </c>
      <c r="F241" s="10" t="s">
        <v>1047</v>
      </c>
      <c r="G241" s="12" t="s">
        <v>466</v>
      </c>
      <c r="H241" s="13" t="n">
        <v>-0.702</v>
      </c>
      <c r="I241" s="14" t="s">
        <v>960</v>
      </c>
      <c r="J241" s="15" t="s">
        <v>961</v>
      </c>
      <c r="K241" s="9" t="n">
        <v>4</v>
      </c>
      <c r="L241" s="17"/>
      <c r="M241" s="16" t="s">
        <v>53</v>
      </c>
      <c r="N241" s="14"/>
      <c r="O241" s="17" t="s">
        <v>54</v>
      </c>
      <c r="P241" s="10" t="s">
        <v>1032</v>
      </c>
      <c r="Q241" s="17"/>
      <c r="R241" s="18" t="s">
        <v>53</v>
      </c>
      <c r="S241" s="19"/>
      <c r="T241" s="15" t="str">
        <f aca="false">IF(R241="維持",J241,IF(R241="排除","無關新聞事件",IFERROR(INDEX(事件規則!$B$2:$B$53,MATCH(S241,事件規則!$A$2:$A$53,0)),"")))</f>
        <v>無關新聞事件</v>
      </c>
      <c r="U241" s="20" t="n">
        <f aca="false">IF(R241="維持",K241,IF(R241="排除",0,IFERROR(INDEX(事件規則!$C$2:$C$53,MATCH(S241,事件規則!$A$2:$A$53,0)),"")))</f>
        <v>0</v>
      </c>
      <c r="V241" s="21"/>
      <c r="W241" s="22"/>
      <c r="X241" s="10" t="str">
        <f aca="false">IF(AND(R241="修改",S241=""),"請選新事件代碼",IF(AND(R241&lt;&gt;"修改",S241&lt;&gt;""),"只有「修改」才需填代碼",""))</f>
        <v/>
      </c>
      <c r="Y241" s="21"/>
      <c r="Z241" s="22"/>
      <c r="AA241" s="12" t="s">
        <v>1048</v>
      </c>
      <c r="AB241" s="12"/>
    </row>
    <row r="242" customFormat="false" ht="29.85" hidden="false" customHeight="false" outlineLevel="0" collapsed="false">
      <c r="A242" s="17" t="n">
        <v>241</v>
      </c>
      <c r="B242" s="9" t="s">
        <v>266</v>
      </c>
      <c r="C242" s="9" t="s">
        <v>973</v>
      </c>
      <c r="D242" s="10" t="s">
        <v>974</v>
      </c>
      <c r="E242" s="11" t="s">
        <v>1049</v>
      </c>
      <c r="F242" s="15" t="s">
        <v>1050</v>
      </c>
      <c r="G242" s="12" t="s">
        <v>1051</v>
      </c>
      <c r="H242" s="13" t="n">
        <v>-0.823</v>
      </c>
      <c r="I242" s="14" t="s">
        <v>960</v>
      </c>
      <c r="J242" s="15" t="s">
        <v>961</v>
      </c>
      <c r="K242" s="9" t="n">
        <v>4</v>
      </c>
      <c r="L242" s="17"/>
      <c r="M242" s="16" t="s">
        <v>53</v>
      </c>
      <c r="N242" s="14"/>
      <c r="O242" s="17" t="s">
        <v>54</v>
      </c>
      <c r="P242" s="10" t="s">
        <v>1032</v>
      </c>
      <c r="Q242" s="17"/>
      <c r="R242" s="18" t="s">
        <v>53</v>
      </c>
      <c r="S242" s="19"/>
      <c r="T242" s="15" t="str">
        <f aca="false">IF(R242="維持",J242,IF(R242="排除","無關新聞事件",IFERROR(INDEX(事件規則!$B$2:$B$53,MATCH(S242,事件規則!$A$2:$A$53,0)),"")))</f>
        <v>無關新聞事件</v>
      </c>
      <c r="U242" s="20" t="n">
        <f aca="false">IF(R242="維持",K242,IF(R242="排除",0,IFERROR(INDEX(事件規則!$C$2:$C$53,MATCH(S242,事件規則!$A$2:$A$53,0)),"")))</f>
        <v>0</v>
      </c>
      <c r="V242" s="21"/>
      <c r="W242" s="22"/>
      <c r="X242" s="10" t="str">
        <f aca="false">IF(AND(R242="修改",S242=""),"請選新事件代碼",IF(AND(R242&lt;&gt;"修改",S242&lt;&gt;""),"只有「修改」才需填代碼",""))</f>
        <v/>
      </c>
      <c r="Y242" s="21"/>
      <c r="Z242" s="22"/>
      <c r="AA242" s="12" t="s">
        <v>1052</v>
      </c>
      <c r="AB242" s="12"/>
    </row>
    <row r="243" customFormat="false" ht="29.85" hidden="false" customHeight="false" outlineLevel="0" collapsed="false">
      <c r="A243" s="17" t="n">
        <v>242</v>
      </c>
      <c r="B243" s="9" t="s">
        <v>266</v>
      </c>
      <c r="C243" s="9" t="s">
        <v>973</v>
      </c>
      <c r="D243" s="10" t="s">
        <v>974</v>
      </c>
      <c r="E243" s="11" t="s">
        <v>1053</v>
      </c>
      <c r="F243" s="10" t="s">
        <v>1054</v>
      </c>
      <c r="G243" s="12" t="s">
        <v>1055</v>
      </c>
      <c r="H243" s="13" t="n">
        <v>-0.931</v>
      </c>
      <c r="I243" s="14" t="s">
        <v>960</v>
      </c>
      <c r="J243" s="15" t="s">
        <v>961</v>
      </c>
      <c r="K243" s="9" t="n">
        <v>4</v>
      </c>
      <c r="L243" s="17"/>
      <c r="M243" s="16" t="s">
        <v>53</v>
      </c>
      <c r="N243" s="14"/>
      <c r="O243" s="17" t="s">
        <v>54</v>
      </c>
      <c r="P243" s="10" t="s">
        <v>1032</v>
      </c>
      <c r="Q243" s="17"/>
      <c r="R243" s="18" t="s">
        <v>53</v>
      </c>
      <c r="S243" s="19"/>
      <c r="T243" s="15" t="str">
        <f aca="false">IF(R243="維持",J243,IF(R243="排除","無關新聞事件",IFERROR(INDEX(事件規則!$B$2:$B$53,MATCH(S243,事件規則!$A$2:$A$53,0)),"")))</f>
        <v>無關新聞事件</v>
      </c>
      <c r="U243" s="20" t="n">
        <f aca="false">IF(R243="維持",K243,IF(R243="排除",0,IFERROR(INDEX(事件規則!$C$2:$C$53,MATCH(S243,事件規則!$A$2:$A$53,0)),"")))</f>
        <v>0</v>
      </c>
      <c r="V243" s="21"/>
      <c r="W243" s="22"/>
      <c r="X243" s="10" t="str">
        <f aca="false">IF(AND(R243="修改",S243=""),"請選新事件代碼",IF(AND(R243&lt;&gt;"修改",S243&lt;&gt;""),"只有「修改」才需填代碼",""))</f>
        <v/>
      </c>
      <c r="Y243" s="21"/>
      <c r="Z243" s="22"/>
      <c r="AA243" s="12" t="s">
        <v>1056</v>
      </c>
      <c r="AB243" s="12"/>
    </row>
    <row r="244" customFormat="false" ht="29.85" hidden="false" customHeight="false" outlineLevel="0" collapsed="false">
      <c r="A244" s="17" t="n">
        <v>243</v>
      </c>
      <c r="B244" s="9" t="s">
        <v>266</v>
      </c>
      <c r="C244" s="9" t="s">
        <v>973</v>
      </c>
      <c r="D244" s="10" t="s">
        <v>974</v>
      </c>
      <c r="E244" s="11" t="s">
        <v>1057</v>
      </c>
      <c r="F244" s="10" t="s">
        <v>1058</v>
      </c>
      <c r="G244" s="12" t="s">
        <v>1059</v>
      </c>
      <c r="H244" s="13" t="n">
        <v>-0.812</v>
      </c>
      <c r="I244" s="14" t="s">
        <v>960</v>
      </c>
      <c r="J244" s="15" t="s">
        <v>961</v>
      </c>
      <c r="K244" s="9" t="n">
        <v>4</v>
      </c>
      <c r="L244" s="17"/>
      <c r="M244" s="16" t="s">
        <v>53</v>
      </c>
      <c r="N244" s="14"/>
      <c r="O244" s="17" t="s">
        <v>54</v>
      </c>
      <c r="P244" s="10" t="s">
        <v>1032</v>
      </c>
      <c r="Q244" s="17"/>
      <c r="R244" s="18" t="s">
        <v>53</v>
      </c>
      <c r="S244" s="19"/>
      <c r="T244" s="15" t="str">
        <f aca="false">IF(R244="維持",J244,IF(R244="排除","無關新聞事件",IFERROR(INDEX(事件規則!$B$2:$B$53,MATCH(S244,事件規則!$A$2:$A$53,0)),"")))</f>
        <v>無關新聞事件</v>
      </c>
      <c r="U244" s="20" t="n">
        <f aca="false">IF(R244="維持",K244,IF(R244="排除",0,IFERROR(INDEX(事件規則!$C$2:$C$53,MATCH(S244,事件規則!$A$2:$A$53,0)),"")))</f>
        <v>0</v>
      </c>
      <c r="V244" s="21"/>
      <c r="W244" s="22"/>
      <c r="X244" s="10" t="str">
        <f aca="false">IF(AND(R244="修改",S244=""),"請選新事件代碼",IF(AND(R244&lt;&gt;"修改",S244&lt;&gt;""),"只有「修改」才需填代碼",""))</f>
        <v/>
      </c>
      <c r="Y244" s="21"/>
      <c r="Z244" s="22"/>
      <c r="AA244" s="12" t="s">
        <v>1060</v>
      </c>
      <c r="AB244" s="12"/>
    </row>
    <row r="245" customFormat="false" ht="44" hidden="false" customHeight="false" outlineLevel="0" collapsed="false">
      <c r="A245" s="17" t="n">
        <v>244</v>
      </c>
      <c r="B245" s="9" t="s">
        <v>223</v>
      </c>
      <c r="C245" s="9" t="s">
        <v>150</v>
      </c>
      <c r="D245" s="10" t="s">
        <v>151</v>
      </c>
      <c r="E245" s="11" t="s">
        <v>1061</v>
      </c>
      <c r="F245" s="15" t="s">
        <v>1062</v>
      </c>
      <c r="G245" s="12" t="s">
        <v>1063</v>
      </c>
      <c r="H245" s="13" t="n">
        <v>-0.5</v>
      </c>
      <c r="I245" s="14" t="s">
        <v>960</v>
      </c>
      <c r="J245" s="15" t="s">
        <v>961</v>
      </c>
      <c r="K245" s="9" t="n">
        <v>4</v>
      </c>
      <c r="L245" s="17"/>
      <c r="M245" s="16" t="s">
        <v>105</v>
      </c>
      <c r="N245" s="14"/>
      <c r="O245" s="17" t="s">
        <v>97</v>
      </c>
      <c r="P245" s="10" t="s">
        <v>1025</v>
      </c>
      <c r="Q245" s="17"/>
      <c r="R245" s="18" t="s">
        <v>105</v>
      </c>
      <c r="S245" s="19"/>
      <c r="T245" s="15" t="str">
        <f aca="false">IF(R245="維持",J245,IF(R245="排除","無關新聞事件",IFERROR(INDEX(事件規則!$B$2:$B$53,MATCH(S245,事件規則!$A$2:$A$53,0)),"")))</f>
        <v>監管調查</v>
      </c>
      <c r="U245" s="20" t="n">
        <f aca="false">IF(R245="維持",K245,IF(R245="排除",0,IFERROR(INDEX(事件規則!$C$2:$C$53,MATCH(S245,事件規則!$A$2:$A$53,0)),"")))</f>
        <v>4</v>
      </c>
      <c r="V245" s="21"/>
      <c r="W245" s="22"/>
      <c r="X245" s="10" t="str">
        <f aca="false">IF(AND(R245="修改",S245=""),"請選新事件代碼",IF(AND(R245&lt;&gt;"修改",S245&lt;&gt;""),"只有「修改」才需填代碼",""))</f>
        <v/>
      </c>
      <c r="Y245" s="21"/>
      <c r="Z245" s="22"/>
      <c r="AA245" s="12" t="s">
        <v>1064</v>
      </c>
      <c r="AB245" s="12"/>
    </row>
    <row r="246" customFormat="false" ht="29.85" hidden="false" customHeight="false" outlineLevel="0" collapsed="false">
      <c r="A246" s="17" t="n">
        <v>245</v>
      </c>
      <c r="B246" s="9" t="s">
        <v>223</v>
      </c>
      <c r="C246" s="9" t="s">
        <v>973</v>
      </c>
      <c r="D246" s="10" t="s">
        <v>974</v>
      </c>
      <c r="E246" s="11" t="s">
        <v>1065</v>
      </c>
      <c r="F246" s="15" t="s">
        <v>1066</v>
      </c>
      <c r="G246" s="12" t="s">
        <v>1059</v>
      </c>
      <c r="H246" s="13" t="n">
        <v>-0.779</v>
      </c>
      <c r="I246" s="14" t="s">
        <v>960</v>
      </c>
      <c r="J246" s="15" t="s">
        <v>961</v>
      </c>
      <c r="K246" s="9" t="n">
        <v>4</v>
      </c>
      <c r="L246" s="17"/>
      <c r="M246" s="16" t="s">
        <v>53</v>
      </c>
      <c r="N246" s="14"/>
      <c r="O246" s="17" t="s">
        <v>54</v>
      </c>
      <c r="P246" s="10" t="s">
        <v>1032</v>
      </c>
      <c r="Q246" s="17"/>
      <c r="R246" s="18" t="s">
        <v>53</v>
      </c>
      <c r="S246" s="19"/>
      <c r="T246" s="15" t="str">
        <f aca="false">IF(R246="維持",J246,IF(R246="排除","無關新聞事件",IFERROR(INDEX(事件規則!$B$2:$B$53,MATCH(S246,事件規則!$A$2:$A$53,0)),"")))</f>
        <v>無關新聞事件</v>
      </c>
      <c r="U246" s="20" t="n">
        <f aca="false">IF(R246="維持",K246,IF(R246="排除",0,IFERROR(INDEX(事件規則!$C$2:$C$53,MATCH(S246,事件規則!$A$2:$A$53,0)),"")))</f>
        <v>0</v>
      </c>
      <c r="V246" s="21"/>
      <c r="W246" s="22"/>
      <c r="X246" s="10" t="str">
        <f aca="false">IF(AND(R246="修改",S246=""),"請選新事件代碼",IF(AND(R246&lt;&gt;"修改",S246&lt;&gt;""),"只有「修改」才需填代碼",""))</f>
        <v/>
      </c>
      <c r="Y246" s="21"/>
      <c r="Z246" s="22"/>
      <c r="AA246" s="12" t="s">
        <v>1067</v>
      </c>
      <c r="AB246" s="12"/>
    </row>
    <row r="247" customFormat="false" ht="29.85" hidden="false" customHeight="false" outlineLevel="0" collapsed="false">
      <c r="A247" s="17" t="n">
        <v>246</v>
      </c>
      <c r="B247" s="9" t="s">
        <v>223</v>
      </c>
      <c r="C247" s="9" t="s">
        <v>150</v>
      </c>
      <c r="D247" s="10" t="s">
        <v>151</v>
      </c>
      <c r="E247" s="11" t="s">
        <v>1068</v>
      </c>
      <c r="F247" s="15" t="s">
        <v>1069</v>
      </c>
      <c r="G247" s="12" t="s">
        <v>1070</v>
      </c>
      <c r="H247" s="13" t="n">
        <v>0.024</v>
      </c>
      <c r="I247" s="14" t="s">
        <v>960</v>
      </c>
      <c r="J247" s="15" t="s">
        <v>961</v>
      </c>
      <c r="K247" s="9" t="n">
        <v>4</v>
      </c>
      <c r="L247" s="17"/>
      <c r="M247" s="16" t="s">
        <v>105</v>
      </c>
      <c r="N247" s="14"/>
      <c r="O247" s="17" t="s">
        <v>97</v>
      </c>
      <c r="P247" s="10" t="s">
        <v>1025</v>
      </c>
      <c r="Q247" s="17"/>
      <c r="R247" s="18" t="s">
        <v>105</v>
      </c>
      <c r="S247" s="19"/>
      <c r="T247" s="15" t="str">
        <f aca="false">IF(R247="維持",J247,IF(R247="排除","無關新聞事件",IFERROR(INDEX(事件規則!$B$2:$B$53,MATCH(S247,事件規則!$A$2:$A$53,0)),"")))</f>
        <v>監管調查</v>
      </c>
      <c r="U247" s="20" t="n">
        <f aca="false">IF(R247="維持",K247,IF(R247="排除",0,IFERROR(INDEX(事件規則!$C$2:$C$53,MATCH(S247,事件規則!$A$2:$A$53,0)),"")))</f>
        <v>4</v>
      </c>
      <c r="V247" s="21"/>
      <c r="W247" s="22"/>
      <c r="X247" s="10" t="str">
        <f aca="false">IF(AND(R247="修改",S247=""),"請選新事件代碼",IF(AND(R247&lt;&gt;"修改",S247&lt;&gt;""),"只有「修改」才需填代碼",""))</f>
        <v/>
      </c>
      <c r="Y247" s="21"/>
      <c r="Z247" s="22"/>
      <c r="AA247" s="12" t="s">
        <v>1071</v>
      </c>
      <c r="AB247" s="12"/>
    </row>
    <row r="248" customFormat="false" ht="29.85" hidden="false" customHeight="false" outlineLevel="0" collapsed="false">
      <c r="A248" s="17" t="n">
        <v>247</v>
      </c>
      <c r="B248" s="9" t="s">
        <v>223</v>
      </c>
      <c r="C248" s="9" t="s">
        <v>973</v>
      </c>
      <c r="D248" s="10" t="s">
        <v>974</v>
      </c>
      <c r="E248" s="11" t="s">
        <v>1072</v>
      </c>
      <c r="F248" s="10" t="s">
        <v>1073</v>
      </c>
      <c r="G248" s="12" t="s">
        <v>1036</v>
      </c>
      <c r="H248" s="13" t="n">
        <v>-0.822</v>
      </c>
      <c r="I248" s="14" t="s">
        <v>960</v>
      </c>
      <c r="J248" s="15" t="s">
        <v>961</v>
      </c>
      <c r="K248" s="9" t="n">
        <v>4</v>
      </c>
      <c r="L248" s="17"/>
      <c r="M248" s="16" t="s">
        <v>53</v>
      </c>
      <c r="N248" s="14"/>
      <c r="O248" s="17" t="s">
        <v>54</v>
      </c>
      <c r="P248" s="10" t="s">
        <v>1032</v>
      </c>
      <c r="Q248" s="17"/>
      <c r="R248" s="18" t="s">
        <v>53</v>
      </c>
      <c r="S248" s="19"/>
      <c r="T248" s="15" t="str">
        <f aca="false">IF(R248="維持",J248,IF(R248="排除","無關新聞事件",IFERROR(INDEX(事件規則!$B$2:$B$53,MATCH(S248,事件規則!$A$2:$A$53,0)),"")))</f>
        <v>無關新聞事件</v>
      </c>
      <c r="U248" s="20" t="n">
        <f aca="false">IF(R248="維持",K248,IF(R248="排除",0,IFERROR(INDEX(事件規則!$C$2:$C$53,MATCH(S248,事件規則!$A$2:$A$53,0)),"")))</f>
        <v>0</v>
      </c>
      <c r="V248" s="21"/>
      <c r="W248" s="22"/>
      <c r="X248" s="10" t="str">
        <f aca="false">IF(AND(R248="修改",S248=""),"請選新事件代碼",IF(AND(R248&lt;&gt;"修改",S248&lt;&gt;""),"只有「修改」才需填代碼",""))</f>
        <v/>
      </c>
      <c r="Y248" s="21"/>
      <c r="Z248" s="22"/>
      <c r="AA248" s="12" t="s">
        <v>1074</v>
      </c>
      <c r="AB248" s="12"/>
    </row>
    <row r="249" customFormat="false" ht="29.85" hidden="false" customHeight="false" outlineLevel="0" collapsed="false">
      <c r="A249" s="17" t="n">
        <v>248</v>
      </c>
      <c r="B249" s="9" t="s">
        <v>223</v>
      </c>
      <c r="C249" s="9" t="s">
        <v>973</v>
      </c>
      <c r="D249" s="10" t="s">
        <v>974</v>
      </c>
      <c r="E249" s="11" t="s">
        <v>1075</v>
      </c>
      <c r="F249" s="10" t="s">
        <v>1076</v>
      </c>
      <c r="G249" s="12" t="s">
        <v>94</v>
      </c>
      <c r="H249" s="13" t="n">
        <v>-0.277</v>
      </c>
      <c r="I249" s="14" t="s">
        <v>960</v>
      </c>
      <c r="J249" s="15" t="s">
        <v>961</v>
      </c>
      <c r="K249" s="9" t="n">
        <v>4</v>
      </c>
      <c r="L249" s="17"/>
      <c r="M249" s="16" t="s">
        <v>53</v>
      </c>
      <c r="N249" s="14"/>
      <c r="O249" s="17" t="s">
        <v>54</v>
      </c>
      <c r="P249" s="10" t="s">
        <v>1032</v>
      </c>
      <c r="Q249" s="17"/>
      <c r="R249" s="18" t="s">
        <v>53</v>
      </c>
      <c r="S249" s="19"/>
      <c r="T249" s="15" t="str">
        <f aca="false">IF(R249="維持",J249,IF(R249="排除","無關新聞事件",IFERROR(INDEX(事件規則!$B$2:$B$53,MATCH(S249,事件規則!$A$2:$A$53,0)),"")))</f>
        <v>無關新聞事件</v>
      </c>
      <c r="U249" s="20" t="n">
        <f aca="false">IF(R249="維持",K249,IF(R249="排除",0,IFERROR(INDEX(事件規則!$C$2:$C$53,MATCH(S249,事件規則!$A$2:$A$53,0)),"")))</f>
        <v>0</v>
      </c>
      <c r="V249" s="21"/>
      <c r="W249" s="22"/>
      <c r="X249" s="10" t="str">
        <f aca="false">IF(AND(R249="修改",S249=""),"請選新事件代碼",IF(AND(R249&lt;&gt;"修改",S249&lt;&gt;""),"只有「修改」才需填代碼",""))</f>
        <v/>
      </c>
      <c r="Y249" s="21"/>
      <c r="Z249" s="22"/>
      <c r="AA249" s="12" t="s">
        <v>1077</v>
      </c>
      <c r="AB249" s="12"/>
    </row>
    <row r="250" customFormat="false" ht="44" hidden="false" customHeight="false" outlineLevel="0" collapsed="false">
      <c r="A250" s="17" t="n">
        <v>249</v>
      </c>
      <c r="B250" s="9" t="s">
        <v>223</v>
      </c>
      <c r="C250" s="9" t="s">
        <v>973</v>
      </c>
      <c r="D250" s="10" t="s">
        <v>974</v>
      </c>
      <c r="E250" s="11" t="s">
        <v>1078</v>
      </c>
      <c r="F250" s="15" t="s">
        <v>1079</v>
      </c>
      <c r="G250" s="12" t="s">
        <v>319</v>
      </c>
      <c r="H250" s="13" t="n">
        <v>-0.901</v>
      </c>
      <c r="I250" s="14" t="s">
        <v>960</v>
      </c>
      <c r="J250" s="15" t="s">
        <v>961</v>
      </c>
      <c r="K250" s="9" t="n">
        <v>4</v>
      </c>
      <c r="L250" s="17"/>
      <c r="M250" s="16" t="s">
        <v>53</v>
      </c>
      <c r="N250" s="14"/>
      <c r="O250" s="17" t="s">
        <v>54</v>
      </c>
      <c r="P250" s="10" t="s">
        <v>1032</v>
      </c>
      <c r="Q250" s="17"/>
      <c r="R250" s="18" t="s">
        <v>53</v>
      </c>
      <c r="S250" s="19"/>
      <c r="T250" s="15" t="str">
        <f aca="false">IF(R250="維持",J250,IF(R250="排除","無關新聞事件",IFERROR(INDEX(事件規則!$B$2:$B$53,MATCH(S250,事件規則!$A$2:$A$53,0)),"")))</f>
        <v>無關新聞事件</v>
      </c>
      <c r="U250" s="20" t="n">
        <f aca="false">IF(R250="維持",K250,IF(R250="排除",0,IFERROR(INDEX(事件規則!$C$2:$C$53,MATCH(S250,事件規則!$A$2:$A$53,0)),"")))</f>
        <v>0</v>
      </c>
      <c r="V250" s="21"/>
      <c r="W250" s="22"/>
      <c r="X250" s="10" t="str">
        <f aca="false">IF(AND(R250="修改",S250=""),"請選新事件代碼",IF(AND(R250&lt;&gt;"修改",S250&lt;&gt;""),"只有「修改」才需填代碼",""))</f>
        <v/>
      </c>
      <c r="Y250" s="21"/>
      <c r="Z250" s="22"/>
      <c r="AA250" s="12" t="s">
        <v>1080</v>
      </c>
      <c r="AB250" s="12"/>
    </row>
    <row r="251" customFormat="false" ht="29.85" hidden="false" customHeight="false" outlineLevel="0" collapsed="false">
      <c r="A251" s="17" t="n">
        <v>250</v>
      </c>
      <c r="B251" s="9" t="s">
        <v>223</v>
      </c>
      <c r="C251" s="9" t="s">
        <v>973</v>
      </c>
      <c r="D251" s="10" t="s">
        <v>974</v>
      </c>
      <c r="E251" s="11" t="s">
        <v>1081</v>
      </c>
      <c r="F251" s="10" t="s">
        <v>1082</v>
      </c>
      <c r="G251" s="12" t="s">
        <v>1083</v>
      </c>
      <c r="H251" s="13" t="n">
        <v>-0.91</v>
      </c>
      <c r="I251" s="14" t="s">
        <v>960</v>
      </c>
      <c r="J251" s="15" t="s">
        <v>961</v>
      </c>
      <c r="K251" s="9" t="n">
        <v>4</v>
      </c>
      <c r="L251" s="17"/>
      <c r="M251" s="16" t="s">
        <v>53</v>
      </c>
      <c r="N251" s="14"/>
      <c r="O251" s="17" t="s">
        <v>54</v>
      </c>
      <c r="P251" s="10" t="s">
        <v>1032</v>
      </c>
      <c r="Q251" s="17"/>
      <c r="R251" s="18" t="s">
        <v>53</v>
      </c>
      <c r="S251" s="19"/>
      <c r="T251" s="15" t="str">
        <f aca="false">IF(R251="維持",J251,IF(R251="排除","無關新聞事件",IFERROR(INDEX(事件規則!$B$2:$B$53,MATCH(S251,事件規則!$A$2:$A$53,0)),"")))</f>
        <v>無關新聞事件</v>
      </c>
      <c r="U251" s="20" t="n">
        <f aca="false">IF(R251="維持",K251,IF(R251="排除",0,IFERROR(INDEX(事件規則!$C$2:$C$53,MATCH(S251,事件規則!$A$2:$A$53,0)),"")))</f>
        <v>0</v>
      </c>
      <c r="V251" s="21"/>
      <c r="W251" s="22"/>
      <c r="X251" s="10" t="str">
        <f aca="false">IF(AND(R251="修改",S251=""),"請選新事件代碼",IF(AND(R251&lt;&gt;"修改",S251&lt;&gt;""),"只有「修改」才需填代碼",""))</f>
        <v/>
      </c>
      <c r="Y251" s="21"/>
      <c r="Z251" s="22"/>
      <c r="AA251" s="12" t="s">
        <v>1084</v>
      </c>
      <c r="AB251" s="12"/>
    </row>
    <row r="252" customFormat="false" ht="29.85" hidden="false" customHeight="false" outlineLevel="0" collapsed="false">
      <c r="A252" s="17" t="n">
        <v>251</v>
      </c>
      <c r="B252" s="9" t="s">
        <v>223</v>
      </c>
      <c r="C252" s="9" t="s">
        <v>973</v>
      </c>
      <c r="D252" s="10" t="s">
        <v>974</v>
      </c>
      <c r="E252" s="11" t="s">
        <v>1085</v>
      </c>
      <c r="F252" s="15" t="s">
        <v>1086</v>
      </c>
      <c r="G252" s="12" t="s">
        <v>1087</v>
      </c>
      <c r="H252" s="13" t="n">
        <v>-0.785</v>
      </c>
      <c r="I252" s="14" t="s">
        <v>960</v>
      </c>
      <c r="J252" s="15" t="s">
        <v>961</v>
      </c>
      <c r="K252" s="9" t="n">
        <v>4</v>
      </c>
      <c r="L252" s="17"/>
      <c r="M252" s="16" t="s">
        <v>53</v>
      </c>
      <c r="N252" s="14"/>
      <c r="O252" s="17" t="s">
        <v>54</v>
      </c>
      <c r="P252" s="10" t="s">
        <v>1032</v>
      </c>
      <c r="Q252" s="17"/>
      <c r="R252" s="18" t="s">
        <v>53</v>
      </c>
      <c r="S252" s="19"/>
      <c r="T252" s="15" t="str">
        <f aca="false">IF(R252="維持",J252,IF(R252="排除","無關新聞事件",IFERROR(INDEX(事件規則!$B$2:$B$53,MATCH(S252,事件規則!$A$2:$A$53,0)),"")))</f>
        <v>無關新聞事件</v>
      </c>
      <c r="U252" s="20" t="n">
        <f aca="false">IF(R252="維持",K252,IF(R252="排除",0,IFERROR(INDEX(事件規則!$C$2:$C$53,MATCH(S252,事件規則!$A$2:$A$53,0)),"")))</f>
        <v>0</v>
      </c>
      <c r="V252" s="21"/>
      <c r="W252" s="22"/>
      <c r="X252" s="10" t="str">
        <f aca="false">IF(AND(R252="修改",S252=""),"請選新事件代碼",IF(AND(R252&lt;&gt;"修改",S252&lt;&gt;""),"只有「修改」才需填代碼",""))</f>
        <v/>
      </c>
      <c r="Y252" s="21"/>
      <c r="Z252" s="22"/>
      <c r="AA252" s="12" t="s">
        <v>1088</v>
      </c>
      <c r="AB252" s="12"/>
    </row>
    <row r="253" customFormat="false" ht="29.85" hidden="false" customHeight="false" outlineLevel="0" collapsed="false">
      <c r="A253" s="17" t="n">
        <v>252</v>
      </c>
      <c r="B253" s="9" t="s">
        <v>223</v>
      </c>
      <c r="C253" s="9" t="s">
        <v>150</v>
      </c>
      <c r="D253" s="10" t="s">
        <v>151</v>
      </c>
      <c r="E253" s="11" t="s">
        <v>1089</v>
      </c>
      <c r="F253" s="15" t="s">
        <v>1090</v>
      </c>
      <c r="G253" s="12" t="s">
        <v>1091</v>
      </c>
      <c r="H253" s="13" t="n">
        <v>-0.717</v>
      </c>
      <c r="I253" s="14" t="s">
        <v>960</v>
      </c>
      <c r="J253" s="15" t="s">
        <v>961</v>
      </c>
      <c r="K253" s="9" t="n">
        <v>4</v>
      </c>
      <c r="L253" s="17"/>
      <c r="M253" s="16" t="s">
        <v>105</v>
      </c>
      <c r="N253" s="14"/>
      <c r="O253" s="17" t="s">
        <v>97</v>
      </c>
      <c r="P253" s="10" t="s">
        <v>1092</v>
      </c>
      <c r="Q253" s="17"/>
      <c r="R253" s="18" t="s">
        <v>105</v>
      </c>
      <c r="S253" s="19"/>
      <c r="T253" s="15" t="str">
        <f aca="false">IF(R253="維持",J253,IF(R253="排除","無關新聞事件",IFERROR(INDEX(事件規則!$B$2:$B$53,MATCH(S253,事件規則!$A$2:$A$53,0)),"")))</f>
        <v>監管調查</v>
      </c>
      <c r="U253" s="20" t="n">
        <f aca="false">IF(R253="維持",K253,IF(R253="排除",0,IFERROR(INDEX(事件規則!$C$2:$C$53,MATCH(S253,事件規則!$A$2:$A$53,0)),"")))</f>
        <v>4</v>
      </c>
      <c r="V253" s="21"/>
      <c r="W253" s="22"/>
      <c r="X253" s="10" t="str">
        <f aca="false">IF(AND(R253="修改",S253=""),"請選新事件代碼",IF(AND(R253&lt;&gt;"修改",S253&lt;&gt;""),"只有「修改」才需填代碼",""))</f>
        <v/>
      </c>
      <c r="Y253" s="21"/>
      <c r="Z253" s="22"/>
      <c r="AA253" s="12" t="s">
        <v>1093</v>
      </c>
      <c r="AB253" s="12"/>
    </row>
    <row r="254" customFormat="false" ht="29.85" hidden="false" customHeight="false" outlineLevel="0" collapsed="false">
      <c r="A254" s="17" t="n">
        <v>253</v>
      </c>
      <c r="B254" s="9" t="s">
        <v>223</v>
      </c>
      <c r="C254" s="9" t="s">
        <v>973</v>
      </c>
      <c r="D254" s="10" t="s">
        <v>974</v>
      </c>
      <c r="E254" s="11" t="s">
        <v>1094</v>
      </c>
      <c r="F254" s="10" t="s">
        <v>1095</v>
      </c>
      <c r="G254" s="12" t="s">
        <v>1096</v>
      </c>
      <c r="H254" s="13" t="n">
        <v>-0.787</v>
      </c>
      <c r="I254" s="14" t="s">
        <v>960</v>
      </c>
      <c r="J254" s="15" t="s">
        <v>961</v>
      </c>
      <c r="K254" s="9" t="n">
        <v>4</v>
      </c>
      <c r="L254" s="17"/>
      <c r="M254" s="16" t="s">
        <v>53</v>
      </c>
      <c r="N254" s="14"/>
      <c r="O254" s="17" t="s">
        <v>54</v>
      </c>
      <c r="P254" s="10" t="s">
        <v>1032</v>
      </c>
      <c r="Q254" s="17"/>
      <c r="R254" s="18" t="s">
        <v>53</v>
      </c>
      <c r="S254" s="19"/>
      <c r="T254" s="15" t="str">
        <f aca="false">IF(R254="維持",J254,IF(R254="排除","無關新聞事件",IFERROR(INDEX(事件規則!$B$2:$B$53,MATCH(S254,事件規則!$A$2:$A$53,0)),"")))</f>
        <v>無關新聞事件</v>
      </c>
      <c r="U254" s="20" t="n">
        <f aca="false">IF(R254="維持",K254,IF(R254="排除",0,IFERROR(INDEX(事件規則!$C$2:$C$53,MATCH(S254,事件規則!$A$2:$A$53,0)),"")))</f>
        <v>0</v>
      </c>
      <c r="V254" s="21"/>
      <c r="W254" s="22"/>
      <c r="X254" s="10" t="str">
        <f aca="false">IF(AND(R254="修改",S254=""),"請選新事件代碼",IF(AND(R254&lt;&gt;"修改",S254&lt;&gt;""),"只有「修改」才需填代碼",""))</f>
        <v/>
      </c>
      <c r="Y254" s="21"/>
      <c r="Z254" s="22"/>
      <c r="AA254" s="12" t="s">
        <v>1097</v>
      </c>
      <c r="AB254" s="12"/>
    </row>
    <row r="255" customFormat="false" ht="29.85" hidden="false" customHeight="false" outlineLevel="0" collapsed="false">
      <c r="A255" s="17" t="n">
        <v>254</v>
      </c>
      <c r="B255" s="9" t="s">
        <v>223</v>
      </c>
      <c r="C255" s="9" t="s">
        <v>973</v>
      </c>
      <c r="D255" s="10" t="s">
        <v>974</v>
      </c>
      <c r="E255" s="11" t="s">
        <v>1098</v>
      </c>
      <c r="F255" s="10" t="s">
        <v>1099</v>
      </c>
      <c r="G255" s="12" t="s">
        <v>1100</v>
      </c>
      <c r="H255" s="13" t="n">
        <v>-0.074</v>
      </c>
      <c r="I255" s="14" t="s">
        <v>960</v>
      </c>
      <c r="J255" s="15" t="s">
        <v>961</v>
      </c>
      <c r="K255" s="9" t="n">
        <v>4</v>
      </c>
      <c r="L255" s="17"/>
      <c r="M255" s="16" t="s">
        <v>53</v>
      </c>
      <c r="N255" s="14"/>
      <c r="O255" s="17" t="s">
        <v>54</v>
      </c>
      <c r="P255" s="10" t="s">
        <v>1032</v>
      </c>
      <c r="Q255" s="17"/>
      <c r="R255" s="18" t="s">
        <v>53</v>
      </c>
      <c r="S255" s="19"/>
      <c r="T255" s="15" t="str">
        <f aca="false">IF(R255="維持",J255,IF(R255="排除","無關新聞事件",IFERROR(INDEX(事件規則!$B$2:$B$53,MATCH(S255,事件規則!$A$2:$A$53,0)),"")))</f>
        <v>無關新聞事件</v>
      </c>
      <c r="U255" s="20" t="n">
        <f aca="false">IF(R255="維持",K255,IF(R255="排除",0,IFERROR(INDEX(事件規則!$C$2:$C$53,MATCH(S255,事件規則!$A$2:$A$53,0)),"")))</f>
        <v>0</v>
      </c>
      <c r="V255" s="21"/>
      <c r="W255" s="22"/>
      <c r="X255" s="10" t="str">
        <f aca="false">IF(AND(R255="修改",S255=""),"請選新事件代碼",IF(AND(R255&lt;&gt;"修改",S255&lt;&gt;""),"只有「修改」才需填代碼",""))</f>
        <v/>
      </c>
      <c r="Y255" s="21"/>
      <c r="Z255" s="22"/>
      <c r="AA255" s="12" t="s">
        <v>1101</v>
      </c>
      <c r="AB255" s="12"/>
    </row>
    <row r="256" customFormat="false" ht="23.85" hidden="false" customHeight="false" outlineLevel="0" collapsed="false">
      <c r="A256" s="17" t="n">
        <v>255</v>
      </c>
      <c r="B256" s="9" t="s">
        <v>381</v>
      </c>
      <c r="C256" s="9" t="s">
        <v>970</v>
      </c>
      <c r="D256" s="10" t="s">
        <v>971</v>
      </c>
      <c r="E256" s="11" t="s">
        <v>1102</v>
      </c>
      <c r="F256" s="15"/>
      <c r="G256" s="12" t="s">
        <v>800</v>
      </c>
      <c r="H256" s="13" t="n">
        <v>-0.836</v>
      </c>
      <c r="I256" s="14" t="s">
        <v>960</v>
      </c>
      <c r="J256" s="15" t="s">
        <v>961</v>
      </c>
      <c r="K256" s="9" t="n">
        <v>4</v>
      </c>
      <c r="L256" s="17"/>
      <c r="M256" s="16" t="s">
        <v>105</v>
      </c>
      <c r="N256" s="14"/>
      <c r="O256" s="17" t="s">
        <v>97</v>
      </c>
      <c r="P256" s="10" t="s">
        <v>1103</v>
      </c>
      <c r="Q256" s="17"/>
      <c r="R256" s="18" t="s">
        <v>105</v>
      </c>
      <c r="S256" s="19"/>
      <c r="T256" s="15" t="str">
        <f aca="false">IF(R256="維持",J256,IF(R256="排除","無關新聞事件",IFERROR(INDEX(事件規則!$B$2:$B$53,MATCH(S256,事件規則!$A$2:$A$53,0)),"")))</f>
        <v>監管調查</v>
      </c>
      <c r="U256" s="20" t="n">
        <f aca="false">IF(R256="維持",K256,IF(R256="排除",0,IFERROR(INDEX(事件規則!$C$2:$C$53,MATCH(S256,事件規則!$A$2:$A$53,0)),"")))</f>
        <v>4</v>
      </c>
      <c r="V256" s="21"/>
      <c r="W256" s="22"/>
      <c r="X256" s="10" t="str">
        <f aca="false">IF(AND(R256="修改",S256=""),"請選新事件代碼",IF(AND(R256&lt;&gt;"修改",S256&lt;&gt;""),"只有「修改」才需填代碼",""))</f>
        <v/>
      </c>
      <c r="Y256" s="21"/>
      <c r="Z256" s="22"/>
      <c r="AA256" s="12" t="s">
        <v>1104</v>
      </c>
      <c r="AB256" s="12"/>
    </row>
    <row r="257" customFormat="false" ht="23.85" hidden="false" customHeight="false" outlineLevel="0" collapsed="false">
      <c r="A257" s="17" t="n">
        <v>256</v>
      </c>
      <c r="B257" s="9" t="s">
        <v>836</v>
      </c>
      <c r="C257" s="9" t="s">
        <v>1105</v>
      </c>
      <c r="D257" s="10" t="s">
        <v>1106</v>
      </c>
      <c r="E257" s="11" t="s">
        <v>1107</v>
      </c>
      <c r="F257" s="15"/>
      <c r="G257" s="12" t="s">
        <v>373</v>
      </c>
      <c r="H257" s="13" t="n">
        <v>-0.021</v>
      </c>
      <c r="I257" s="14" t="s">
        <v>960</v>
      </c>
      <c r="J257" s="15" t="s">
        <v>961</v>
      </c>
      <c r="K257" s="9" t="n">
        <v>4</v>
      </c>
      <c r="L257" s="17"/>
      <c r="M257" s="16" t="s">
        <v>105</v>
      </c>
      <c r="N257" s="14"/>
      <c r="O257" s="17" t="s">
        <v>54</v>
      </c>
      <c r="P257" s="15" t="s">
        <v>1108</v>
      </c>
      <c r="Q257" s="17"/>
      <c r="R257" s="18" t="s">
        <v>105</v>
      </c>
      <c r="S257" s="19"/>
      <c r="T257" s="15" t="str">
        <f aca="false">IF(R257="維持",J257,IF(R257="排除","無關新聞事件",IFERROR(INDEX(事件規則!$B$2:$B$53,MATCH(S257,事件規則!$A$2:$A$53,0)),"")))</f>
        <v>監管調查</v>
      </c>
      <c r="U257" s="20" t="n">
        <f aca="false">IF(R257="維持",K257,IF(R257="排除",0,IFERROR(INDEX(事件規則!$C$2:$C$53,MATCH(S257,事件規則!$A$2:$A$53,0)),"")))</f>
        <v>4</v>
      </c>
      <c r="V257" s="21"/>
      <c r="W257" s="22"/>
      <c r="X257" s="10" t="str">
        <f aca="false">IF(AND(R257="修改",S257=""),"請選新事件代碼",IF(AND(R257&lt;&gt;"修改",S257&lt;&gt;""),"只有「修改」才需填代碼",""))</f>
        <v/>
      </c>
      <c r="Y257" s="21"/>
      <c r="Z257" s="22"/>
      <c r="AA257" s="12" t="s">
        <v>1109</v>
      </c>
      <c r="AB257" s="12"/>
    </row>
    <row r="258" customFormat="false" ht="23.85" hidden="false" customHeight="false" outlineLevel="0" collapsed="false">
      <c r="A258" s="17" t="n">
        <v>257</v>
      </c>
      <c r="B258" s="9" t="s">
        <v>855</v>
      </c>
      <c r="C258" s="9" t="s">
        <v>1110</v>
      </c>
      <c r="D258" s="10" t="s">
        <v>1111</v>
      </c>
      <c r="E258" s="11" t="s">
        <v>1112</v>
      </c>
      <c r="F258" s="15"/>
      <c r="G258" s="12" t="s">
        <v>84</v>
      </c>
      <c r="H258" s="13" t="n">
        <v>0.258</v>
      </c>
      <c r="I258" s="14" t="s">
        <v>960</v>
      </c>
      <c r="J258" s="15" t="s">
        <v>961</v>
      </c>
      <c r="K258" s="9" t="n">
        <v>4</v>
      </c>
      <c r="L258" s="17"/>
      <c r="M258" s="16" t="s">
        <v>105</v>
      </c>
      <c r="N258" s="14"/>
      <c r="O258" s="17" t="s">
        <v>97</v>
      </c>
      <c r="P258" s="10" t="s">
        <v>1113</v>
      </c>
      <c r="Q258" s="17"/>
      <c r="R258" s="18" t="s">
        <v>105</v>
      </c>
      <c r="S258" s="19"/>
      <c r="T258" s="15" t="str">
        <f aca="false">IF(R258="維持",J258,IF(R258="排除","無關新聞事件",IFERROR(INDEX(事件規則!$B$2:$B$53,MATCH(S258,事件規則!$A$2:$A$53,0)),"")))</f>
        <v>監管調查</v>
      </c>
      <c r="U258" s="20" t="n">
        <f aca="false">IF(R258="維持",K258,IF(R258="排除",0,IFERROR(INDEX(事件規則!$C$2:$C$53,MATCH(S258,事件規則!$A$2:$A$53,0)),"")))</f>
        <v>4</v>
      </c>
      <c r="V258" s="21"/>
      <c r="W258" s="22"/>
      <c r="X258" s="10" t="str">
        <f aca="false">IF(AND(R258="修改",S258=""),"請選新事件代碼",IF(AND(R258&lt;&gt;"修改",S258&lt;&gt;""),"只有「修改」才需填代碼",""))</f>
        <v/>
      </c>
      <c r="Y258" s="21"/>
      <c r="Z258" s="22"/>
      <c r="AA258" s="12" t="s">
        <v>1114</v>
      </c>
      <c r="AB258" s="12"/>
    </row>
    <row r="259" customFormat="false" ht="23.85" hidden="false" customHeight="false" outlineLevel="0" collapsed="false">
      <c r="A259" s="17" t="n">
        <v>258</v>
      </c>
      <c r="B259" s="9" t="s">
        <v>286</v>
      </c>
      <c r="C259" s="9" t="s">
        <v>80</v>
      </c>
      <c r="D259" s="10" t="s">
        <v>81</v>
      </c>
      <c r="E259" s="11" t="s">
        <v>1115</v>
      </c>
      <c r="F259" s="15"/>
      <c r="G259" s="12" t="s">
        <v>167</v>
      </c>
      <c r="H259" s="13" t="n">
        <v>-0.506</v>
      </c>
      <c r="I259" s="14" t="s">
        <v>960</v>
      </c>
      <c r="J259" s="15" t="s">
        <v>961</v>
      </c>
      <c r="K259" s="9" t="n">
        <v>4</v>
      </c>
      <c r="L259" s="17"/>
      <c r="M259" s="16" t="s">
        <v>53</v>
      </c>
      <c r="N259" s="14"/>
      <c r="O259" s="17" t="s">
        <v>97</v>
      </c>
      <c r="P259" s="15" t="s">
        <v>1116</v>
      </c>
      <c r="Q259" s="17"/>
      <c r="R259" s="18" t="s">
        <v>53</v>
      </c>
      <c r="S259" s="19"/>
      <c r="T259" s="15" t="str">
        <f aca="false">IF(R259="維持",J259,IF(R259="排除","無關新聞事件",IFERROR(INDEX(事件規則!$B$2:$B$53,MATCH(S259,事件規則!$A$2:$A$53,0)),"")))</f>
        <v>無關新聞事件</v>
      </c>
      <c r="U259" s="20" t="n">
        <f aca="false">IF(R259="維持",K259,IF(R259="排除",0,IFERROR(INDEX(事件規則!$C$2:$C$53,MATCH(S259,事件規則!$A$2:$A$53,0)),"")))</f>
        <v>0</v>
      </c>
      <c r="V259" s="21"/>
      <c r="W259" s="22"/>
      <c r="X259" s="10" t="str">
        <f aca="false">IF(AND(R259="修改",S259=""),"請選新事件代碼",IF(AND(R259&lt;&gt;"修改",S259&lt;&gt;""),"只有「修改」才需填代碼",""))</f>
        <v/>
      </c>
      <c r="Y259" s="21"/>
      <c r="Z259" s="22"/>
      <c r="AA259" s="12" t="s">
        <v>1117</v>
      </c>
      <c r="AB259" s="12"/>
    </row>
    <row r="260" customFormat="false" ht="29.85" hidden="false" customHeight="false" outlineLevel="0" collapsed="false">
      <c r="A260" s="17" t="n">
        <v>259</v>
      </c>
      <c r="B260" s="9" t="s">
        <v>286</v>
      </c>
      <c r="C260" s="9" t="s">
        <v>1118</v>
      </c>
      <c r="D260" s="10" t="s">
        <v>1119</v>
      </c>
      <c r="E260" s="11" t="s">
        <v>1120</v>
      </c>
      <c r="F260" s="15"/>
      <c r="G260" s="12" t="s">
        <v>1121</v>
      </c>
      <c r="H260" s="13" t="n">
        <v>-0.273</v>
      </c>
      <c r="I260" s="14" t="s">
        <v>960</v>
      </c>
      <c r="J260" s="15" t="s">
        <v>961</v>
      </c>
      <c r="K260" s="9" t="n">
        <v>4</v>
      </c>
      <c r="L260" s="17"/>
      <c r="M260" s="16" t="s">
        <v>95</v>
      </c>
      <c r="N260" s="14" t="s">
        <v>695</v>
      </c>
      <c r="O260" s="17" t="s">
        <v>54</v>
      </c>
      <c r="P260" s="10" t="s">
        <v>1122</v>
      </c>
      <c r="Q260" s="17"/>
      <c r="R260" s="18" t="s">
        <v>95</v>
      </c>
      <c r="S260" s="19" t="s">
        <v>695</v>
      </c>
      <c r="T260" s="15" t="str">
        <f aca="false">IF(R260="維持",J260,IF(R260="排除","無關新聞事件",IFERROR(INDEX(事件規則!$B$2:$B$53,MATCH(S260,事件規則!$A$2:$A$53,0)),"")))</f>
        <v>監管裁罰</v>
      </c>
      <c r="U260" s="20" t="n">
        <f aca="false">IF(R260="維持",K260,IF(R260="排除",0,IFERROR(INDEX(事件規則!$C$2:$C$53,MATCH(S260,事件規則!$A$2:$A$53,0)),"")))</f>
        <v>4</v>
      </c>
      <c r="V260" s="21"/>
      <c r="W260" s="22"/>
      <c r="X260" s="10" t="str">
        <f aca="false">IF(AND(R260="修改",S260=""),"請選新事件代碼",IF(AND(R260&lt;&gt;"修改",S260&lt;&gt;""),"只有「修改」才需填代碼",""))</f>
        <v/>
      </c>
      <c r="Y260" s="21"/>
      <c r="Z260" s="22"/>
      <c r="AA260" s="12" t="s">
        <v>1123</v>
      </c>
      <c r="AB260" s="12"/>
    </row>
    <row r="261" customFormat="false" ht="23.85" hidden="false" customHeight="false" outlineLevel="0" collapsed="false">
      <c r="A261" s="17" t="n">
        <v>260</v>
      </c>
      <c r="B261" s="9" t="s">
        <v>286</v>
      </c>
      <c r="C261" s="9" t="s">
        <v>150</v>
      </c>
      <c r="D261" s="10" t="s">
        <v>151</v>
      </c>
      <c r="E261" s="11" t="s">
        <v>1115</v>
      </c>
      <c r="F261" s="15"/>
      <c r="G261" s="12" t="s">
        <v>167</v>
      </c>
      <c r="H261" s="13" t="n">
        <v>-0.506</v>
      </c>
      <c r="I261" s="14" t="s">
        <v>960</v>
      </c>
      <c r="J261" s="15" t="s">
        <v>961</v>
      </c>
      <c r="K261" s="9" t="n">
        <v>4</v>
      </c>
      <c r="L261" s="17"/>
      <c r="M261" s="16" t="s">
        <v>53</v>
      </c>
      <c r="N261" s="14"/>
      <c r="O261" s="17" t="s">
        <v>97</v>
      </c>
      <c r="P261" s="15" t="s">
        <v>1116</v>
      </c>
      <c r="Q261" s="17"/>
      <c r="R261" s="18" t="s">
        <v>53</v>
      </c>
      <c r="S261" s="19"/>
      <c r="T261" s="15" t="str">
        <f aca="false">IF(R261="維持",J261,IF(R261="排除","無關新聞事件",IFERROR(INDEX(事件規則!$B$2:$B$53,MATCH(S261,事件規則!$A$2:$A$53,0)),"")))</f>
        <v>無關新聞事件</v>
      </c>
      <c r="U261" s="20" t="n">
        <f aca="false">IF(R261="維持",K261,IF(R261="排除",0,IFERROR(INDEX(事件規則!$C$2:$C$53,MATCH(S261,事件規則!$A$2:$A$53,0)),"")))</f>
        <v>0</v>
      </c>
      <c r="V261" s="21"/>
      <c r="W261" s="22"/>
      <c r="X261" s="10" t="str">
        <f aca="false">IF(AND(R261="修改",S261=""),"請選新事件代碼",IF(AND(R261&lt;&gt;"修改",S261&lt;&gt;""),"只有「修改」才需填代碼",""))</f>
        <v/>
      </c>
      <c r="Y261" s="21"/>
      <c r="Z261" s="22"/>
      <c r="AA261" s="12" t="s">
        <v>1124</v>
      </c>
      <c r="AB261" s="12"/>
    </row>
    <row r="262" customFormat="false" ht="23.85" hidden="false" customHeight="false" outlineLevel="0" collapsed="false">
      <c r="A262" s="17" t="n">
        <v>261</v>
      </c>
      <c r="B262" s="9" t="s">
        <v>295</v>
      </c>
      <c r="C262" s="9" t="s">
        <v>80</v>
      </c>
      <c r="D262" s="10" t="s">
        <v>81</v>
      </c>
      <c r="E262" s="11" t="s">
        <v>1125</v>
      </c>
      <c r="F262" s="15"/>
      <c r="G262" s="12" t="s">
        <v>167</v>
      </c>
      <c r="H262" s="13" t="n">
        <v>-0.477</v>
      </c>
      <c r="I262" s="14" t="s">
        <v>960</v>
      </c>
      <c r="J262" s="15" t="s">
        <v>961</v>
      </c>
      <c r="K262" s="9" t="n">
        <v>4</v>
      </c>
      <c r="L262" s="17"/>
      <c r="M262" s="16" t="s">
        <v>53</v>
      </c>
      <c r="N262" s="14"/>
      <c r="O262" s="17" t="s">
        <v>97</v>
      </c>
      <c r="P262" s="15" t="s">
        <v>1116</v>
      </c>
      <c r="Q262" s="17"/>
      <c r="R262" s="18" t="s">
        <v>53</v>
      </c>
      <c r="S262" s="19"/>
      <c r="T262" s="15" t="str">
        <f aca="false">IF(R262="維持",J262,IF(R262="排除","無關新聞事件",IFERROR(INDEX(事件規則!$B$2:$B$53,MATCH(S262,事件規則!$A$2:$A$53,0)),"")))</f>
        <v>無關新聞事件</v>
      </c>
      <c r="U262" s="20" t="n">
        <f aca="false">IF(R262="維持",K262,IF(R262="排除",0,IFERROR(INDEX(事件規則!$C$2:$C$53,MATCH(S262,事件規則!$A$2:$A$53,0)),"")))</f>
        <v>0</v>
      </c>
      <c r="V262" s="21"/>
      <c r="W262" s="22"/>
      <c r="X262" s="10" t="str">
        <f aca="false">IF(AND(R262="修改",S262=""),"請選新事件代碼",IF(AND(R262&lt;&gt;"修改",S262&lt;&gt;""),"只有「修改」才需填代碼",""))</f>
        <v/>
      </c>
      <c r="Y262" s="21"/>
      <c r="Z262" s="22"/>
      <c r="AA262" s="12" t="s">
        <v>1126</v>
      </c>
      <c r="AB262" s="12"/>
    </row>
    <row r="263" customFormat="false" ht="29.85" hidden="false" customHeight="false" outlineLevel="0" collapsed="false">
      <c r="A263" s="17" t="n">
        <v>262</v>
      </c>
      <c r="B263" s="9" t="s">
        <v>295</v>
      </c>
      <c r="C263" s="17"/>
      <c r="D263" s="10" t="s">
        <v>1127</v>
      </c>
      <c r="E263" s="11" t="s">
        <v>1128</v>
      </c>
      <c r="F263" s="15"/>
      <c r="G263" s="12" t="s">
        <v>84</v>
      </c>
      <c r="H263" s="13" t="n">
        <v>0.015</v>
      </c>
      <c r="I263" s="14" t="s">
        <v>960</v>
      </c>
      <c r="J263" s="15" t="s">
        <v>961</v>
      </c>
      <c r="K263" s="9" t="n">
        <v>4</v>
      </c>
      <c r="L263" s="17" t="s">
        <v>320</v>
      </c>
      <c r="M263" s="16" t="s">
        <v>95</v>
      </c>
      <c r="N263" s="14" t="s">
        <v>695</v>
      </c>
      <c r="O263" s="17" t="s">
        <v>54</v>
      </c>
      <c r="P263" s="10" t="s">
        <v>1122</v>
      </c>
      <c r="Q263" s="17"/>
      <c r="R263" s="18" t="s">
        <v>95</v>
      </c>
      <c r="S263" s="19" t="s">
        <v>695</v>
      </c>
      <c r="T263" s="15" t="str">
        <f aca="false">IF(R263="維持",J263,IF(R263="排除","無關新聞事件",IFERROR(INDEX(事件規則!$B$2:$B$53,MATCH(S263,事件規則!$A$2:$A$53,0)),"")))</f>
        <v>監管裁罰</v>
      </c>
      <c r="U263" s="20" t="n">
        <f aca="false">IF(R263="維持",K263,IF(R263="排除",0,IFERROR(INDEX(事件規則!$C$2:$C$53,MATCH(S263,事件規則!$A$2:$A$53,0)),"")))</f>
        <v>4</v>
      </c>
      <c r="V263" s="21"/>
      <c r="W263" s="22" t="s">
        <v>1118</v>
      </c>
      <c r="X263" s="10" t="str">
        <f aca="false">IF(AND(R263="修改",S263=""),"請選新事件代碼",IF(AND(R263&lt;&gt;"修改",S263&lt;&gt;""),"只有「修改」才需填代碼",""))</f>
        <v/>
      </c>
      <c r="Y263" s="21"/>
      <c r="Z263" s="22"/>
      <c r="AA263" s="12" t="s">
        <v>1129</v>
      </c>
      <c r="AB263" s="12"/>
    </row>
    <row r="264" customFormat="false" ht="29.85" hidden="false" customHeight="false" outlineLevel="0" collapsed="false">
      <c r="A264" s="17" t="n">
        <v>263</v>
      </c>
      <c r="B264" s="9" t="s">
        <v>112</v>
      </c>
      <c r="C264" s="9" t="s">
        <v>91</v>
      </c>
      <c r="D264" s="10" t="s">
        <v>92</v>
      </c>
      <c r="E264" s="11" t="s">
        <v>1130</v>
      </c>
      <c r="F264" s="15"/>
      <c r="G264" s="12" t="s">
        <v>84</v>
      </c>
      <c r="H264" s="13" t="n">
        <v>-0.02</v>
      </c>
      <c r="I264" s="14" t="s">
        <v>960</v>
      </c>
      <c r="J264" s="15" t="s">
        <v>961</v>
      </c>
      <c r="K264" s="9" t="n">
        <v>4</v>
      </c>
      <c r="L264" s="17"/>
      <c r="M264" s="16" t="s">
        <v>53</v>
      </c>
      <c r="N264" s="14"/>
      <c r="O264" s="17" t="s">
        <v>54</v>
      </c>
      <c r="P264" s="10" t="s">
        <v>1131</v>
      </c>
      <c r="Q264" s="17"/>
      <c r="R264" s="18" t="s">
        <v>53</v>
      </c>
      <c r="S264" s="19"/>
      <c r="T264" s="15" t="str">
        <f aca="false">IF(R264="維持",J264,IF(R264="排除","無關新聞事件",IFERROR(INDEX(事件規則!$B$2:$B$53,MATCH(S264,事件規則!$A$2:$A$53,0)),"")))</f>
        <v>無關新聞事件</v>
      </c>
      <c r="U264" s="20" t="n">
        <f aca="false">IF(R264="維持",K264,IF(R264="排除",0,IFERROR(INDEX(事件規則!$C$2:$C$53,MATCH(S264,事件規則!$A$2:$A$53,0)),"")))</f>
        <v>0</v>
      </c>
      <c r="V264" s="21"/>
      <c r="W264" s="22"/>
      <c r="X264" s="10" t="str">
        <f aca="false">IF(AND(R264="修改",S264=""),"請選新事件代碼",IF(AND(R264&lt;&gt;"修改",S264&lt;&gt;""),"只有「修改」才需填代碼",""))</f>
        <v/>
      </c>
      <c r="Y264" s="21"/>
      <c r="Z264" s="22"/>
      <c r="AA264" s="12" t="s">
        <v>1132</v>
      </c>
      <c r="AB264" s="12"/>
    </row>
    <row r="265" customFormat="false" ht="29.85" hidden="false" customHeight="false" outlineLevel="0" collapsed="false">
      <c r="A265" s="17" t="n">
        <v>264</v>
      </c>
      <c r="B265" s="9" t="s">
        <v>871</v>
      </c>
      <c r="C265" s="9" t="s">
        <v>91</v>
      </c>
      <c r="D265" s="10" t="s">
        <v>92</v>
      </c>
      <c r="E265" s="11" t="s">
        <v>1133</v>
      </c>
      <c r="F265" s="15"/>
      <c r="G265" s="12" t="s">
        <v>84</v>
      </c>
      <c r="H265" s="13" t="n">
        <v>0.441</v>
      </c>
      <c r="I265" s="14" t="s">
        <v>960</v>
      </c>
      <c r="J265" s="15" t="s">
        <v>961</v>
      </c>
      <c r="K265" s="9" t="n">
        <v>4</v>
      </c>
      <c r="L265" s="17"/>
      <c r="M265" s="16" t="s">
        <v>53</v>
      </c>
      <c r="N265" s="14"/>
      <c r="O265" s="17" t="s">
        <v>54</v>
      </c>
      <c r="P265" s="10" t="s">
        <v>1131</v>
      </c>
      <c r="Q265" s="17"/>
      <c r="R265" s="18" t="s">
        <v>53</v>
      </c>
      <c r="S265" s="19"/>
      <c r="T265" s="15" t="str">
        <f aca="false">IF(R265="維持",J265,IF(R265="排除","無關新聞事件",IFERROR(INDEX(事件規則!$B$2:$B$53,MATCH(S265,事件規則!$A$2:$A$53,0)),"")))</f>
        <v>無關新聞事件</v>
      </c>
      <c r="U265" s="20" t="n">
        <f aca="false">IF(R265="維持",K265,IF(R265="排除",0,IFERROR(INDEX(事件規則!$C$2:$C$53,MATCH(S265,事件規則!$A$2:$A$53,0)),"")))</f>
        <v>0</v>
      </c>
      <c r="V265" s="21"/>
      <c r="W265" s="22"/>
      <c r="X265" s="10" t="str">
        <f aca="false">IF(AND(R265="修改",S265=""),"請選新事件代碼",IF(AND(R265&lt;&gt;"修改",S265&lt;&gt;""),"只有「修改」才需填代碼",""))</f>
        <v/>
      </c>
      <c r="Y265" s="21"/>
      <c r="Z265" s="22"/>
      <c r="AA265" s="12" t="s">
        <v>1134</v>
      </c>
      <c r="AB265" s="12"/>
    </row>
    <row r="266" customFormat="false" ht="29.85" hidden="false" customHeight="false" outlineLevel="0" collapsed="false">
      <c r="A266" s="17" t="n">
        <v>265</v>
      </c>
      <c r="B266" s="9" t="s">
        <v>871</v>
      </c>
      <c r="C266" s="9" t="s">
        <v>91</v>
      </c>
      <c r="D266" s="10" t="s">
        <v>92</v>
      </c>
      <c r="E266" s="11" t="s">
        <v>1135</v>
      </c>
      <c r="F266" s="15"/>
      <c r="G266" s="12" t="s">
        <v>92</v>
      </c>
      <c r="H266" s="13" t="n">
        <v>0.327</v>
      </c>
      <c r="I266" s="14" t="s">
        <v>960</v>
      </c>
      <c r="J266" s="15" t="s">
        <v>961</v>
      </c>
      <c r="K266" s="9" t="n">
        <v>4</v>
      </c>
      <c r="L266" s="17"/>
      <c r="M266" s="16" t="s">
        <v>53</v>
      </c>
      <c r="N266" s="14"/>
      <c r="O266" s="17" t="s">
        <v>54</v>
      </c>
      <c r="P266" s="10" t="s">
        <v>1131</v>
      </c>
      <c r="Q266" s="17"/>
      <c r="R266" s="18" t="s">
        <v>53</v>
      </c>
      <c r="S266" s="19"/>
      <c r="T266" s="15" t="str">
        <f aca="false">IF(R266="維持",J266,IF(R266="排除","無關新聞事件",IFERROR(INDEX(事件規則!$B$2:$B$53,MATCH(S266,事件規則!$A$2:$A$53,0)),"")))</f>
        <v>無關新聞事件</v>
      </c>
      <c r="U266" s="20" t="n">
        <f aca="false">IF(R266="維持",K266,IF(R266="排除",0,IFERROR(INDEX(事件規則!$C$2:$C$53,MATCH(S266,事件規則!$A$2:$A$53,0)),"")))</f>
        <v>0</v>
      </c>
      <c r="V266" s="21"/>
      <c r="W266" s="22"/>
      <c r="X266" s="10" t="str">
        <f aca="false">IF(AND(R266="修改",S266=""),"請選新事件代碼",IF(AND(R266&lt;&gt;"修改",S266&lt;&gt;""),"只有「修改」才需填代碼",""))</f>
        <v/>
      </c>
      <c r="Y266" s="21"/>
      <c r="Z266" s="22"/>
      <c r="AA266" s="12" t="s">
        <v>1136</v>
      </c>
      <c r="AB266" s="12"/>
    </row>
    <row r="267" customFormat="false" ht="29.85" hidden="false" customHeight="false" outlineLevel="0" collapsed="false">
      <c r="A267" s="17" t="n">
        <v>266</v>
      </c>
      <c r="B267" s="9" t="s">
        <v>871</v>
      </c>
      <c r="C267" s="9" t="s">
        <v>91</v>
      </c>
      <c r="D267" s="10" t="s">
        <v>92</v>
      </c>
      <c r="E267" s="11" t="s">
        <v>1137</v>
      </c>
      <c r="F267" s="15"/>
      <c r="G267" s="12" t="s">
        <v>84</v>
      </c>
      <c r="H267" s="13" t="n">
        <v>0.025</v>
      </c>
      <c r="I267" s="14" t="s">
        <v>960</v>
      </c>
      <c r="J267" s="15" t="s">
        <v>961</v>
      </c>
      <c r="K267" s="9" t="n">
        <v>4</v>
      </c>
      <c r="L267" s="17"/>
      <c r="M267" s="16" t="s">
        <v>53</v>
      </c>
      <c r="N267" s="14"/>
      <c r="O267" s="17" t="s">
        <v>54</v>
      </c>
      <c r="P267" s="10" t="s">
        <v>1131</v>
      </c>
      <c r="Q267" s="17"/>
      <c r="R267" s="18" t="s">
        <v>53</v>
      </c>
      <c r="S267" s="19"/>
      <c r="T267" s="15" t="str">
        <f aca="false">IF(R267="維持",J267,IF(R267="排除","無關新聞事件",IFERROR(INDEX(事件規則!$B$2:$B$53,MATCH(S267,事件規則!$A$2:$A$53,0)),"")))</f>
        <v>無關新聞事件</v>
      </c>
      <c r="U267" s="20" t="n">
        <f aca="false">IF(R267="維持",K267,IF(R267="排除",0,IFERROR(INDEX(事件規則!$C$2:$C$53,MATCH(S267,事件規則!$A$2:$A$53,0)),"")))</f>
        <v>0</v>
      </c>
      <c r="V267" s="21"/>
      <c r="W267" s="22"/>
      <c r="X267" s="10" t="str">
        <f aca="false">IF(AND(R267="修改",S267=""),"請選新事件代碼",IF(AND(R267&lt;&gt;"修改",S267&lt;&gt;""),"只有「修改」才需填代碼",""))</f>
        <v/>
      </c>
      <c r="Y267" s="21"/>
      <c r="Z267" s="22"/>
      <c r="AA267" s="12" t="s">
        <v>1138</v>
      </c>
      <c r="AB267" s="12"/>
    </row>
    <row r="268" customFormat="false" ht="29.85" hidden="false" customHeight="false" outlineLevel="0" collapsed="false">
      <c r="A268" s="17" t="n">
        <v>267</v>
      </c>
      <c r="B268" s="9" t="s">
        <v>1139</v>
      </c>
      <c r="C268" s="9" t="s">
        <v>91</v>
      </c>
      <c r="D268" s="10" t="s">
        <v>92</v>
      </c>
      <c r="E268" s="11" t="s">
        <v>1140</v>
      </c>
      <c r="F268" s="15"/>
      <c r="G268" s="12" t="s">
        <v>1141</v>
      </c>
      <c r="H268" s="13" t="n">
        <v>0.519</v>
      </c>
      <c r="I268" s="14" t="s">
        <v>960</v>
      </c>
      <c r="J268" s="15" t="s">
        <v>961</v>
      </c>
      <c r="K268" s="9" t="n">
        <v>4</v>
      </c>
      <c r="L268" s="17"/>
      <c r="M268" s="16" t="s">
        <v>53</v>
      </c>
      <c r="N268" s="14"/>
      <c r="O268" s="17" t="s">
        <v>54</v>
      </c>
      <c r="P268" s="10" t="s">
        <v>1131</v>
      </c>
      <c r="Q268" s="17"/>
      <c r="R268" s="18" t="s">
        <v>53</v>
      </c>
      <c r="S268" s="19"/>
      <c r="T268" s="15" t="str">
        <f aca="false">IF(R268="維持",J268,IF(R268="排除","無關新聞事件",IFERROR(INDEX(事件規則!$B$2:$B$53,MATCH(S268,事件規則!$A$2:$A$53,0)),"")))</f>
        <v>無關新聞事件</v>
      </c>
      <c r="U268" s="20" t="n">
        <f aca="false">IF(R268="維持",K268,IF(R268="排除",0,IFERROR(INDEX(事件規則!$C$2:$C$53,MATCH(S268,事件規則!$A$2:$A$53,0)),"")))</f>
        <v>0</v>
      </c>
      <c r="V268" s="21"/>
      <c r="W268" s="22"/>
      <c r="X268" s="10" t="str">
        <f aca="false">IF(AND(R268="修改",S268=""),"請選新事件代碼",IF(AND(R268&lt;&gt;"修改",S268&lt;&gt;""),"只有「修改」才需填代碼",""))</f>
        <v/>
      </c>
      <c r="Y268" s="21"/>
      <c r="Z268" s="22"/>
      <c r="AA268" s="12" t="s">
        <v>1142</v>
      </c>
      <c r="AB268" s="12"/>
    </row>
    <row r="269" customFormat="false" ht="29.85" hidden="false" customHeight="false" outlineLevel="0" collapsed="false">
      <c r="A269" s="17" t="n">
        <v>268</v>
      </c>
      <c r="B269" s="9" t="s">
        <v>897</v>
      </c>
      <c r="C269" s="9" t="s">
        <v>905</v>
      </c>
      <c r="D269" s="10" t="s">
        <v>906</v>
      </c>
      <c r="E269" s="11" t="s">
        <v>1143</v>
      </c>
      <c r="F269" s="15"/>
      <c r="G269" s="12" t="s">
        <v>84</v>
      </c>
      <c r="H269" s="13" t="n">
        <v>-0.02</v>
      </c>
      <c r="I269" s="14" t="s">
        <v>960</v>
      </c>
      <c r="J269" s="15" t="s">
        <v>961</v>
      </c>
      <c r="K269" s="9" t="n">
        <v>4</v>
      </c>
      <c r="L269" s="17"/>
      <c r="M269" s="16" t="s">
        <v>53</v>
      </c>
      <c r="N269" s="14"/>
      <c r="O269" s="17" t="s">
        <v>54</v>
      </c>
      <c r="P269" s="10" t="s">
        <v>1144</v>
      </c>
      <c r="Q269" s="17"/>
      <c r="R269" s="18" t="s">
        <v>53</v>
      </c>
      <c r="S269" s="19"/>
      <c r="T269" s="15" t="str">
        <f aca="false">IF(R269="維持",J269,IF(R269="排除","無關新聞事件",IFERROR(INDEX(事件規則!$B$2:$B$53,MATCH(S269,事件規則!$A$2:$A$53,0)),"")))</f>
        <v>無關新聞事件</v>
      </c>
      <c r="U269" s="20" t="n">
        <f aca="false">IF(R269="維持",K269,IF(R269="排除",0,IFERROR(INDEX(事件規則!$C$2:$C$53,MATCH(S269,事件規則!$A$2:$A$53,0)),"")))</f>
        <v>0</v>
      </c>
      <c r="V269" s="21"/>
      <c r="W269" s="22"/>
      <c r="X269" s="10" t="str">
        <f aca="false">IF(AND(R269="修改",S269=""),"請選新事件代碼",IF(AND(R269&lt;&gt;"修改",S269&lt;&gt;""),"只有「修改」才需填代碼",""))</f>
        <v/>
      </c>
      <c r="Y269" s="21"/>
      <c r="Z269" s="22"/>
      <c r="AA269" s="12" t="s">
        <v>1145</v>
      </c>
      <c r="AB269" s="12"/>
    </row>
    <row r="270" customFormat="false" ht="29.85" hidden="false" customHeight="false" outlineLevel="0" collapsed="false">
      <c r="A270" s="17" t="n">
        <v>269</v>
      </c>
      <c r="B270" s="9" t="s">
        <v>897</v>
      </c>
      <c r="C270" s="9" t="s">
        <v>905</v>
      </c>
      <c r="D270" s="10" t="s">
        <v>906</v>
      </c>
      <c r="E270" s="11" t="s">
        <v>1146</v>
      </c>
      <c r="F270" s="15"/>
      <c r="G270" s="12" t="s">
        <v>84</v>
      </c>
      <c r="H270" s="13" t="n">
        <v>-0.069</v>
      </c>
      <c r="I270" s="14" t="s">
        <v>960</v>
      </c>
      <c r="J270" s="15" t="s">
        <v>961</v>
      </c>
      <c r="K270" s="9" t="n">
        <v>4</v>
      </c>
      <c r="L270" s="17"/>
      <c r="M270" s="16" t="s">
        <v>53</v>
      </c>
      <c r="N270" s="14"/>
      <c r="O270" s="17" t="s">
        <v>54</v>
      </c>
      <c r="P270" s="10" t="s">
        <v>1144</v>
      </c>
      <c r="Q270" s="17"/>
      <c r="R270" s="18" t="s">
        <v>53</v>
      </c>
      <c r="S270" s="19"/>
      <c r="T270" s="15" t="str">
        <f aca="false">IF(R270="維持",J270,IF(R270="排除","無關新聞事件",IFERROR(INDEX(事件規則!$B$2:$B$53,MATCH(S270,事件規則!$A$2:$A$53,0)),"")))</f>
        <v>無關新聞事件</v>
      </c>
      <c r="U270" s="20" t="n">
        <f aca="false">IF(R270="維持",K270,IF(R270="排除",0,IFERROR(INDEX(事件規則!$C$2:$C$53,MATCH(S270,事件規則!$A$2:$A$53,0)),"")))</f>
        <v>0</v>
      </c>
      <c r="V270" s="21"/>
      <c r="W270" s="22"/>
      <c r="X270" s="10" t="str">
        <f aca="false">IF(AND(R270="修改",S270=""),"請選新事件代碼",IF(AND(R270&lt;&gt;"修改",S270&lt;&gt;""),"只有「修改」才需填代碼",""))</f>
        <v/>
      </c>
      <c r="Y270" s="21"/>
      <c r="Z270" s="22"/>
      <c r="AA270" s="12" t="s">
        <v>1147</v>
      </c>
      <c r="AB270" s="12"/>
    </row>
    <row r="271" customFormat="false" ht="29.85" hidden="false" customHeight="false" outlineLevel="0" collapsed="false">
      <c r="A271" s="17" t="n">
        <v>270</v>
      </c>
      <c r="B271" s="9" t="s">
        <v>897</v>
      </c>
      <c r="C271" s="17"/>
      <c r="D271" s="10" t="s">
        <v>1148</v>
      </c>
      <c r="E271" s="23" t="s">
        <v>1149</v>
      </c>
      <c r="F271" s="15"/>
      <c r="G271" s="12" t="s">
        <v>319</v>
      </c>
      <c r="H271" s="13" t="n">
        <v>0.069</v>
      </c>
      <c r="I271" s="14" t="s">
        <v>960</v>
      </c>
      <c r="J271" s="15" t="s">
        <v>961</v>
      </c>
      <c r="K271" s="9" t="n">
        <v>4</v>
      </c>
      <c r="L271" s="17" t="s">
        <v>320</v>
      </c>
      <c r="M271" s="16" t="s">
        <v>53</v>
      </c>
      <c r="N271" s="14"/>
      <c r="O271" s="17" t="s">
        <v>54</v>
      </c>
      <c r="P271" s="10" t="s">
        <v>1150</v>
      </c>
      <c r="Q271" s="17"/>
      <c r="R271" s="18" t="s">
        <v>53</v>
      </c>
      <c r="S271" s="19"/>
      <c r="T271" s="15" t="str">
        <f aca="false">IF(R271="維持",J271,IF(R271="排除","無關新聞事件",IFERROR(INDEX(事件規則!$B$2:$B$53,MATCH(S271,事件規則!$A$2:$A$53,0)),"")))</f>
        <v>無關新聞事件</v>
      </c>
      <c r="U271" s="20" t="n">
        <f aca="false">IF(R271="維持",K271,IF(R271="排除",0,IFERROR(INDEX(事件規則!$C$2:$C$53,MATCH(S271,事件規則!$A$2:$A$53,0)),"")))</f>
        <v>0</v>
      </c>
      <c r="V271" s="21"/>
      <c r="W271" s="22"/>
      <c r="X271" s="10" t="str">
        <f aca="false">IF(AND(R271="修改",S271=""),"請選新事件代碼",IF(AND(R271&lt;&gt;"修改",S271&lt;&gt;""),"只有「修改」才需填代碼",""))</f>
        <v/>
      </c>
      <c r="Y271" s="21"/>
      <c r="Z271" s="22"/>
      <c r="AA271" s="12" t="s">
        <v>1151</v>
      </c>
      <c r="AB271" s="12"/>
    </row>
    <row r="272" customFormat="false" ht="29.85" hidden="false" customHeight="false" outlineLevel="0" collapsed="false">
      <c r="A272" s="17" t="n">
        <v>271</v>
      </c>
      <c r="B272" s="9" t="s">
        <v>897</v>
      </c>
      <c r="C272" s="17"/>
      <c r="D272" s="10" t="s">
        <v>1152</v>
      </c>
      <c r="E272" s="23" t="s">
        <v>1149</v>
      </c>
      <c r="F272" s="15"/>
      <c r="G272" s="12" t="s">
        <v>319</v>
      </c>
      <c r="H272" s="13" t="n">
        <v>0.069</v>
      </c>
      <c r="I272" s="14" t="s">
        <v>960</v>
      </c>
      <c r="J272" s="15" t="s">
        <v>961</v>
      </c>
      <c r="K272" s="9" t="n">
        <v>4</v>
      </c>
      <c r="L272" s="17" t="s">
        <v>320</v>
      </c>
      <c r="M272" s="16" t="s">
        <v>105</v>
      </c>
      <c r="N272" s="14"/>
      <c r="O272" s="17" t="s">
        <v>97</v>
      </c>
      <c r="P272" s="15" t="s">
        <v>1153</v>
      </c>
      <c r="Q272" s="17" t="s">
        <v>169</v>
      </c>
      <c r="R272" s="18" t="s">
        <v>105</v>
      </c>
      <c r="S272" s="19"/>
      <c r="T272" s="15" t="str">
        <f aca="false">IF(R272="維持",J272,IF(R272="排除","無關新聞事件",IFERROR(INDEX(事件規則!$B$2:$B$53,MATCH(S272,事件規則!$A$2:$A$53,0)),"")))</f>
        <v>監管調查</v>
      </c>
      <c r="U272" s="20" t="n">
        <f aca="false">IF(R272="維持",K272,IF(R272="排除",0,IFERROR(INDEX(事件規則!$C$2:$C$53,MATCH(S272,事件規則!$A$2:$A$53,0)),"")))</f>
        <v>4</v>
      </c>
      <c r="V272" s="21"/>
      <c r="W272" s="22" t="s">
        <v>1154</v>
      </c>
      <c r="X272" s="10" t="str">
        <f aca="false">IF(AND(R272="修改",S272=""),"請選新事件代碼",IF(AND(R272&lt;&gt;"修改",S272&lt;&gt;""),"只有「修改」才需填代碼",""))</f>
        <v/>
      </c>
      <c r="Y272" s="21"/>
      <c r="Z272" s="22"/>
      <c r="AA272" s="12" t="s">
        <v>1155</v>
      </c>
      <c r="AB272" s="12"/>
    </row>
    <row r="273" customFormat="false" ht="29.85" hidden="false" customHeight="false" outlineLevel="0" collapsed="false">
      <c r="A273" s="17" t="n">
        <v>272</v>
      </c>
      <c r="B273" s="9" t="s">
        <v>897</v>
      </c>
      <c r="C273" s="17"/>
      <c r="D273" s="10" t="s">
        <v>1156</v>
      </c>
      <c r="E273" s="23" t="s">
        <v>1149</v>
      </c>
      <c r="F273" s="15"/>
      <c r="G273" s="12" t="s">
        <v>319</v>
      </c>
      <c r="H273" s="13" t="n">
        <v>0.069</v>
      </c>
      <c r="I273" s="14" t="s">
        <v>960</v>
      </c>
      <c r="J273" s="15" t="s">
        <v>961</v>
      </c>
      <c r="K273" s="9" t="n">
        <v>4</v>
      </c>
      <c r="L273" s="17" t="s">
        <v>320</v>
      </c>
      <c r="M273" s="16" t="s">
        <v>53</v>
      </c>
      <c r="N273" s="14"/>
      <c r="O273" s="17" t="s">
        <v>54</v>
      </c>
      <c r="P273" s="10" t="s">
        <v>1157</v>
      </c>
      <c r="Q273" s="17"/>
      <c r="R273" s="18" t="s">
        <v>53</v>
      </c>
      <c r="S273" s="19"/>
      <c r="T273" s="15" t="str">
        <f aca="false">IF(R273="維持",J273,IF(R273="排除","無關新聞事件",IFERROR(INDEX(事件規則!$B$2:$B$53,MATCH(S273,事件規則!$A$2:$A$53,0)),"")))</f>
        <v>無關新聞事件</v>
      </c>
      <c r="U273" s="20" t="n">
        <f aca="false">IF(R273="維持",K273,IF(R273="排除",0,IFERROR(INDEX(事件規則!$C$2:$C$53,MATCH(S273,事件規則!$A$2:$A$53,0)),"")))</f>
        <v>0</v>
      </c>
      <c r="V273" s="21"/>
      <c r="W273" s="22"/>
      <c r="X273" s="10" t="str">
        <f aca="false">IF(AND(R273="修改",S273=""),"請選新事件代碼",IF(AND(R273&lt;&gt;"修改",S273&lt;&gt;""),"只有「修改」才需填代碼",""))</f>
        <v/>
      </c>
      <c r="Y273" s="21"/>
      <c r="Z273" s="22"/>
      <c r="AA273" s="12" t="s">
        <v>1158</v>
      </c>
      <c r="AB273" s="12"/>
    </row>
    <row r="274" customFormat="false" ht="29.85" hidden="false" customHeight="false" outlineLevel="0" collapsed="false">
      <c r="A274" s="17" t="n">
        <v>273</v>
      </c>
      <c r="B274" s="9" t="s">
        <v>180</v>
      </c>
      <c r="C274" s="9" t="s">
        <v>260</v>
      </c>
      <c r="D274" s="10" t="s">
        <v>261</v>
      </c>
      <c r="E274" s="11" t="s">
        <v>1159</v>
      </c>
      <c r="F274" s="15"/>
      <c r="G274" s="12" t="s">
        <v>1160</v>
      </c>
      <c r="H274" s="13" t="n">
        <v>-0.035</v>
      </c>
      <c r="I274" s="14" t="s">
        <v>960</v>
      </c>
      <c r="J274" s="15" t="s">
        <v>961</v>
      </c>
      <c r="K274" s="9" t="n">
        <v>4</v>
      </c>
      <c r="L274" s="17"/>
      <c r="M274" s="16" t="s">
        <v>105</v>
      </c>
      <c r="N274" s="14"/>
      <c r="O274" s="17" t="s">
        <v>97</v>
      </c>
      <c r="P274" s="10" t="s">
        <v>1161</v>
      </c>
      <c r="Q274" s="17"/>
      <c r="R274" s="18" t="s">
        <v>105</v>
      </c>
      <c r="S274" s="19"/>
      <c r="T274" s="15" t="str">
        <f aca="false">IF(R274="維持",J274,IF(R274="排除","無關新聞事件",IFERROR(INDEX(事件規則!$B$2:$B$53,MATCH(S274,事件規則!$A$2:$A$53,0)),"")))</f>
        <v>監管調查</v>
      </c>
      <c r="U274" s="20" t="n">
        <f aca="false">IF(R274="維持",K274,IF(R274="排除",0,IFERROR(INDEX(事件規則!$C$2:$C$53,MATCH(S274,事件規則!$A$2:$A$53,0)),"")))</f>
        <v>4</v>
      </c>
      <c r="V274" s="21"/>
      <c r="W274" s="22"/>
      <c r="X274" s="10" t="str">
        <f aca="false">IF(AND(R274="修改",S274=""),"請選新事件代碼",IF(AND(R274&lt;&gt;"修改",S274&lt;&gt;""),"只有「修改」才需填代碼",""))</f>
        <v/>
      </c>
      <c r="Y274" s="21"/>
      <c r="Z274" s="22"/>
      <c r="AA274" s="12" t="s">
        <v>1162</v>
      </c>
      <c r="AB274" s="12"/>
    </row>
    <row r="275" customFormat="false" ht="29.85" hidden="false" customHeight="false" outlineLevel="0" collapsed="false">
      <c r="A275" s="17" t="n">
        <v>274</v>
      </c>
      <c r="B275" s="9" t="s">
        <v>915</v>
      </c>
      <c r="C275" s="9" t="s">
        <v>91</v>
      </c>
      <c r="D275" s="10" t="s">
        <v>92</v>
      </c>
      <c r="E275" s="11" t="s">
        <v>1163</v>
      </c>
      <c r="F275" s="15"/>
      <c r="G275" s="12" t="s">
        <v>84</v>
      </c>
      <c r="H275" s="13" t="n">
        <v>0.259</v>
      </c>
      <c r="I275" s="14" t="s">
        <v>960</v>
      </c>
      <c r="J275" s="15" t="s">
        <v>961</v>
      </c>
      <c r="K275" s="9" t="n">
        <v>4</v>
      </c>
      <c r="L275" s="17"/>
      <c r="M275" s="16" t="s">
        <v>53</v>
      </c>
      <c r="N275" s="14"/>
      <c r="O275" s="17" t="s">
        <v>54</v>
      </c>
      <c r="P275" s="10" t="s">
        <v>1131</v>
      </c>
      <c r="Q275" s="17"/>
      <c r="R275" s="18" t="s">
        <v>53</v>
      </c>
      <c r="S275" s="19"/>
      <c r="T275" s="15" t="str">
        <f aca="false">IF(R275="維持",J275,IF(R275="排除","無關新聞事件",IFERROR(INDEX(事件規則!$B$2:$B$53,MATCH(S275,事件規則!$A$2:$A$53,0)),"")))</f>
        <v>無關新聞事件</v>
      </c>
      <c r="U275" s="20" t="n">
        <f aca="false">IF(R275="維持",K275,IF(R275="排除",0,IFERROR(INDEX(事件規則!$C$2:$C$53,MATCH(S275,事件規則!$A$2:$A$53,0)),"")))</f>
        <v>0</v>
      </c>
      <c r="V275" s="21"/>
      <c r="W275" s="22"/>
      <c r="X275" s="10" t="str">
        <f aca="false">IF(AND(R275="修改",S275=""),"請選新事件代碼",IF(AND(R275&lt;&gt;"修改",S275&lt;&gt;""),"只有「修改」才需填代碼",""))</f>
        <v/>
      </c>
      <c r="Y275" s="21"/>
      <c r="Z275" s="22"/>
      <c r="AA275" s="12" t="s">
        <v>1164</v>
      </c>
      <c r="AB275" s="12"/>
    </row>
    <row r="276" customFormat="false" ht="58.2" hidden="false" customHeight="false" outlineLevel="0" collapsed="false">
      <c r="A276" s="17" t="n">
        <v>275</v>
      </c>
      <c r="B276" s="9" t="s">
        <v>186</v>
      </c>
      <c r="C276" s="9" t="s">
        <v>80</v>
      </c>
      <c r="D276" s="10" t="s">
        <v>81</v>
      </c>
      <c r="E276" s="11" t="s">
        <v>1165</v>
      </c>
      <c r="F276" s="10" t="s">
        <v>1166</v>
      </c>
      <c r="G276" s="12" t="s">
        <v>1167</v>
      </c>
      <c r="H276" s="13" t="n">
        <v>-0.543</v>
      </c>
      <c r="I276" s="14" t="s">
        <v>960</v>
      </c>
      <c r="J276" s="15" t="s">
        <v>961</v>
      </c>
      <c r="K276" s="9" t="n">
        <v>4</v>
      </c>
      <c r="L276" s="17"/>
      <c r="M276" s="16" t="s">
        <v>53</v>
      </c>
      <c r="N276" s="14"/>
      <c r="O276" s="17" t="s">
        <v>97</v>
      </c>
      <c r="P276" s="10" t="s">
        <v>1168</v>
      </c>
      <c r="Q276" s="17"/>
      <c r="R276" s="18" t="s">
        <v>53</v>
      </c>
      <c r="S276" s="19"/>
      <c r="T276" s="15" t="str">
        <f aca="false">IF(R276="維持",J276,IF(R276="排除","無關新聞事件",IFERROR(INDEX(事件規則!$B$2:$B$53,MATCH(S276,事件規則!$A$2:$A$53,0)),"")))</f>
        <v>無關新聞事件</v>
      </c>
      <c r="U276" s="20" t="n">
        <f aca="false">IF(R276="維持",K276,IF(R276="排除",0,IFERROR(INDEX(事件規則!$C$2:$C$53,MATCH(S276,事件規則!$A$2:$A$53,0)),"")))</f>
        <v>0</v>
      </c>
      <c r="V276" s="21"/>
      <c r="W276" s="22"/>
      <c r="X276" s="10" t="str">
        <f aca="false">IF(AND(R276="修改",S276=""),"請選新事件代碼",IF(AND(R276&lt;&gt;"修改",S276&lt;&gt;""),"只有「修改」才需填代碼",""))</f>
        <v/>
      </c>
      <c r="Y276" s="21"/>
      <c r="Z276" s="22"/>
      <c r="AA276" s="12" t="s">
        <v>1169</v>
      </c>
      <c r="AB276" s="12"/>
    </row>
    <row r="277" customFormat="false" ht="35.05" hidden="false" customHeight="false" outlineLevel="0" collapsed="false">
      <c r="A277" s="17" t="n">
        <v>276</v>
      </c>
      <c r="B277" s="9" t="s">
        <v>118</v>
      </c>
      <c r="C277" s="9" t="s">
        <v>1170</v>
      </c>
      <c r="D277" s="10" t="s">
        <v>1171</v>
      </c>
      <c r="E277" s="11" t="s">
        <v>1172</v>
      </c>
      <c r="F277" s="10" t="s">
        <v>1173</v>
      </c>
      <c r="G277" s="12" t="s">
        <v>1174</v>
      </c>
      <c r="H277" s="13" t="n">
        <v>-0.583</v>
      </c>
      <c r="I277" s="14" t="s">
        <v>960</v>
      </c>
      <c r="J277" s="15" t="s">
        <v>961</v>
      </c>
      <c r="K277" s="9" t="n">
        <v>4</v>
      </c>
      <c r="L277" s="17"/>
      <c r="M277" s="16" t="s">
        <v>53</v>
      </c>
      <c r="N277" s="14"/>
      <c r="O277" s="17" t="s">
        <v>54</v>
      </c>
      <c r="P277" s="10" t="s">
        <v>1175</v>
      </c>
      <c r="Q277" s="17"/>
      <c r="R277" s="18" t="s">
        <v>53</v>
      </c>
      <c r="S277" s="19"/>
      <c r="T277" s="15" t="str">
        <f aca="false">IF(R277="維持",J277,IF(R277="排除","無關新聞事件",IFERROR(INDEX(事件規則!$B$2:$B$53,MATCH(S277,事件規則!$A$2:$A$53,0)),"")))</f>
        <v>無關新聞事件</v>
      </c>
      <c r="U277" s="20" t="n">
        <f aca="false">IF(R277="維持",K277,IF(R277="排除",0,IFERROR(INDEX(事件規則!$C$2:$C$53,MATCH(S277,事件規則!$A$2:$A$53,0)),"")))</f>
        <v>0</v>
      </c>
      <c r="V277" s="21"/>
      <c r="W277" s="22"/>
      <c r="X277" s="10" t="str">
        <f aca="false">IF(AND(R277="修改",S277=""),"請選新事件代碼",IF(AND(R277&lt;&gt;"修改",S277&lt;&gt;""),"只有「修改」才需填代碼",""))</f>
        <v/>
      </c>
      <c r="Y277" s="21"/>
      <c r="Z277" s="22"/>
      <c r="AA277" s="12" t="s">
        <v>1176</v>
      </c>
      <c r="AB277" s="12"/>
    </row>
    <row r="278" customFormat="false" ht="29.85" hidden="false" customHeight="false" outlineLevel="0" collapsed="false">
      <c r="A278" s="17" t="n">
        <v>277</v>
      </c>
      <c r="B278" s="9" t="s">
        <v>391</v>
      </c>
      <c r="C278" s="9" t="s">
        <v>665</v>
      </c>
      <c r="D278" s="10" t="s">
        <v>666</v>
      </c>
      <c r="E278" s="11" t="s">
        <v>1177</v>
      </c>
      <c r="F278" s="10" t="s">
        <v>1178</v>
      </c>
      <c r="G278" s="12" t="s">
        <v>1179</v>
      </c>
      <c r="H278" s="13" t="n">
        <v>-0.093</v>
      </c>
      <c r="I278" s="14" t="s">
        <v>695</v>
      </c>
      <c r="J278" s="15" t="s">
        <v>1180</v>
      </c>
      <c r="K278" s="9" t="n">
        <v>4</v>
      </c>
      <c r="L278" s="17"/>
      <c r="M278" s="16" t="s">
        <v>53</v>
      </c>
      <c r="N278" s="14"/>
      <c r="O278" s="17" t="s">
        <v>97</v>
      </c>
      <c r="P278" s="10" t="s">
        <v>1181</v>
      </c>
      <c r="Q278" s="17"/>
      <c r="R278" s="18" t="s">
        <v>53</v>
      </c>
      <c r="S278" s="19"/>
      <c r="T278" s="15" t="str">
        <f aca="false">IF(R278="維持",J278,IF(R278="排除","無關新聞事件",IFERROR(INDEX(事件規則!$B$2:$B$53,MATCH(S278,事件規則!$A$2:$A$53,0)),"")))</f>
        <v>無關新聞事件</v>
      </c>
      <c r="U278" s="20" t="n">
        <f aca="false">IF(R278="維持",K278,IF(R278="排除",0,IFERROR(INDEX(事件規則!$C$2:$C$53,MATCH(S278,事件規則!$A$2:$A$53,0)),"")))</f>
        <v>0</v>
      </c>
      <c r="V278" s="21"/>
      <c r="W278" s="22"/>
      <c r="X278" s="10" t="str">
        <f aca="false">IF(AND(R278="修改",S278=""),"請選新事件代碼",IF(AND(R278&lt;&gt;"修改",S278&lt;&gt;""),"只有「修改」才需填代碼",""))</f>
        <v/>
      </c>
      <c r="Y278" s="21"/>
      <c r="Z278" s="22"/>
      <c r="AA278" s="12" t="s">
        <v>1182</v>
      </c>
      <c r="AB278" s="12"/>
    </row>
    <row r="279" customFormat="false" ht="29.85" hidden="false" customHeight="false" outlineLevel="0" collapsed="false">
      <c r="A279" s="17" t="n">
        <v>278</v>
      </c>
      <c r="B279" s="9" t="s">
        <v>391</v>
      </c>
      <c r="C279" s="9" t="s">
        <v>1183</v>
      </c>
      <c r="D279" s="10" t="s">
        <v>1184</v>
      </c>
      <c r="E279" s="11" t="s">
        <v>1185</v>
      </c>
      <c r="F279" s="15" t="s">
        <v>1186</v>
      </c>
      <c r="G279" s="12" t="s">
        <v>1187</v>
      </c>
      <c r="H279" s="13" t="n">
        <v>0.863</v>
      </c>
      <c r="I279" s="14" t="s">
        <v>695</v>
      </c>
      <c r="J279" s="15" t="s">
        <v>1180</v>
      </c>
      <c r="K279" s="9" t="n">
        <v>4</v>
      </c>
      <c r="L279" s="17"/>
      <c r="M279" s="16" t="s">
        <v>105</v>
      </c>
      <c r="N279" s="14"/>
      <c r="O279" s="17" t="s">
        <v>97</v>
      </c>
      <c r="P279" s="10" t="s">
        <v>1188</v>
      </c>
      <c r="Q279" s="17"/>
      <c r="R279" s="18" t="s">
        <v>105</v>
      </c>
      <c r="S279" s="19"/>
      <c r="T279" s="15" t="str">
        <f aca="false">IF(R279="維持",J279,IF(R279="排除","無關新聞事件",IFERROR(INDEX(事件規則!$B$2:$B$53,MATCH(S279,事件規則!$A$2:$A$53,0)),"")))</f>
        <v>監管裁罰</v>
      </c>
      <c r="U279" s="20" t="n">
        <f aca="false">IF(R279="維持",K279,IF(R279="排除",0,IFERROR(INDEX(事件規則!$C$2:$C$53,MATCH(S279,事件規則!$A$2:$A$53,0)),"")))</f>
        <v>4</v>
      </c>
      <c r="V279" s="21"/>
      <c r="W279" s="22"/>
      <c r="X279" s="10" t="str">
        <f aca="false">IF(AND(R279="修改",S279=""),"請選新事件代碼",IF(AND(R279&lt;&gt;"修改",S279&lt;&gt;""),"只有「修改」才需填代碼",""))</f>
        <v/>
      </c>
      <c r="Y279" s="21"/>
      <c r="Z279" s="22"/>
      <c r="AA279" s="12" t="s">
        <v>1189</v>
      </c>
      <c r="AB279" s="12"/>
    </row>
    <row r="280" customFormat="false" ht="29.85" hidden="false" customHeight="false" outlineLevel="0" collapsed="false">
      <c r="A280" s="17" t="n">
        <v>279</v>
      </c>
      <c r="B280" s="9" t="s">
        <v>404</v>
      </c>
      <c r="C280" s="9" t="s">
        <v>665</v>
      </c>
      <c r="D280" s="10" t="s">
        <v>666</v>
      </c>
      <c r="E280" s="11" t="s">
        <v>1190</v>
      </c>
      <c r="F280" s="15" t="s">
        <v>1191</v>
      </c>
      <c r="G280" s="12" t="s">
        <v>1192</v>
      </c>
      <c r="H280" s="13" t="n">
        <v>0.005</v>
      </c>
      <c r="I280" s="14" t="s">
        <v>695</v>
      </c>
      <c r="J280" s="15" t="s">
        <v>1180</v>
      </c>
      <c r="K280" s="9" t="n">
        <v>4</v>
      </c>
      <c r="L280" s="17"/>
      <c r="M280" s="16" t="s">
        <v>53</v>
      </c>
      <c r="N280" s="14"/>
      <c r="O280" s="17" t="s">
        <v>97</v>
      </c>
      <c r="P280" s="10" t="s">
        <v>1181</v>
      </c>
      <c r="Q280" s="17"/>
      <c r="R280" s="18" t="s">
        <v>53</v>
      </c>
      <c r="S280" s="19"/>
      <c r="T280" s="15" t="str">
        <f aca="false">IF(R280="維持",J280,IF(R280="排除","無關新聞事件",IFERROR(INDEX(事件規則!$B$2:$B$53,MATCH(S280,事件規則!$A$2:$A$53,0)),"")))</f>
        <v>無關新聞事件</v>
      </c>
      <c r="U280" s="20" t="n">
        <f aca="false">IF(R280="維持",K280,IF(R280="排除",0,IFERROR(INDEX(事件規則!$C$2:$C$53,MATCH(S280,事件規則!$A$2:$A$53,0)),"")))</f>
        <v>0</v>
      </c>
      <c r="V280" s="21"/>
      <c r="W280" s="22"/>
      <c r="X280" s="10" t="str">
        <f aca="false">IF(AND(R280="修改",S280=""),"請選新事件代碼",IF(AND(R280&lt;&gt;"修改",S280&lt;&gt;""),"只有「修改」才需填代碼",""))</f>
        <v/>
      </c>
      <c r="Y280" s="21"/>
      <c r="Z280" s="22"/>
      <c r="AA280" s="12" t="s">
        <v>1193</v>
      </c>
      <c r="AB280" s="12"/>
    </row>
    <row r="281" customFormat="false" ht="41" hidden="false" customHeight="false" outlineLevel="0" collapsed="false">
      <c r="A281" s="17" t="n">
        <v>280</v>
      </c>
      <c r="B281" s="9" t="s">
        <v>126</v>
      </c>
      <c r="C281" s="9" t="s">
        <v>1194</v>
      </c>
      <c r="D281" s="10" t="s">
        <v>1195</v>
      </c>
      <c r="E281" s="11" t="s">
        <v>1196</v>
      </c>
      <c r="F281" s="10" t="s">
        <v>1197</v>
      </c>
      <c r="G281" s="12" t="s">
        <v>84</v>
      </c>
      <c r="H281" s="13" t="n">
        <v>0.636</v>
      </c>
      <c r="I281" s="14" t="s">
        <v>695</v>
      </c>
      <c r="J281" s="15" t="s">
        <v>1180</v>
      </c>
      <c r="K281" s="9" t="n">
        <v>4</v>
      </c>
      <c r="L281" s="17"/>
      <c r="M281" s="16" t="s">
        <v>95</v>
      </c>
      <c r="N281" s="14" t="s">
        <v>1198</v>
      </c>
      <c r="O281" s="17" t="s">
        <v>292</v>
      </c>
      <c r="P281" s="15" t="s">
        <v>1199</v>
      </c>
      <c r="Q281" s="17" t="s">
        <v>169</v>
      </c>
      <c r="R281" s="18" t="s">
        <v>95</v>
      </c>
      <c r="S281" s="19" t="s">
        <v>1198</v>
      </c>
      <c r="T281" s="15" t="str">
        <f aca="false">IF(R281="維持",J281,IF(R281="排除","無關新聞事件",IFERROR(INDEX(事件規則!$B$2:$B$53,MATCH(S281,事件規則!$A$2:$A$53,0)),"")))</f>
        <v>專利訴訟</v>
      </c>
      <c r="U281" s="20" t="n">
        <f aca="false">IF(R281="維持",K281,IF(R281="排除",0,IFERROR(INDEX(事件規則!$C$2:$C$53,MATCH(S281,事件規則!$A$2:$A$53,0)),"")))</f>
        <v>3</v>
      </c>
      <c r="V281" s="21"/>
      <c r="W281" s="22"/>
      <c r="X281" s="10" t="str">
        <f aca="false">IF(AND(R281="修改",S281=""),"請選新事件代碼",IF(AND(R281&lt;&gt;"修改",S281&lt;&gt;""),"只有「修改」才需填代碼",""))</f>
        <v/>
      </c>
      <c r="Y281" s="21"/>
      <c r="Z281" s="22"/>
      <c r="AA281" s="12" t="s">
        <v>1200</v>
      </c>
      <c r="AB281" s="12"/>
    </row>
    <row r="282" customFormat="false" ht="29.85" hidden="false" customHeight="false" outlineLevel="0" collapsed="false">
      <c r="A282" s="17" t="n">
        <v>281</v>
      </c>
      <c r="B282" s="9" t="s">
        <v>126</v>
      </c>
      <c r="C282" s="9" t="s">
        <v>1201</v>
      </c>
      <c r="D282" s="10" t="s">
        <v>1202</v>
      </c>
      <c r="E282" s="11" t="s">
        <v>1203</v>
      </c>
      <c r="F282" s="15" t="s">
        <v>1204</v>
      </c>
      <c r="G282" s="12" t="s">
        <v>1205</v>
      </c>
      <c r="H282" s="13" t="n">
        <v>-0.926</v>
      </c>
      <c r="I282" s="14" t="s">
        <v>695</v>
      </c>
      <c r="J282" s="15" t="s">
        <v>1180</v>
      </c>
      <c r="K282" s="9" t="n">
        <v>4</v>
      </c>
      <c r="L282" s="17"/>
      <c r="M282" s="16" t="s">
        <v>53</v>
      </c>
      <c r="N282" s="14"/>
      <c r="O282" s="17" t="s">
        <v>97</v>
      </c>
      <c r="P282" s="10" t="s">
        <v>1206</v>
      </c>
      <c r="Q282" s="17"/>
      <c r="R282" s="18" t="s">
        <v>53</v>
      </c>
      <c r="S282" s="19"/>
      <c r="T282" s="15" t="str">
        <f aca="false">IF(R282="維持",J282,IF(R282="排除","無關新聞事件",IFERROR(INDEX(事件規則!$B$2:$B$53,MATCH(S282,事件規則!$A$2:$A$53,0)),"")))</f>
        <v>無關新聞事件</v>
      </c>
      <c r="U282" s="20" t="n">
        <f aca="false">IF(R282="維持",K282,IF(R282="排除",0,IFERROR(INDEX(事件規則!$C$2:$C$53,MATCH(S282,事件規則!$A$2:$A$53,0)),"")))</f>
        <v>0</v>
      </c>
      <c r="V282" s="21"/>
      <c r="W282" s="22"/>
      <c r="X282" s="10" t="str">
        <f aca="false">IF(AND(R282="修改",S282=""),"請選新事件代碼",IF(AND(R282&lt;&gt;"修改",S282&lt;&gt;""),"只有「修改」才需填代碼",""))</f>
        <v/>
      </c>
      <c r="Y282" s="21"/>
      <c r="Z282" s="22"/>
      <c r="AA282" s="12" t="s">
        <v>1207</v>
      </c>
      <c r="AB282" s="12"/>
    </row>
    <row r="283" customFormat="false" ht="29.85" hidden="false" customHeight="false" outlineLevel="0" collapsed="false">
      <c r="A283" s="17" t="n">
        <v>282</v>
      </c>
      <c r="B283" s="9" t="s">
        <v>126</v>
      </c>
      <c r="C283" s="9" t="s">
        <v>1201</v>
      </c>
      <c r="D283" s="10" t="s">
        <v>1202</v>
      </c>
      <c r="E283" s="11" t="s">
        <v>1208</v>
      </c>
      <c r="F283" s="15" t="s">
        <v>1209</v>
      </c>
      <c r="G283" s="12" t="s">
        <v>1205</v>
      </c>
      <c r="H283" s="13" t="n">
        <v>-0.928</v>
      </c>
      <c r="I283" s="14" t="s">
        <v>695</v>
      </c>
      <c r="J283" s="15" t="s">
        <v>1180</v>
      </c>
      <c r="K283" s="9" t="n">
        <v>4</v>
      </c>
      <c r="L283" s="17"/>
      <c r="M283" s="16" t="s">
        <v>53</v>
      </c>
      <c r="N283" s="14"/>
      <c r="O283" s="17" t="s">
        <v>97</v>
      </c>
      <c r="P283" s="10" t="s">
        <v>1206</v>
      </c>
      <c r="Q283" s="17"/>
      <c r="R283" s="18" t="s">
        <v>53</v>
      </c>
      <c r="S283" s="19"/>
      <c r="T283" s="15" t="str">
        <f aca="false">IF(R283="維持",J283,IF(R283="排除","無關新聞事件",IFERROR(INDEX(事件規則!$B$2:$B$53,MATCH(S283,事件規則!$A$2:$A$53,0)),"")))</f>
        <v>無關新聞事件</v>
      </c>
      <c r="U283" s="20" t="n">
        <f aca="false">IF(R283="維持",K283,IF(R283="排除",0,IFERROR(INDEX(事件規則!$C$2:$C$53,MATCH(S283,事件規則!$A$2:$A$53,0)),"")))</f>
        <v>0</v>
      </c>
      <c r="V283" s="21"/>
      <c r="W283" s="22"/>
      <c r="X283" s="10" t="str">
        <f aca="false">IF(AND(R283="修改",S283=""),"請選新事件代碼",IF(AND(R283&lt;&gt;"修改",S283&lt;&gt;""),"只有「修改」才需填代碼",""))</f>
        <v/>
      </c>
      <c r="Y283" s="21"/>
      <c r="Z283" s="22"/>
      <c r="AA283" s="12" t="s">
        <v>1210</v>
      </c>
      <c r="AB283" s="12"/>
    </row>
    <row r="284" customFormat="false" ht="29.85" hidden="false" customHeight="false" outlineLevel="0" collapsed="false">
      <c r="A284" s="17" t="n">
        <v>283</v>
      </c>
      <c r="B284" s="9" t="s">
        <v>126</v>
      </c>
      <c r="C284" s="9" t="s">
        <v>1211</v>
      </c>
      <c r="D284" s="10" t="s">
        <v>1212</v>
      </c>
      <c r="E284" s="11" t="s">
        <v>1213</v>
      </c>
      <c r="F284" s="15" t="s">
        <v>1214</v>
      </c>
      <c r="G284" s="12" t="s">
        <v>1215</v>
      </c>
      <c r="H284" s="13" t="n">
        <v>0.46</v>
      </c>
      <c r="I284" s="14" t="s">
        <v>695</v>
      </c>
      <c r="J284" s="15" t="s">
        <v>1180</v>
      </c>
      <c r="K284" s="9" t="n">
        <v>4</v>
      </c>
      <c r="L284" s="17"/>
      <c r="M284" s="16" t="s">
        <v>105</v>
      </c>
      <c r="N284" s="14"/>
      <c r="O284" s="17" t="s">
        <v>292</v>
      </c>
      <c r="P284" s="15" t="s">
        <v>1216</v>
      </c>
      <c r="Q284" s="17" t="s">
        <v>169</v>
      </c>
      <c r="R284" s="18" t="s">
        <v>105</v>
      </c>
      <c r="S284" s="19"/>
      <c r="T284" s="15" t="str">
        <f aca="false">IF(R284="維持",J284,IF(R284="排除","無關新聞事件",IFERROR(INDEX(事件規則!$B$2:$B$53,MATCH(S284,事件規則!$A$2:$A$53,0)),"")))</f>
        <v>監管裁罰</v>
      </c>
      <c r="U284" s="20" t="n">
        <f aca="false">IF(R284="維持",K284,IF(R284="排除",0,IFERROR(INDEX(事件規則!$C$2:$C$53,MATCH(S284,事件規則!$A$2:$A$53,0)),"")))</f>
        <v>4</v>
      </c>
      <c r="V284" s="21"/>
      <c r="W284" s="22"/>
      <c r="X284" s="10" t="str">
        <f aca="false">IF(AND(R284="修改",S284=""),"請選新事件代碼",IF(AND(R284&lt;&gt;"修改",S284&lt;&gt;""),"只有「修改」才需填代碼",""))</f>
        <v/>
      </c>
      <c r="Y284" s="21"/>
      <c r="Z284" s="22"/>
      <c r="AA284" s="12" t="s">
        <v>1217</v>
      </c>
      <c r="AB284" s="12"/>
    </row>
    <row r="285" customFormat="false" ht="29.85" hidden="false" customHeight="false" outlineLevel="0" collapsed="false">
      <c r="A285" s="17" t="n">
        <v>284</v>
      </c>
      <c r="B285" s="9" t="s">
        <v>126</v>
      </c>
      <c r="C285" s="9" t="s">
        <v>1218</v>
      </c>
      <c r="D285" s="10" t="s">
        <v>1219</v>
      </c>
      <c r="E285" s="11" t="s">
        <v>1220</v>
      </c>
      <c r="F285" s="15" t="s">
        <v>1221</v>
      </c>
      <c r="G285" s="12" t="s">
        <v>1222</v>
      </c>
      <c r="H285" s="13" t="n">
        <v>0.88</v>
      </c>
      <c r="I285" s="14" t="s">
        <v>695</v>
      </c>
      <c r="J285" s="15" t="s">
        <v>1180</v>
      </c>
      <c r="K285" s="9" t="n">
        <v>4</v>
      </c>
      <c r="L285" s="17"/>
      <c r="M285" s="16" t="s">
        <v>105</v>
      </c>
      <c r="N285" s="14"/>
      <c r="O285" s="17" t="s">
        <v>54</v>
      </c>
      <c r="P285" s="15" t="s">
        <v>1223</v>
      </c>
      <c r="Q285" s="17"/>
      <c r="R285" s="18" t="s">
        <v>105</v>
      </c>
      <c r="S285" s="19"/>
      <c r="T285" s="15" t="str">
        <f aca="false">IF(R285="維持",J285,IF(R285="排除","無關新聞事件",IFERROR(INDEX(事件規則!$B$2:$B$53,MATCH(S285,事件規則!$A$2:$A$53,0)),"")))</f>
        <v>監管裁罰</v>
      </c>
      <c r="U285" s="20" t="n">
        <f aca="false">IF(R285="維持",K285,IF(R285="排除",0,IFERROR(INDEX(事件規則!$C$2:$C$53,MATCH(S285,事件規則!$A$2:$A$53,0)),"")))</f>
        <v>4</v>
      </c>
      <c r="V285" s="21"/>
      <c r="W285" s="22"/>
      <c r="X285" s="10" t="str">
        <f aca="false">IF(AND(R285="修改",S285=""),"請選新事件代碼",IF(AND(R285&lt;&gt;"修改",S285&lt;&gt;""),"只有「修改」才需填代碼",""))</f>
        <v/>
      </c>
      <c r="Y285" s="21"/>
      <c r="Z285" s="22"/>
      <c r="AA285" s="12" t="s">
        <v>1224</v>
      </c>
      <c r="AB285" s="12"/>
    </row>
    <row r="286" customFormat="false" ht="29.85" hidden="false" customHeight="false" outlineLevel="0" collapsed="false">
      <c r="A286" s="17" t="n">
        <v>285</v>
      </c>
      <c r="B286" s="9" t="s">
        <v>45</v>
      </c>
      <c r="C286" s="9" t="s">
        <v>665</v>
      </c>
      <c r="D286" s="10" t="s">
        <v>666</v>
      </c>
      <c r="E286" s="11" t="s">
        <v>1225</v>
      </c>
      <c r="F286" s="10" t="s">
        <v>1226</v>
      </c>
      <c r="G286" s="12" t="s">
        <v>1227</v>
      </c>
      <c r="H286" s="13" t="n">
        <v>0.021</v>
      </c>
      <c r="I286" s="14" t="s">
        <v>695</v>
      </c>
      <c r="J286" s="15" t="s">
        <v>1180</v>
      </c>
      <c r="K286" s="9" t="n">
        <v>4</v>
      </c>
      <c r="L286" s="17"/>
      <c r="M286" s="16" t="s">
        <v>53</v>
      </c>
      <c r="N286" s="14"/>
      <c r="O286" s="17" t="s">
        <v>97</v>
      </c>
      <c r="P286" s="10" t="s">
        <v>1181</v>
      </c>
      <c r="Q286" s="17"/>
      <c r="R286" s="18" t="s">
        <v>53</v>
      </c>
      <c r="S286" s="19"/>
      <c r="T286" s="15" t="str">
        <f aca="false">IF(R286="維持",J286,IF(R286="排除","無關新聞事件",IFERROR(INDEX(事件規則!$B$2:$B$53,MATCH(S286,事件規則!$A$2:$A$53,0)),"")))</f>
        <v>無關新聞事件</v>
      </c>
      <c r="U286" s="20" t="n">
        <f aca="false">IF(R286="維持",K286,IF(R286="排除",0,IFERROR(INDEX(事件規則!$C$2:$C$53,MATCH(S286,事件規則!$A$2:$A$53,0)),"")))</f>
        <v>0</v>
      </c>
      <c r="V286" s="21"/>
      <c r="W286" s="22"/>
      <c r="X286" s="10" t="str">
        <f aca="false">IF(AND(R286="修改",S286=""),"請選新事件代碼",IF(AND(R286&lt;&gt;"修改",S286&lt;&gt;""),"只有「修改」才需填代碼",""))</f>
        <v/>
      </c>
      <c r="Y286" s="21"/>
      <c r="Z286" s="22"/>
      <c r="AA286" s="12" t="s">
        <v>1228</v>
      </c>
      <c r="AB286" s="12"/>
    </row>
    <row r="287" customFormat="false" ht="29.85" hidden="false" customHeight="false" outlineLevel="0" collapsed="false">
      <c r="A287" s="17" t="n">
        <v>286</v>
      </c>
      <c r="B287" s="9" t="s">
        <v>45</v>
      </c>
      <c r="C287" s="9" t="s">
        <v>552</v>
      </c>
      <c r="D287" s="10" t="s">
        <v>553</v>
      </c>
      <c r="E287" s="11" t="s">
        <v>1229</v>
      </c>
      <c r="F287" s="15" t="s">
        <v>1230</v>
      </c>
      <c r="G287" s="12" t="s">
        <v>574</v>
      </c>
      <c r="H287" s="13" t="n">
        <v>-0.768</v>
      </c>
      <c r="I287" s="14" t="s">
        <v>695</v>
      </c>
      <c r="J287" s="15" t="s">
        <v>1180</v>
      </c>
      <c r="K287" s="9" t="n">
        <v>4</v>
      </c>
      <c r="L287" s="17"/>
      <c r="M287" s="16" t="s">
        <v>53</v>
      </c>
      <c r="N287" s="14"/>
      <c r="O287" s="17" t="s">
        <v>54</v>
      </c>
      <c r="P287" s="15" t="s">
        <v>1231</v>
      </c>
      <c r="Q287" s="17"/>
      <c r="R287" s="18" t="s">
        <v>53</v>
      </c>
      <c r="S287" s="19"/>
      <c r="T287" s="15" t="str">
        <f aca="false">IF(R287="維持",J287,IF(R287="排除","無關新聞事件",IFERROR(INDEX(事件規則!$B$2:$B$53,MATCH(S287,事件規則!$A$2:$A$53,0)),"")))</f>
        <v>無關新聞事件</v>
      </c>
      <c r="U287" s="20" t="n">
        <f aca="false">IF(R287="維持",K287,IF(R287="排除",0,IFERROR(INDEX(事件規則!$C$2:$C$53,MATCH(S287,事件規則!$A$2:$A$53,0)),"")))</f>
        <v>0</v>
      </c>
      <c r="V287" s="21"/>
      <c r="W287" s="22"/>
      <c r="X287" s="10" t="str">
        <f aca="false">IF(AND(R287="修改",S287=""),"請選新事件代碼",IF(AND(R287&lt;&gt;"修改",S287&lt;&gt;""),"只有「修改」才需填代碼",""))</f>
        <v/>
      </c>
      <c r="Y287" s="21"/>
      <c r="Z287" s="22"/>
      <c r="AA287" s="12" t="s">
        <v>1232</v>
      </c>
      <c r="AB287" s="12"/>
    </row>
    <row r="288" customFormat="false" ht="29.85" hidden="false" customHeight="false" outlineLevel="0" collapsed="false">
      <c r="A288" s="17" t="n">
        <v>287</v>
      </c>
      <c r="B288" s="9" t="s">
        <v>45</v>
      </c>
      <c r="C288" s="9" t="s">
        <v>1233</v>
      </c>
      <c r="D288" s="10" t="s">
        <v>1234</v>
      </c>
      <c r="E288" s="11" t="s">
        <v>1235</v>
      </c>
      <c r="F288" s="10" t="s">
        <v>1236</v>
      </c>
      <c r="G288" s="12" t="s">
        <v>305</v>
      </c>
      <c r="H288" s="13" t="n">
        <v>-0.804</v>
      </c>
      <c r="I288" s="14" t="s">
        <v>695</v>
      </c>
      <c r="J288" s="15" t="s">
        <v>1180</v>
      </c>
      <c r="K288" s="9" t="n">
        <v>4</v>
      </c>
      <c r="L288" s="17"/>
      <c r="M288" s="16" t="s">
        <v>53</v>
      </c>
      <c r="N288" s="14"/>
      <c r="O288" s="17" t="s">
        <v>97</v>
      </c>
      <c r="P288" s="10" t="s">
        <v>1237</v>
      </c>
      <c r="Q288" s="17"/>
      <c r="R288" s="18" t="s">
        <v>53</v>
      </c>
      <c r="S288" s="19"/>
      <c r="T288" s="15" t="str">
        <f aca="false">IF(R288="維持",J288,IF(R288="排除","無關新聞事件",IFERROR(INDEX(事件規則!$B$2:$B$53,MATCH(S288,事件規則!$A$2:$A$53,0)),"")))</f>
        <v>無關新聞事件</v>
      </c>
      <c r="U288" s="20" t="n">
        <f aca="false">IF(R288="維持",K288,IF(R288="排除",0,IFERROR(INDEX(事件規則!$C$2:$C$53,MATCH(S288,事件規則!$A$2:$A$53,0)),"")))</f>
        <v>0</v>
      </c>
      <c r="V288" s="21"/>
      <c r="W288" s="22"/>
      <c r="X288" s="10" t="str">
        <f aca="false">IF(AND(R288="修改",S288=""),"請選新事件代碼",IF(AND(R288&lt;&gt;"修改",S288&lt;&gt;""),"只有「修改」才需填代碼",""))</f>
        <v/>
      </c>
      <c r="Y288" s="21"/>
      <c r="Z288" s="22"/>
      <c r="AA288" s="12" t="s">
        <v>1238</v>
      </c>
      <c r="AB288" s="12"/>
    </row>
    <row r="289" customFormat="false" ht="29.85" hidden="false" customHeight="false" outlineLevel="0" collapsed="false">
      <c r="A289" s="17" t="n">
        <v>288</v>
      </c>
      <c r="B289" s="9" t="s">
        <v>45</v>
      </c>
      <c r="C289" s="9" t="s">
        <v>552</v>
      </c>
      <c r="D289" s="10" t="s">
        <v>553</v>
      </c>
      <c r="E289" s="11" t="s">
        <v>1239</v>
      </c>
      <c r="F289" s="15" t="s">
        <v>1240</v>
      </c>
      <c r="G289" s="12" t="s">
        <v>574</v>
      </c>
      <c r="H289" s="13" t="n">
        <v>-0.872</v>
      </c>
      <c r="I289" s="14" t="s">
        <v>695</v>
      </c>
      <c r="J289" s="15" t="s">
        <v>1180</v>
      </c>
      <c r="K289" s="9" t="n">
        <v>4</v>
      </c>
      <c r="L289" s="17"/>
      <c r="M289" s="16" t="s">
        <v>53</v>
      </c>
      <c r="N289" s="14"/>
      <c r="O289" s="17" t="s">
        <v>54</v>
      </c>
      <c r="P289" s="15" t="s">
        <v>1231</v>
      </c>
      <c r="Q289" s="17"/>
      <c r="R289" s="18" t="s">
        <v>53</v>
      </c>
      <c r="S289" s="19"/>
      <c r="T289" s="15" t="str">
        <f aca="false">IF(R289="維持",J289,IF(R289="排除","無關新聞事件",IFERROR(INDEX(事件規則!$B$2:$B$53,MATCH(S289,事件規則!$A$2:$A$53,0)),"")))</f>
        <v>無關新聞事件</v>
      </c>
      <c r="U289" s="20" t="n">
        <f aca="false">IF(R289="維持",K289,IF(R289="排除",0,IFERROR(INDEX(事件規則!$C$2:$C$53,MATCH(S289,事件規則!$A$2:$A$53,0)),"")))</f>
        <v>0</v>
      </c>
      <c r="V289" s="21"/>
      <c r="W289" s="22"/>
      <c r="X289" s="10" t="str">
        <f aca="false">IF(AND(R289="修改",S289=""),"請選新事件代碼",IF(AND(R289&lt;&gt;"修改",S289&lt;&gt;""),"只有「修改」才需填代碼",""))</f>
        <v/>
      </c>
      <c r="Y289" s="21"/>
      <c r="Z289" s="22"/>
      <c r="AA289" s="12" t="s">
        <v>1241</v>
      </c>
      <c r="AB289" s="12"/>
    </row>
    <row r="290" customFormat="false" ht="29.85" hidden="false" customHeight="false" outlineLevel="0" collapsed="false">
      <c r="A290" s="17" t="n">
        <v>289</v>
      </c>
      <c r="B290" s="9" t="s">
        <v>57</v>
      </c>
      <c r="C290" s="9" t="s">
        <v>665</v>
      </c>
      <c r="D290" s="10" t="s">
        <v>666</v>
      </c>
      <c r="E290" s="11" t="s">
        <v>1242</v>
      </c>
      <c r="F290" s="15" t="s">
        <v>1243</v>
      </c>
      <c r="G290" s="12" t="s">
        <v>1244</v>
      </c>
      <c r="H290" s="13" t="n">
        <v>0.686</v>
      </c>
      <c r="I290" s="14" t="s">
        <v>695</v>
      </c>
      <c r="J290" s="15" t="s">
        <v>1180</v>
      </c>
      <c r="K290" s="9" t="n">
        <v>4</v>
      </c>
      <c r="L290" s="17"/>
      <c r="M290" s="16" t="s">
        <v>95</v>
      </c>
      <c r="N290" s="14" t="s">
        <v>96</v>
      </c>
      <c r="O290" s="17" t="s">
        <v>97</v>
      </c>
      <c r="P290" s="10" t="s">
        <v>1245</v>
      </c>
      <c r="Q290" s="17"/>
      <c r="R290" s="18" t="s">
        <v>95</v>
      </c>
      <c r="S290" s="19" t="s">
        <v>96</v>
      </c>
      <c r="T290" s="15" t="str">
        <f aca="false">IF(R290="維持",J290,IF(R290="排除","無關新聞事件",IFERROR(INDEX(事件規則!$B$2:$B$53,MATCH(S290,事件規則!$A$2:$A$53,0)),"")))</f>
        <v>重大訴訟</v>
      </c>
      <c r="U290" s="20" t="n">
        <f aca="false">IF(R290="維持",K290,IF(R290="排除",0,IFERROR(INDEX(事件規則!$C$2:$C$53,MATCH(S290,事件規則!$A$2:$A$53,0)),"")))</f>
        <v>4</v>
      </c>
      <c r="V290" s="21"/>
      <c r="W290" s="22"/>
      <c r="X290" s="10" t="str">
        <f aca="false">IF(AND(R290="修改",S290=""),"請選新事件代碼",IF(AND(R290&lt;&gt;"修改",S290&lt;&gt;""),"只有「修改」才需填代碼",""))</f>
        <v/>
      </c>
      <c r="Y290" s="21"/>
      <c r="Z290" s="22"/>
      <c r="AA290" s="12" t="s">
        <v>1246</v>
      </c>
      <c r="AB290" s="12"/>
    </row>
    <row r="291" customFormat="false" ht="29.85" hidden="false" customHeight="false" outlineLevel="0" collapsed="false">
      <c r="A291" s="17" t="n">
        <v>290</v>
      </c>
      <c r="B291" s="9" t="s">
        <v>57</v>
      </c>
      <c r="C291" s="9" t="s">
        <v>1247</v>
      </c>
      <c r="D291" s="10" t="s">
        <v>1248</v>
      </c>
      <c r="E291" s="11" t="s">
        <v>1249</v>
      </c>
      <c r="F291" s="15" t="s">
        <v>1250</v>
      </c>
      <c r="G291" s="12" t="s">
        <v>1251</v>
      </c>
      <c r="H291" s="13" t="n">
        <v>0.216</v>
      </c>
      <c r="I291" s="14" t="s">
        <v>695</v>
      </c>
      <c r="J291" s="15" t="s">
        <v>1180</v>
      </c>
      <c r="K291" s="9" t="n">
        <v>4</v>
      </c>
      <c r="L291" s="17"/>
      <c r="M291" s="16" t="s">
        <v>95</v>
      </c>
      <c r="N291" s="14" t="s">
        <v>96</v>
      </c>
      <c r="O291" s="17" t="s">
        <v>97</v>
      </c>
      <c r="P291" s="10" t="s">
        <v>1252</v>
      </c>
      <c r="Q291" s="17"/>
      <c r="R291" s="18" t="s">
        <v>95</v>
      </c>
      <c r="S291" s="19" t="s">
        <v>96</v>
      </c>
      <c r="T291" s="15" t="str">
        <f aca="false">IF(R291="維持",J291,IF(R291="排除","無關新聞事件",IFERROR(INDEX(事件規則!$B$2:$B$53,MATCH(S291,事件規則!$A$2:$A$53,0)),"")))</f>
        <v>重大訴訟</v>
      </c>
      <c r="U291" s="20" t="n">
        <f aca="false">IF(R291="維持",K291,IF(R291="排除",0,IFERROR(INDEX(事件規則!$C$2:$C$53,MATCH(S291,事件規則!$A$2:$A$53,0)),"")))</f>
        <v>4</v>
      </c>
      <c r="V291" s="21"/>
      <c r="W291" s="22"/>
      <c r="X291" s="10" t="str">
        <f aca="false">IF(AND(R291="修改",S291=""),"請選新事件代碼",IF(AND(R291&lt;&gt;"修改",S291&lt;&gt;""),"只有「修改」才需填代碼",""))</f>
        <v/>
      </c>
      <c r="Y291" s="21"/>
      <c r="Z291" s="22"/>
      <c r="AA291" s="12" t="s">
        <v>1253</v>
      </c>
      <c r="AB291" s="12"/>
    </row>
    <row r="292" customFormat="false" ht="29.85" hidden="false" customHeight="false" outlineLevel="0" collapsed="false">
      <c r="A292" s="17" t="n">
        <v>291</v>
      </c>
      <c r="B292" s="9" t="s">
        <v>57</v>
      </c>
      <c r="C292" s="9" t="s">
        <v>1218</v>
      </c>
      <c r="D292" s="10" t="s">
        <v>1219</v>
      </c>
      <c r="E292" s="11" t="s">
        <v>1254</v>
      </c>
      <c r="F292" s="15" t="s">
        <v>1255</v>
      </c>
      <c r="G292" s="12" t="s">
        <v>1256</v>
      </c>
      <c r="H292" s="13" t="n">
        <v>0.702</v>
      </c>
      <c r="I292" s="14" t="s">
        <v>695</v>
      </c>
      <c r="J292" s="15" t="s">
        <v>1180</v>
      </c>
      <c r="K292" s="9" t="n">
        <v>4</v>
      </c>
      <c r="L292" s="17"/>
      <c r="M292" s="16" t="s">
        <v>105</v>
      </c>
      <c r="N292" s="14"/>
      <c r="O292" s="17" t="s">
        <v>54</v>
      </c>
      <c r="P292" s="15" t="s">
        <v>1223</v>
      </c>
      <c r="Q292" s="17"/>
      <c r="R292" s="18" t="s">
        <v>105</v>
      </c>
      <c r="S292" s="19"/>
      <c r="T292" s="15" t="str">
        <f aca="false">IF(R292="維持",J292,IF(R292="排除","無關新聞事件",IFERROR(INDEX(事件規則!$B$2:$B$53,MATCH(S292,事件規則!$A$2:$A$53,0)),"")))</f>
        <v>監管裁罰</v>
      </c>
      <c r="U292" s="20" t="n">
        <f aca="false">IF(R292="維持",K292,IF(R292="排除",0,IFERROR(INDEX(事件規則!$C$2:$C$53,MATCH(S292,事件規則!$A$2:$A$53,0)),"")))</f>
        <v>4</v>
      </c>
      <c r="V292" s="21"/>
      <c r="W292" s="22"/>
      <c r="X292" s="10" t="str">
        <f aca="false">IF(AND(R292="修改",S292=""),"請選新事件代碼",IF(AND(R292&lt;&gt;"修改",S292&lt;&gt;""),"只有「修改」才需填代碼",""))</f>
        <v/>
      </c>
      <c r="Y292" s="21"/>
      <c r="Z292" s="22"/>
      <c r="AA292" s="12" t="s">
        <v>1257</v>
      </c>
      <c r="AB292" s="12"/>
    </row>
    <row r="293" customFormat="false" ht="29.85" hidden="false" customHeight="false" outlineLevel="0" collapsed="false">
      <c r="A293" s="17" t="n">
        <v>292</v>
      </c>
      <c r="B293" s="9" t="s">
        <v>57</v>
      </c>
      <c r="C293" s="9" t="s">
        <v>1258</v>
      </c>
      <c r="D293" s="10" t="s">
        <v>1259</v>
      </c>
      <c r="E293" s="11" t="s">
        <v>1260</v>
      </c>
      <c r="F293" s="10" t="s">
        <v>1261</v>
      </c>
      <c r="G293" s="12" t="s">
        <v>195</v>
      </c>
      <c r="H293" s="13" t="n">
        <v>0.851</v>
      </c>
      <c r="I293" s="14" t="s">
        <v>695</v>
      </c>
      <c r="J293" s="15" t="s">
        <v>1180</v>
      </c>
      <c r="K293" s="9" t="n">
        <v>4</v>
      </c>
      <c r="L293" s="17"/>
      <c r="M293" s="16" t="s">
        <v>95</v>
      </c>
      <c r="N293" s="14" t="s">
        <v>236</v>
      </c>
      <c r="O293" s="17" t="s">
        <v>97</v>
      </c>
      <c r="P293" s="10" t="s">
        <v>1262</v>
      </c>
      <c r="Q293" s="17"/>
      <c r="R293" s="18" t="s">
        <v>95</v>
      </c>
      <c r="S293" s="19" t="s">
        <v>236</v>
      </c>
      <c r="T293" s="15" t="str">
        <f aca="false">IF(R293="維持",J293,IF(R293="排除","無關新聞事件",IFERROR(INDEX(事件規則!$B$2:$B$53,MATCH(S293,事件規則!$A$2:$A$53,0)),"")))</f>
        <v>反壟斷調查</v>
      </c>
      <c r="U293" s="20" t="n">
        <f aca="false">IF(R293="維持",K293,IF(R293="排除",0,IFERROR(INDEX(事件規則!$C$2:$C$53,MATCH(S293,事件規則!$A$2:$A$53,0)),"")))</f>
        <v>4</v>
      </c>
      <c r="V293" s="21"/>
      <c r="W293" s="22"/>
      <c r="X293" s="10" t="str">
        <f aca="false">IF(AND(R293="修改",S293=""),"請選新事件代碼",IF(AND(R293&lt;&gt;"修改",S293&lt;&gt;""),"只有「修改」才需填代碼",""))</f>
        <v/>
      </c>
      <c r="Y293" s="21"/>
      <c r="Z293" s="22"/>
      <c r="AA293" s="12" t="s">
        <v>1263</v>
      </c>
      <c r="AB293" s="12"/>
    </row>
    <row r="294" customFormat="false" ht="29.85" hidden="false" customHeight="false" outlineLevel="0" collapsed="false">
      <c r="A294" s="17" t="n">
        <v>293</v>
      </c>
      <c r="B294" s="9" t="s">
        <v>57</v>
      </c>
      <c r="C294" s="9" t="s">
        <v>1258</v>
      </c>
      <c r="D294" s="10" t="s">
        <v>1259</v>
      </c>
      <c r="E294" s="11" t="s">
        <v>1264</v>
      </c>
      <c r="F294" s="10" t="s">
        <v>1265</v>
      </c>
      <c r="G294" s="12" t="s">
        <v>1266</v>
      </c>
      <c r="H294" s="13" t="n">
        <v>0.053</v>
      </c>
      <c r="I294" s="14" t="s">
        <v>695</v>
      </c>
      <c r="J294" s="15" t="s">
        <v>1180</v>
      </c>
      <c r="K294" s="9" t="n">
        <v>4</v>
      </c>
      <c r="L294" s="17"/>
      <c r="M294" s="16" t="s">
        <v>95</v>
      </c>
      <c r="N294" s="14" t="s">
        <v>236</v>
      </c>
      <c r="O294" s="17" t="s">
        <v>97</v>
      </c>
      <c r="P294" s="10" t="s">
        <v>1262</v>
      </c>
      <c r="Q294" s="17"/>
      <c r="R294" s="18" t="s">
        <v>95</v>
      </c>
      <c r="S294" s="19" t="s">
        <v>236</v>
      </c>
      <c r="T294" s="15" t="str">
        <f aca="false">IF(R294="維持",J294,IF(R294="排除","無關新聞事件",IFERROR(INDEX(事件規則!$B$2:$B$53,MATCH(S294,事件規則!$A$2:$A$53,0)),"")))</f>
        <v>反壟斷調查</v>
      </c>
      <c r="U294" s="20" t="n">
        <f aca="false">IF(R294="維持",K294,IF(R294="排除",0,IFERROR(INDEX(事件規則!$C$2:$C$53,MATCH(S294,事件規則!$A$2:$A$53,0)),"")))</f>
        <v>4</v>
      </c>
      <c r="V294" s="21"/>
      <c r="W294" s="22"/>
      <c r="X294" s="10" t="str">
        <f aca="false">IF(AND(R294="修改",S294=""),"請選新事件代碼",IF(AND(R294&lt;&gt;"修改",S294&lt;&gt;""),"只有「修改」才需填代碼",""))</f>
        <v/>
      </c>
      <c r="Y294" s="21"/>
      <c r="Z294" s="22"/>
      <c r="AA294" s="12" t="s">
        <v>1267</v>
      </c>
      <c r="AB294" s="12"/>
    </row>
    <row r="295" customFormat="false" ht="29.85" hidden="false" customHeight="false" outlineLevel="0" collapsed="false">
      <c r="A295" s="17" t="n">
        <v>294</v>
      </c>
      <c r="B295" s="9" t="s">
        <v>57</v>
      </c>
      <c r="C295" s="9" t="s">
        <v>552</v>
      </c>
      <c r="D295" s="10" t="s">
        <v>553</v>
      </c>
      <c r="E295" s="11" t="s">
        <v>1268</v>
      </c>
      <c r="F295" s="15" t="s">
        <v>1269</v>
      </c>
      <c r="G295" s="12" t="s">
        <v>1270</v>
      </c>
      <c r="H295" s="13" t="n">
        <v>-0.501</v>
      </c>
      <c r="I295" s="14" t="s">
        <v>695</v>
      </c>
      <c r="J295" s="15" t="s">
        <v>1180</v>
      </c>
      <c r="K295" s="9" t="n">
        <v>4</v>
      </c>
      <c r="L295" s="17"/>
      <c r="M295" s="16" t="s">
        <v>53</v>
      </c>
      <c r="N295" s="14"/>
      <c r="O295" s="17" t="s">
        <v>54</v>
      </c>
      <c r="P295" s="15" t="s">
        <v>1231</v>
      </c>
      <c r="Q295" s="17"/>
      <c r="R295" s="18" t="s">
        <v>53</v>
      </c>
      <c r="S295" s="19"/>
      <c r="T295" s="15" t="str">
        <f aca="false">IF(R295="維持",J295,IF(R295="排除","無關新聞事件",IFERROR(INDEX(事件規則!$B$2:$B$53,MATCH(S295,事件規則!$A$2:$A$53,0)),"")))</f>
        <v>無關新聞事件</v>
      </c>
      <c r="U295" s="20" t="n">
        <f aca="false">IF(R295="維持",K295,IF(R295="排除",0,IFERROR(INDEX(事件規則!$C$2:$C$53,MATCH(S295,事件規則!$A$2:$A$53,0)),"")))</f>
        <v>0</v>
      </c>
      <c r="V295" s="21"/>
      <c r="W295" s="22"/>
      <c r="X295" s="10" t="str">
        <f aca="false">IF(AND(R295="修改",S295=""),"請選新事件代碼",IF(AND(R295&lt;&gt;"修改",S295&lt;&gt;""),"只有「修改」才需填代碼",""))</f>
        <v/>
      </c>
      <c r="Y295" s="21"/>
      <c r="Z295" s="22"/>
      <c r="AA295" s="12" t="s">
        <v>1271</v>
      </c>
      <c r="AB295" s="12"/>
    </row>
    <row r="296" customFormat="false" ht="29.85" hidden="false" customHeight="false" outlineLevel="0" collapsed="false">
      <c r="A296" s="17" t="n">
        <v>295</v>
      </c>
      <c r="B296" s="9" t="s">
        <v>57</v>
      </c>
      <c r="C296" s="9" t="s">
        <v>1258</v>
      </c>
      <c r="D296" s="10" t="s">
        <v>1259</v>
      </c>
      <c r="E296" s="11" t="s">
        <v>1272</v>
      </c>
      <c r="F296" s="15" t="s">
        <v>1273</v>
      </c>
      <c r="G296" s="12" t="s">
        <v>94</v>
      </c>
      <c r="H296" s="13" t="n">
        <v>0.613</v>
      </c>
      <c r="I296" s="14" t="s">
        <v>695</v>
      </c>
      <c r="J296" s="15" t="s">
        <v>1180</v>
      </c>
      <c r="K296" s="9" t="n">
        <v>4</v>
      </c>
      <c r="L296" s="17"/>
      <c r="M296" s="16" t="s">
        <v>95</v>
      </c>
      <c r="N296" s="14" t="s">
        <v>236</v>
      </c>
      <c r="O296" s="17" t="s">
        <v>97</v>
      </c>
      <c r="P296" s="10" t="s">
        <v>1262</v>
      </c>
      <c r="Q296" s="17"/>
      <c r="R296" s="18" t="s">
        <v>95</v>
      </c>
      <c r="S296" s="19" t="s">
        <v>236</v>
      </c>
      <c r="T296" s="15" t="str">
        <f aca="false">IF(R296="維持",J296,IF(R296="排除","無關新聞事件",IFERROR(INDEX(事件規則!$B$2:$B$53,MATCH(S296,事件規則!$A$2:$A$53,0)),"")))</f>
        <v>反壟斷調查</v>
      </c>
      <c r="U296" s="20" t="n">
        <f aca="false">IF(R296="維持",K296,IF(R296="排除",0,IFERROR(INDEX(事件規則!$C$2:$C$53,MATCH(S296,事件規則!$A$2:$A$53,0)),"")))</f>
        <v>4</v>
      </c>
      <c r="V296" s="21"/>
      <c r="W296" s="22"/>
      <c r="X296" s="10" t="str">
        <f aca="false">IF(AND(R296="修改",S296=""),"請選新事件代碼",IF(AND(R296&lt;&gt;"修改",S296&lt;&gt;""),"只有「修改」才需填代碼",""))</f>
        <v/>
      </c>
      <c r="Y296" s="21"/>
      <c r="Z296" s="22"/>
      <c r="AA296" s="12" t="s">
        <v>1274</v>
      </c>
      <c r="AB296" s="12"/>
    </row>
    <row r="297" customFormat="false" ht="29.85" hidden="false" customHeight="false" outlineLevel="0" collapsed="false">
      <c r="A297" s="17" t="n">
        <v>296</v>
      </c>
      <c r="B297" s="9" t="s">
        <v>57</v>
      </c>
      <c r="C297" s="9" t="s">
        <v>1258</v>
      </c>
      <c r="D297" s="10" t="s">
        <v>1259</v>
      </c>
      <c r="E297" s="11" t="s">
        <v>1275</v>
      </c>
      <c r="F297" s="15" t="s">
        <v>1276</v>
      </c>
      <c r="G297" s="12" t="s">
        <v>1277</v>
      </c>
      <c r="H297" s="13" t="n">
        <v>-0.785</v>
      </c>
      <c r="I297" s="14" t="s">
        <v>695</v>
      </c>
      <c r="J297" s="15" t="s">
        <v>1180</v>
      </c>
      <c r="K297" s="9" t="n">
        <v>4</v>
      </c>
      <c r="L297" s="17"/>
      <c r="M297" s="16" t="s">
        <v>95</v>
      </c>
      <c r="N297" s="14" t="s">
        <v>236</v>
      </c>
      <c r="O297" s="17" t="s">
        <v>97</v>
      </c>
      <c r="P297" s="10" t="s">
        <v>1262</v>
      </c>
      <c r="Q297" s="17"/>
      <c r="R297" s="18" t="s">
        <v>95</v>
      </c>
      <c r="S297" s="19" t="s">
        <v>236</v>
      </c>
      <c r="T297" s="15" t="str">
        <f aca="false">IF(R297="維持",J297,IF(R297="排除","無關新聞事件",IFERROR(INDEX(事件規則!$B$2:$B$53,MATCH(S297,事件規則!$A$2:$A$53,0)),"")))</f>
        <v>反壟斷調查</v>
      </c>
      <c r="U297" s="20" t="n">
        <f aca="false">IF(R297="維持",K297,IF(R297="排除",0,IFERROR(INDEX(事件規則!$C$2:$C$53,MATCH(S297,事件規則!$A$2:$A$53,0)),"")))</f>
        <v>4</v>
      </c>
      <c r="V297" s="21"/>
      <c r="W297" s="22"/>
      <c r="X297" s="10" t="str">
        <f aca="false">IF(AND(R297="修改",S297=""),"請選新事件代碼",IF(AND(R297&lt;&gt;"修改",S297&lt;&gt;""),"只有「修改」才需填代碼",""))</f>
        <v/>
      </c>
      <c r="Y297" s="21"/>
      <c r="Z297" s="22"/>
      <c r="AA297" s="12" t="s">
        <v>1278</v>
      </c>
      <c r="AB297" s="12"/>
    </row>
    <row r="298" customFormat="false" ht="29.85" hidden="false" customHeight="false" outlineLevel="0" collapsed="false">
      <c r="A298" s="17" t="n">
        <v>297</v>
      </c>
      <c r="B298" s="9" t="s">
        <v>57</v>
      </c>
      <c r="C298" s="9" t="s">
        <v>665</v>
      </c>
      <c r="D298" s="10" t="s">
        <v>666</v>
      </c>
      <c r="E298" s="11" t="s">
        <v>1279</v>
      </c>
      <c r="F298" s="10" t="s">
        <v>1280</v>
      </c>
      <c r="G298" s="12" t="s">
        <v>1281</v>
      </c>
      <c r="H298" s="13" t="n">
        <v>-0.031</v>
      </c>
      <c r="I298" s="14" t="s">
        <v>695</v>
      </c>
      <c r="J298" s="15" t="s">
        <v>1180</v>
      </c>
      <c r="K298" s="9" t="n">
        <v>4</v>
      </c>
      <c r="L298" s="17"/>
      <c r="M298" s="16" t="s">
        <v>95</v>
      </c>
      <c r="N298" s="14" t="s">
        <v>96</v>
      </c>
      <c r="O298" s="17" t="s">
        <v>97</v>
      </c>
      <c r="P298" s="10" t="s">
        <v>1245</v>
      </c>
      <c r="Q298" s="17"/>
      <c r="R298" s="18" t="s">
        <v>95</v>
      </c>
      <c r="S298" s="19" t="s">
        <v>96</v>
      </c>
      <c r="T298" s="15" t="str">
        <f aca="false">IF(R298="維持",J298,IF(R298="排除","無關新聞事件",IFERROR(INDEX(事件規則!$B$2:$B$53,MATCH(S298,事件規則!$A$2:$A$53,0)),"")))</f>
        <v>重大訴訟</v>
      </c>
      <c r="U298" s="20" t="n">
        <f aca="false">IF(R298="維持",K298,IF(R298="排除",0,IFERROR(INDEX(事件規則!$C$2:$C$53,MATCH(S298,事件規則!$A$2:$A$53,0)),"")))</f>
        <v>4</v>
      </c>
      <c r="V298" s="21"/>
      <c r="W298" s="22"/>
      <c r="X298" s="10" t="str">
        <f aca="false">IF(AND(R298="修改",S298=""),"請選新事件代碼",IF(AND(R298&lt;&gt;"修改",S298&lt;&gt;""),"只有「修改」才需填代碼",""))</f>
        <v/>
      </c>
      <c r="Y298" s="21"/>
      <c r="Z298" s="22"/>
      <c r="AA298" s="12" t="s">
        <v>1282</v>
      </c>
      <c r="AB298" s="12"/>
    </row>
    <row r="299" customFormat="false" ht="29.85" hidden="false" customHeight="false" outlineLevel="0" collapsed="false">
      <c r="A299" s="17" t="n">
        <v>298</v>
      </c>
      <c r="B299" s="9" t="s">
        <v>57</v>
      </c>
      <c r="C299" s="9" t="s">
        <v>665</v>
      </c>
      <c r="D299" s="10" t="s">
        <v>666</v>
      </c>
      <c r="E299" s="11" t="s">
        <v>1283</v>
      </c>
      <c r="F299" s="10" t="s">
        <v>1284</v>
      </c>
      <c r="G299" s="12" t="s">
        <v>1281</v>
      </c>
      <c r="H299" s="13" t="n">
        <v>0.367</v>
      </c>
      <c r="I299" s="14" t="s">
        <v>695</v>
      </c>
      <c r="J299" s="15" t="s">
        <v>1180</v>
      </c>
      <c r="K299" s="9" t="n">
        <v>4</v>
      </c>
      <c r="L299" s="17"/>
      <c r="M299" s="16" t="s">
        <v>95</v>
      </c>
      <c r="N299" s="14" t="s">
        <v>96</v>
      </c>
      <c r="O299" s="17" t="s">
        <v>97</v>
      </c>
      <c r="P299" s="10" t="s">
        <v>1245</v>
      </c>
      <c r="Q299" s="17"/>
      <c r="R299" s="18" t="s">
        <v>95</v>
      </c>
      <c r="S299" s="19" t="s">
        <v>96</v>
      </c>
      <c r="T299" s="15" t="str">
        <f aca="false">IF(R299="維持",J299,IF(R299="排除","無關新聞事件",IFERROR(INDEX(事件規則!$B$2:$B$53,MATCH(S299,事件規則!$A$2:$A$53,0)),"")))</f>
        <v>重大訴訟</v>
      </c>
      <c r="U299" s="20" t="n">
        <f aca="false">IF(R299="維持",K299,IF(R299="排除",0,IFERROR(INDEX(事件規則!$C$2:$C$53,MATCH(S299,事件規則!$A$2:$A$53,0)),"")))</f>
        <v>4</v>
      </c>
      <c r="V299" s="21"/>
      <c r="W299" s="22"/>
      <c r="X299" s="10" t="str">
        <f aca="false">IF(AND(R299="修改",S299=""),"請選新事件代碼",IF(AND(R299&lt;&gt;"修改",S299&lt;&gt;""),"只有「修改」才需填代碼",""))</f>
        <v/>
      </c>
      <c r="Y299" s="21"/>
      <c r="Z299" s="22"/>
      <c r="AA299" s="12" t="s">
        <v>1285</v>
      </c>
      <c r="AB299" s="12"/>
    </row>
    <row r="300" customFormat="false" ht="29.85" hidden="false" customHeight="false" outlineLevel="0" collapsed="false">
      <c r="A300" s="17" t="n">
        <v>299</v>
      </c>
      <c r="B300" s="9" t="s">
        <v>57</v>
      </c>
      <c r="C300" s="9" t="s">
        <v>665</v>
      </c>
      <c r="D300" s="10" t="s">
        <v>666</v>
      </c>
      <c r="E300" s="11" t="s">
        <v>1286</v>
      </c>
      <c r="F300" s="10" t="s">
        <v>1287</v>
      </c>
      <c r="G300" s="12" t="s">
        <v>1244</v>
      </c>
      <c r="H300" s="13" t="n">
        <v>0.788</v>
      </c>
      <c r="I300" s="14" t="s">
        <v>695</v>
      </c>
      <c r="J300" s="15" t="s">
        <v>1180</v>
      </c>
      <c r="K300" s="9" t="n">
        <v>4</v>
      </c>
      <c r="L300" s="17"/>
      <c r="M300" s="16" t="s">
        <v>95</v>
      </c>
      <c r="N300" s="14" t="s">
        <v>96</v>
      </c>
      <c r="O300" s="17" t="s">
        <v>97</v>
      </c>
      <c r="P300" s="10" t="s">
        <v>1245</v>
      </c>
      <c r="Q300" s="17"/>
      <c r="R300" s="18" t="s">
        <v>95</v>
      </c>
      <c r="S300" s="19" t="s">
        <v>96</v>
      </c>
      <c r="T300" s="15" t="str">
        <f aca="false">IF(R300="維持",J300,IF(R300="排除","無關新聞事件",IFERROR(INDEX(事件規則!$B$2:$B$53,MATCH(S300,事件規則!$A$2:$A$53,0)),"")))</f>
        <v>重大訴訟</v>
      </c>
      <c r="U300" s="20" t="n">
        <f aca="false">IF(R300="維持",K300,IF(R300="排除",0,IFERROR(INDEX(事件規則!$C$2:$C$53,MATCH(S300,事件規則!$A$2:$A$53,0)),"")))</f>
        <v>4</v>
      </c>
      <c r="V300" s="21"/>
      <c r="W300" s="22"/>
      <c r="X300" s="10" t="str">
        <f aca="false">IF(AND(R300="修改",S300=""),"請選新事件代碼",IF(AND(R300&lt;&gt;"修改",S300&lt;&gt;""),"只有「修改」才需填代碼",""))</f>
        <v/>
      </c>
      <c r="Y300" s="21"/>
      <c r="Z300" s="22"/>
      <c r="AA300" s="12" t="s">
        <v>1288</v>
      </c>
      <c r="AB300" s="12"/>
    </row>
    <row r="301" customFormat="false" ht="41" hidden="false" customHeight="false" outlineLevel="0" collapsed="false">
      <c r="A301" s="17" t="n">
        <v>300</v>
      </c>
      <c r="B301" s="9" t="s">
        <v>57</v>
      </c>
      <c r="C301" s="9" t="s">
        <v>1258</v>
      </c>
      <c r="D301" s="10" t="s">
        <v>1259</v>
      </c>
      <c r="E301" s="11" t="s">
        <v>1289</v>
      </c>
      <c r="F301" s="15" t="s">
        <v>1290</v>
      </c>
      <c r="G301" s="12" t="s">
        <v>1121</v>
      </c>
      <c r="H301" s="13" t="n">
        <v>0.791</v>
      </c>
      <c r="I301" s="14" t="s">
        <v>695</v>
      </c>
      <c r="J301" s="15" t="s">
        <v>1180</v>
      </c>
      <c r="K301" s="9" t="n">
        <v>4</v>
      </c>
      <c r="L301" s="17"/>
      <c r="M301" s="16" t="s">
        <v>95</v>
      </c>
      <c r="N301" s="14" t="s">
        <v>236</v>
      </c>
      <c r="O301" s="17" t="s">
        <v>97</v>
      </c>
      <c r="P301" s="10" t="s">
        <v>1262</v>
      </c>
      <c r="Q301" s="17"/>
      <c r="R301" s="18" t="s">
        <v>95</v>
      </c>
      <c r="S301" s="19" t="s">
        <v>236</v>
      </c>
      <c r="T301" s="15" t="str">
        <f aca="false">IF(R301="維持",J301,IF(R301="排除","無關新聞事件",IFERROR(INDEX(事件規則!$B$2:$B$53,MATCH(S301,事件規則!$A$2:$A$53,0)),"")))</f>
        <v>反壟斷調查</v>
      </c>
      <c r="U301" s="20" t="n">
        <f aca="false">IF(R301="維持",K301,IF(R301="排除",0,IFERROR(INDEX(事件規則!$C$2:$C$53,MATCH(S301,事件規則!$A$2:$A$53,0)),"")))</f>
        <v>4</v>
      </c>
      <c r="V301" s="21"/>
      <c r="W301" s="22"/>
      <c r="X301" s="10" t="str">
        <f aca="false">IF(AND(R301="修改",S301=""),"請選新事件代碼",IF(AND(R301&lt;&gt;"修改",S301&lt;&gt;""),"只有「修改」才需填代碼",""))</f>
        <v/>
      </c>
      <c r="Y301" s="21"/>
      <c r="Z301" s="22"/>
      <c r="AA301" s="12" t="s">
        <v>1291</v>
      </c>
      <c r="AB301" s="12"/>
    </row>
    <row r="302" customFormat="false" ht="29.85" hidden="false" customHeight="false" outlineLevel="0" collapsed="false">
      <c r="A302" s="17" t="n">
        <v>301</v>
      </c>
      <c r="B302" s="9" t="s">
        <v>57</v>
      </c>
      <c r="C302" s="9" t="s">
        <v>665</v>
      </c>
      <c r="D302" s="10" t="s">
        <v>666</v>
      </c>
      <c r="E302" s="11" t="s">
        <v>1292</v>
      </c>
      <c r="F302" s="10" t="s">
        <v>1293</v>
      </c>
      <c r="G302" s="12" t="s">
        <v>1294</v>
      </c>
      <c r="H302" s="13" t="n">
        <v>-0.893</v>
      </c>
      <c r="I302" s="14" t="s">
        <v>695</v>
      </c>
      <c r="J302" s="15" t="s">
        <v>1180</v>
      </c>
      <c r="K302" s="9" t="n">
        <v>4</v>
      </c>
      <c r="L302" s="17"/>
      <c r="M302" s="16" t="s">
        <v>95</v>
      </c>
      <c r="N302" s="14" t="s">
        <v>96</v>
      </c>
      <c r="O302" s="17" t="s">
        <v>97</v>
      </c>
      <c r="P302" s="10" t="s">
        <v>1245</v>
      </c>
      <c r="Q302" s="17"/>
      <c r="R302" s="18" t="s">
        <v>95</v>
      </c>
      <c r="S302" s="19" t="s">
        <v>96</v>
      </c>
      <c r="T302" s="15" t="str">
        <f aca="false">IF(R302="維持",J302,IF(R302="排除","無關新聞事件",IFERROR(INDEX(事件規則!$B$2:$B$53,MATCH(S302,事件規則!$A$2:$A$53,0)),"")))</f>
        <v>重大訴訟</v>
      </c>
      <c r="U302" s="20" t="n">
        <f aca="false">IF(R302="維持",K302,IF(R302="排除",0,IFERROR(INDEX(事件規則!$C$2:$C$53,MATCH(S302,事件規則!$A$2:$A$53,0)),"")))</f>
        <v>4</v>
      </c>
      <c r="V302" s="21"/>
      <c r="W302" s="22"/>
      <c r="X302" s="10" t="str">
        <f aca="false">IF(AND(R302="修改",S302=""),"請選新事件代碼",IF(AND(R302&lt;&gt;"修改",S302&lt;&gt;""),"只有「修改」才需填代碼",""))</f>
        <v/>
      </c>
      <c r="Y302" s="21"/>
      <c r="Z302" s="22"/>
      <c r="AA302" s="12" t="s">
        <v>1295</v>
      </c>
      <c r="AB302" s="12"/>
    </row>
    <row r="303" customFormat="false" ht="23.85" hidden="false" customHeight="false" outlineLevel="0" collapsed="false">
      <c r="A303" s="17" t="n">
        <v>302</v>
      </c>
      <c r="B303" s="9" t="s">
        <v>57</v>
      </c>
      <c r="C303" s="9" t="s">
        <v>1296</v>
      </c>
      <c r="D303" s="10" t="s">
        <v>1297</v>
      </c>
      <c r="E303" s="11" t="s">
        <v>1298</v>
      </c>
      <c r="F303" s="10" t="s">
        <v>1299</v>
      </c>
      <c r="G303" s="12" t="s">
        <v>833</v>
      </c>
      <c r="H303" s="13" t="n">
        <v>-0.79</v>
      </c>
      <c r="I303" s="14" t="s">
        <v>695</v>
      </c>
      <c r="J303" s="15" t="s">
        <v>1180</v>
      </c>
      <c r="K303" s="9" t="n">
        <v>4</v>
      </c>
      <c r="L303" s="17"/>
      <c r="M303" s="16" t="s">
        <v>53</v>
      </c>
      <c r="N303" s="14"/>
      <c r="O303" s="17" t="s">
        <v>97</v>
      </c>
      <c r="P303" s="10" t="s">
        <v>1300</v>
      </c>
      <c r="Q303" s="17"/>
      <c r="R303" s="18" t="s">
        <v>53</v>
      </c>
      <c r="S303" s="19"/>
      <c r="T303" s="15" t="str">
        <f aca="false">IF(R303="維持",J303,IF(R303="排除","無關新聞事件",IFERROR(INDEX(事件規則!$B$2:$B$53,MATCH(S303,事件規則!$A$2:$A$53,0)),"")))</f>
        <v>無關新聞事件</v>
      </c>
      <c r="U303" s="20" t="n">
        <f aca="false">IF(R303="維持",K303,IF(R303="排除",0,IFERROR(INDEX(事件規則!$C$2:$C$53,MATCH(S303,事件規則!$A$2:$A$53,0)),"")))</f>
        <v>0</v>
      </c>
      <c r="V303" s="21"/>
      <c r="W303" s="22"/>
      <c r="X303" s="10" t="str">
        <f aca="false">IF(AND(R303="修改",S303=""),"請選新事件代碼",IF(AND(R303&lt;&gt;"修改",S303&lt;&gt;""),"只有「修改」才需填代碼",""))</f>
        <v/>
      </c>
      <c r="Y303" s="21"/>
      <c r="Z303" s="22"/>
      <c r="AA303" s="12" t="s">
        <v>1301</v>
      </c>
      <c r="AB303" s="12"/>
    </row>
    <row r="304" customFormat="false" ht="29.85" hidden="false" customHeight="false" outlineLevel="0" collapsed="false">
      <c r="A304" s="17" t="n">
        <v>303</v>
      </c>
      <c r="B304" s="9" t="s">
        <v>62</v>
      </c>
      <c r="C304" s="9" t="s">
        <v>665</v>
      </c>
      <c r="D304" s="10" t="s">
        <v>666</v>
      </c>
      <c r="E304" s="11" t="s">
        <v>1302</v>
      </c>
      <c r="F304" s="10" t="s">
        <v>1303</v>
      </c>
      <c r="G304" s="12" t="s">
        <v>1304</v>
      </c>
      <c r="H304" s="13" t="n">
        <v>0.821</v>
      </c>
      <c r="I304" s="14" t="s">
        <v>695</v>
      </c>
      <c r="J304" s="15" t="s">
        <v>1180</v>
      </c>
      <c r="K304" s="9" t="n">
        <v>4</v>
      </c>
      <c r="L304" s="17"/>
      <c r="M304" s="16" t="s">
        <v>95</v>
      </c>
      <c r="N304" s="14" t="s">
        <v>96</v>
      </c>
      <c r="O304" s="17" t="s">
        <v>97</v>
      </c>
      <c r="P304" s="10" t="s">
        <v>1245</v>
      </c>
      <c r="Q304" s="17"/>
      <c r="R304" s="18" t="s">
        <v>95</v>
      </c>
      <c r="S304" s="19" t="s">
        <v>96</v>
      </c>
      <c r="T304" s="15" t="str">
        <f aca="false">IF(R304="維持",J304,IF(R304="排除","無關新聞事件",IFERROR(INDEX(事件規則!$B$2:$B$53,MATCH(S304,事件規則!$A$2:$A$53,0)),"")))</f>
        <v>重大訴訟</v>
      </c>
      <c r="U304" s="20" t="n">
        <f aca="false">IF(R304="維持",K304,IF(R304="排除",0,IFERROR(INDEX(事件規則!$C$2:$C$53,MATCH(S304,事件規則!$A$2:$A$53,0)),"")))</f>
        <v>4</v>
      </c>
      <c r="V304" s="21"/>
      <c r="W304" s="22"/>
      <c r="X304" s="10" t="str">
        <f aca="false">IF(AND(R304="修改",S304=""),"請選新事件代碼",IF(AND(R304&lt;&gt;"修改",S304&lt;&gt;""),"只有「修改」才需填代碼",""))</f>
        <v/>
      </c>
      <c r="Y304" s="21"/>
      <c r="Z304" s="22"/>
      <c r="AA304" s="12" t="s">
        <v>1305</v>
      </c>
      <c r="AB304" s="12"/>
    </row>
    <row r="305" customFormat="false" ht="35.05" hidden="false" customHeight="false" outlineLevel="0" collapsed="false">
      <c r="A305" s="17" t="n">
        <v>304</v>
      </c>
      <c r="B305" s="9" t="s">
        <v>62</v>
      </c>
      <c r="C305" s="9" t="s">
        <v>1306</v>
      </c>
      <c r="D305" s="10" t="s">
        <v>1307</v>
      </c>
      <c r="E305" s="11" t="s">
        <v>1308</v>
      </c>
      <c r="F305" s="10" t="s">
        <v>1309</v>
      </c>
      <c r="G305" s="12" t="s">
        <v>1310</v>
      </c>
      <c r="H305" s="13" t="n">
        <v>0.754</v>
      </c>
      <c r="I305" s="14" t="s">
        <v>695</v>
      </c>
      <c r="J305" s="15" t="s">
        <v>1180</v>
      </c>
      <c r="K305" s="9" t="n">
        <v>4</v>
      </c>
      <c r="L305" s="17"/>
      <c r="M305" s="16" t="s">
        <v>53</v>
      </c>
      <c r="N305" s="14"/>
      <c r="O305" s="17" t="s">
        <v>54</v>
      </c>
      <c r="P305" s="15" t="s">
        <v>1311</v>
      </c>
      <c r="Q305" s="17"/>
      <c r="R305" s="18" t="s">
        <v>53</v>
      </c>
      <c r="S305" s="19"/>
      <c r="T305" s="15" t="str">
        <f aca="false">IF(R305="維持",J305,IF(R305="排除","無關新聞事件",IFERROR(INDEX(事件規則!$B$2:$B$53,MATCH(S305,事件規則!$A$2:$A$53,0)),"")))</f>
        <v>無關新聞事件</v>
      </c>
      <c r="U305" s="20" t="n">
        <f aca="false">IF(R305="維持",K305,IF(R305="排除",0,IFERROR(INDEX(事件規則!$C$2:$C$53,MATCH(S305,事件規則!$A$2:$A$53,0)),"")))</f>
        <v>0</v>
      </c>
      <c r="V305" s="21"/>
      <c r="W305" s="22"/>
      <c r="X305" s="10" t="str">
        <f aca="false">IF(AND(R305="修改",S305=""),"請選新事件代碼",IF(AND(R305&lt;&gt;"修改",S305&lt;&gt;""),"只有「修改」才需填代碼",""))</f>
        <v/>
      </c>
      <c r="Y305" s="21"/>
      <c r="Z305" s="22"/>
      <c r="AA305" s="12" t="s">
        <v>1312</v>
      </c>
      <c r="AB305" s="12"/>
    </row>
    <row r="306" customFormat="false" ht="29.85" hidden="false" customHeight="false" outlineLevel="0" collapsed="false">
      <c r="A306" s="17" t="n">
        <v>305</v>
      </c>
      <c r="B306" s="9" t="s">
        <v>62</v>
      </c>
      <c r="C306" s="9" t="s">
        <v>665</v>
      </c>
      <c r="D306" s="10" t="s">
        <v>666</v>
      </c>
      <c r="E306" s="11" t="s">
        <v>1313</v>
      </c>
      <c r="F306" s="15" t="s">
        <v>1314</v>
      </c>
      <c r="G306" s="12" t="s">
        <v>1315</v>
      </c>
      <c r="H306" s="13" t="n">
        <v>0.21</v>
      </c>
      <c r="I306" s="14" t="s">
        <v>695</v>
      </c>
      <c r="J306" s="15" t="s">
        <v>1180</v>
      </c>
      <c r="K306" s="9" t="n">
        <v>4</v>
      </c>
      <c r="L306" s="17"/>
      <c r="M306" s="16" t="s">
        <v>53</v>
      </c>
      <c r="N306" s="14"/>
      <c r="O306" s="17" t="s">
        <v>97</v>
      </c>
      <c r="P306" s="15" t="s">
        <v>1316</v>
      </c>
      <c r="Q306" s="17"/>
      <c r="R306" s="18" t="s">
        <v>53</v>
      </c>
      <c r="S306" s="19"/>
      <c r="T306" s="15" t="str">
        <f aca="false">IF(R306="維持",J306,IF(R306="排除","無關新聞事件",IFERROR(INDEX(事件規則!$B$2:$B$53,MATCH(S306,事件規則!$A$2:$A$53,0)),"")))</f>
        <v>無關新聞事件</v>
      </c>
      <c r="U306" s="20" t="n">
        <f aca="false">IF(R306="維持",K306,IF(R306="排除",0,IFERROR(INDEX(事件規則!$C$2:$C$53,MATCH(S306,事件規則!$A$2:$A$53,0)),"")))</f>
        <v>0</v>
      </c>
      <c r="V306" s="21"/>
      <c r="W306" s="22"/>
      <c r="X306" s="10" t="str">
        <f aca="false">IF(AND(R306="修改",S306=""),"請選新事件代碼",IF(AND(R306&lt;&gt;"修改",S306&lt;&gt;""),"只有「修改」才需填代碼",""))</f>
        <v/>
      </c>
      <c r="Y306" s="21"/>
      <c r="Z306" s="22"/>
      <c r="AA306" s="12" t="s">
        <v>1317</v>
      </c>
      <c r="AB306" s="12"/>
    </row>
    <row r="307" customFormat="false" ht="29.85" hidden="false" customHeight="false" outlineLevel="0" collapsed="false">
      <c r="A307" s="17" t="n">
        <v>306</v>
      </c>
      <c r="B307" s="9" t="s">
        <v>62</v>
      </c>
      <c r="C307" s="9" t="s">
        <v>665</v>
      </c>
      <c r="D307" s="10" t="s">
        <v>666</v>
      </c>
      <c r="E307" s="11" t="s">
        <v>1318</v>
      </c>
      <c r="F307" s="10" t="s">
        <v>1319</v>
      </c>
      <c r="G307" s="12" t="s">
        <v>1320</v>
      </c>
      <c r="H307" s="13" t="n">
        <v>0.138</v>
      </c>
      <c r="I307" s="14" t="s">
        <v>695</v>
      </c>
      <c r="J307" s="15" t="s">
        <v>1180</v>
      </c>
      <c r="K307" s="9" t="n">
        <v>4</v>
      </c>
      <c r="L307" s="17"/>
      <c r="M307" s="16" t="s">
        <v>95</v>
      </c>
      <c r="N307" s="14" t="s">
        <v>96</v>
      </c>
      <c r="O307" s="17" t="s">
        <v>97</v>
      </c>
      <c r="P307" s="10" t="s">
        <v>1245</v>
      </c>
      <c r="Q307" s="17"/>
      <c r="R307" s="18" t="s">
        <v>95</v>
      </c>
      <c r="S307" s="19" t="s">
        <v>96</v>
      </c>
      <c r="T307" s="15" t="str">
        <f aca="false">IF(R307="維持",J307,IF(R307="排除","無關新聞事件",IFERROR(INDEX(事件規則!$B$2:$B$53,MATCH(S307,事件規則!$A$2:$A$53,0)),"")))</f>
        <v>重大訴訟</v>
      </c>
      <c r="U307" s="20" t="n">
        <f aca="false">IF(R307="維持",K307,IF(R307="排除",0,IFERROR(INDEX(事件規則!$C$2:$C$53,MATCH(S307,事件規則!$A$2:$A$53,0)),"")))</f>
        <v>4</v>
      </c>
      <c r="V307" s="21"/>
      <c r="W307" s="22"/>
      <c r="X307" s="10" t="str">
        <f aca="false">IF(AND(R307="修改",S307=""),"請選新事件代碼",IF(AND(R307&lt;&gt;"修改",S307&lt;&gt;""),"只有「修改」才需填代碼",""))</f>
        <v/>
      </c>
      <c r="Y307" s="21"/>
      <c r="Z307" s="22"/>
      <c r="AA307" s="12" t="s">
        <v>1321</v>
      </c>
      <c r="AB307" s="12"/>
    </row>
    <row r="308" customFormat="false" ht="29.85" hidden="false" customHeight="false" outlineLevel="0" collapsed="false">
      <c r="A308" s="17" t="n">
        <v>307</v>
      </c>
      <c r="B308" s="9" t="s">
        <v>62</v>
      </c>
      <c r="C308" s="9" t="s">
        <v>1322</v>
      </c>
      <c r="D308" s="10" t="s">
        <v>1323</v>
      </c>
      <c r="E308" s="11" t="s">
        <v>1324</v>
      </c>
      <c r="F308" s="15" t="s">
        <v>1325</v>
      </c>
      <c r="G308" s="12" t="s">
        <v>1326</v>
      </c>
      <c r="H308" s="13" t="n">
        <v>0.012</v>
      </c>
      <c r="I308" s="14" t="s">
        <v>695</v>
      </c>
      <c r="J308" s="15" t="s">
        <v>1180</v>
      </c>
      <c r="K308" s="9" t="n">
        <v>4</v>
      </c>
      <c r="L308" s="17"/>
      <c r="M308" s="16" t="s">
        <v>53</v>
      </c>
      <c r="N308" s="14"/>
      <c r="O308" s="17" t="s">
        <v>54</v>
      </c>
      <c r="P308" s="10" t="s">
        <v>1327</v>
      </c>
      <c r="Q308" s="17"/>
      <c r="R308" s="18" t="s">
        <v>53</v>
      </c>
      <c r="S308" s="19"/>
      <c r="T308" s="15" t="str">
        <f aca="false">IF(R308="維持",J308,IF(R308="排除","無關新聞事件",IFERROR(INDEX(事件規則!$B$2:$B$53,MATCH(S308,事件規則!$A$2:$A$53,0)),"")))</f>
        <v>無關新聞事件</v>
      </c>
      <c r="U308" s="20" t="n">
        <f aca="false">IF(R308="維持",K308,IF(R308="排除",0,IFERROR(INDEX(事件規則!$C$2:$C$53,MATCH(S308,事件規則!$A$2:$A$53,0)),"")))</f>
        <v>0</v>
      </c>
      <c r="V308" s="21"/>
      <c r="W308" s="22"/>
      <c r="X308" s="10" t="str">
        <f aca="false">IF(AND(R308="修改",S308=""),"請選新事件代碼",IF(AND(R308&lt;&gt;"修改",S308&lt;&gt;""),"只有「修改」才需填代碼",""))</f>
        <v/>
      </c>
      <c r="Y308" s="21"/>
      <c r="Z308" s="22"/>
      <c r="AA308" s="12" t="s">
        <v>1328</v>
      </c>
      <c r="AB308" s="12"/>
    </row>
    <row r="309" customFormat="false" ht="29.85" hidden="false" customHeight="false" outlineLevel="0" collapsed="false">
      <c r="A309" s="17" t="n">
        <v>308</v>
      </c>
      <c r="B309" s="9" t="s">
        <v>62</v>
      </c>
      <c r="C309" s="9" t="s">
        <v>1322</v>
      </c>
      <c r="D309" s="10" t="s">
        <v>1323</v>
      </c>
      <c r="E309" s="11" t="s">
        <v>1329</v>
      </c>
      <c r="F309" s="10" t="s">
        <v>1330</v>
      </c>
      <c r="G309" s="12" t="s">
        <v>1331</v>
      </c>
      <c r="H309" s="13" t="n">
        <v>-0.895</v>
      </c>
      <c r="I309" s="14" t="s">
        <v>695</v>
      </c>
      <c r="J309" s="15" t="s">
        <v>1180</v>
      </c>
      <c r="K309" s="9" t="n">
        <v>4</v>
      </c>
      <c r="L309" s="17"/>
      <c r="M309" s="16" t="s">
        <v>53</v>
      </c>
      <c r="N309" s="14"/>
      <c r="O309" s="17" t="s">
        <v>54</v>
      </c>
      <c r="P309" s="10" t="s">
        <v>1327</v>
      </c>
      <c r="Q309" s="17"/>
      <c r="R309" s="18" t="s">
        <v>53</v>
      </c>
      <c r="S309" s="19"/>
      <c r="T309" s="15" t="str">
        <f aca="false">IF(R309="維持",J309,IF(R309="排除","無關新聞事件",IFERROR(INDEX(事件規則!$B$2:$B$53,MATCH(S309,事件規則!$A$2:$A$53,0)),"")))</f>
        <v>無關新聞事件</v>
      </c>
      <c r="U309" s="20" t="n">
        <f aca="false">IF(R309="維持",K309,IF(R309="排除",0,IFERROR(INDEX(事件規則!$C$2:$C$53,MATCH(S309,事件規則!$A$2:$A$53,0)),"")))</f>
        <v>0</v>
      </c>
      <c r="V309" s="21"/>
      <c r="W309" s="22"/>
      <c r="X309" s="10" t="str">
        <f aca="false">IF(AND(R309="修改",S309=""),"請選新事件代碼",IF(AND(R309&lt;&gt;"修改",S309&lt;&gt;""),"只有「修改」才需填代碼",""))</f>
        <v/>
      </c>
      <c r="Y309" s="21"/>
      <c r="Z309" s="22"/>
      <c r="AA309" s="12" t="s">
        <v>1332</v>
      </c>
      <c r="AB309" s="12"/>
    </row>
    <row r="310" customFormat="false" ht="29.85" hidden="false" customHeight="false" outlineLevel="0" collapsed="false">
      <c r="A310" s="17" t="n">
        <v>309</v>
      </c>
      <c r="B310" s="9" t="s">
        <v>62</v>
      </c>
      <c r="C310" s="9" t="s">
        <v>1333</v>
      </c>
      <c r="D310" s="10" t="s">
        <v>1334</v>
      </c>
      <c r="E310" s="11" t="s">
        <v>1335</v>
      </c>
      <c r="F310" s="10" t="s">
        <v>1336</v>
      </c>
      <c r="G310" s="12" t="s">
        <v>496</v>
      </c>
      <c r="H310" s="13" t="n">
        <v>-0.564</v>
      </c>
      <c r="I310" s="14" t="s">
        <v>695</v>
      </c>
      <c r="J310" s="15" t="s">
        <v>1180</v>
      </c>
      <c r="K310" s="9" t="n">
        <v>4</v>
      </c>
      <c r="L310" s="17"/>
      <c r="M310" s="16" t="s">
        <v>53</v>
      </c>
      <c r="N310" s="14"/>
      <c r="O310" s="17" t="s">
        <v>97</v>
      </c>
      <c r="P310" s="10" t="s">
        <v>1337</v>
      </c>
      <c r="Q310" s="17"/>
      <c r="R310" s="18" t="s">
        <v>53</v>
      </c>
      <c r="S310" s="19"/>
      <c r="T310" s="15" t="str">
        <f aca="false">IF(R310="維持",J310,IF(R310="排除","無關新聞事件",IFERROR(INDEX(事件規則!$B$2:$B$53,MATCH(S310,事件規則!$A$2:$A$53,0)),"")))</f>
        <v>無關新聞事件</v>
      </c>
      <c r="U310" s="20" t="n">
        <f aca="false">IF(R310="維持",K310,IF(R310="排除",0,IFERROR(INDEX(事件規則!$C$2:$C$53,MATCH(S310,事件規則!$A$2:$A$53,0)),"")))</f>
        <v>0</v>
      </c>
      <c r="V310" s="21"/>
      <c r="W310" s="22"/>
      <c r="X310" s="10" t="str">
        <f aca="false">IF(AND(R310="修改",S310=""),"請選新事件代碼",IF(AND(R310&lt;&gt;"修改",S310&lt;&gt;""),"只有「修改」才需填代碼",""))</f>
        <v/>
      </c>
      <c r="Y310" s="21"/>
      <c r="Z310" s="22"/>
      <c r="AA310" s="12" t="s">
        <v>1338</v>
      </c>
      <c r="AB310" s="12"/>
    </row>
    <row r="311" customFormat="false" ht="44" hidden="false" customHeight="false" outlineLevel="0" collapsed="false">
      <c r="A311" s="17" t="n">
        <v>310</v>
      </c>
      <c r="B311" s="9" t="s">
        <v>62</v>
      </c>
      <c r="C311" s="9" t="s">
        <v>1258</v>
      </c>
      <c r="D311" s="10" t="s">
        <v>1259</v>
      </c>
      <c r="E311" s="11" t="s">
        <v>1339</v>
      </c>
      <c r="F311" s="15" t="s">
        <v>1340</v>
      </c>
      <c r="G311" s="12" t="s">
        <v>1341</v>
      </c>
      <c r="H311" s="13" t="n">
        <v>-0.441</v>
      </c>
      <c r="I311" s="14" t="s">
        <v>695</v>
      </c>
      <c r="J311" s="15" t="s">
        <v>1180</v>
      </c>
      <c r="K311" s="9" t="n">
        <v>4</v>
      </c>
      <c r="L311" s="17"/>
      <c r="M311" s="16" t="s">
        <v>95</v>
      </c>
      <c r="N311" s="14" t="s">
        <v>236</v>
      </c>
      <c r="O311" s="17" t="s">
        <v>97</v>
      </c>
      <c r="P311" s="10" t="s">
        <v>1262</v>
      </c>
      <c r="Q311" s="17"/>
      <c r="R311" s="18" t="s">
        <v>95</v>
      </c>
      <c r="S311" s="19" t="s">
        <v>236</v>
      </c>
      <c r="T311" s="15" t="str">
        <f aca="false">IF(R311="維持",J311,IF(R311="排除","無關新聞事件",IFERROR(INDEX(事件規則!$B$2:$B$53,MATCH(S311,事件規則!$A$2:$A$53,0)),"")))</f>
        <v>反壟斷調查</v>
      </c>
      <c r="U311" s="20" t="n">
        <f aca="false">IF(R311="維持",K311,IF(R311="排除",0,IFERROR(INDEX(事件規則!$C$2:$C$53,MATCH(S311,事件規則!$A$2:$A$53,0)),"")))</f>
        <v>4</v>
      </c>
      <c r="V311" s="21"/>
      <c r="W311" s="22"/>
      <c r="X311" s="10" t="str">
        <f aca="false">IF(AND(R311="修改",S311=""),"請選新事件代碼",IF(AND(R311&lt;&gt;"修改",S311&lt;&gt;""),"只有「修改」才需填代碼",""))</f>
        <v/>
      </c>
      <c r="Y311" s="21"/>
      <c r="Z311" s="22"/>
      <c r="AA311" s="12" t="s">
        <v>1342</v>
      </c>
      <c r="AB311" s="12"/>
    </row>
    <row r="312" customFormat="false" ht="23.85" hidden="false" customHeight="false" outlineLevel="0" collapsed="false">
      <c r="A312" s="17" t="n">
        <v>311</v>
      </c>
      <c r="B312" s="9" t="s">
        <v>67</v>
      </c>
      <c r="C312" s="9" t="s">
        <v>72</v>
      </c>
      <c r="D312" s="10" t="s">
        <v>73</v>
      </c>
      <c r="E312" s="11" t="s">
        <v>1343</v>
      </c>
      <c r="F312" s="15" t="s">
        <v>1344</v>
      </c>
      <c r="G312" s="12" t="s">
        <v>1345</v>
      </c>
      <c r="H312" s="13" t="n">
        <v>-0.894</v>
      </c>
      <c r="I312" s="14" t="s">
        <v>695</v>
      </c>
      <c r="J312" s="15" t="s">
        <v>1180</v>
      </c>
      <c r="K312" s="9" t="n">
        <v>4</v>
      </c>
      <c r="L312" s="17"/>
      <c r="M312" s="16" t="s">
        <v>53</v>
      </c>
      <c r="N312" s="14"/>
      <c r="O312" s="17" t="s">
        <v>54</v>
      </c>
      <c r="P312" s="15" t="s">
        <v>1311</v>
      </c>
      <c r="Q312" s="17"/>
      <c r="R312" s="18" t="s">
        <v>53</v>
      </c>
      <c r="S312" s="19"/>
      <c r="T312" s="15" t="str">
        <f aca="false">IF(R312="維持",J312,IF(R312="排除","無關新聞事件",IFERROR(INDEX(事件規則!$B$2:$B$53,MATCH(S312,事件規則!$A$2:$A$53,0)),"")))</f>
        <v>無關新聞事件</v>
      </c>
      <c r="U312" s="20" t="n">
        <f aca="false">IF(R312="維持",K312,IF(R312="排除",0,IFERROR(INDEX(事件規則!$C$2:$C$53,MATCH(S312,事件規則!$A$2:$A$53,0)),"")))</f>
        <v>0</v>
      </c>
      <c r="V312" s="21"/>
      <c r="W312" s="22"/>
      <c r="X312" s="10" t="str">
        <f aca="false">IF(AND(R312="修改",S312=""),"請選新事件代碼",IF(AND(R312&lt;&gt;"修改",S312&lt;&gt;""),"只有「修改」才需填代碼",""))</f>
        <v/>
      </c>
      <c r="Y312" s="21"/>
      <c r="Z312" s="22"/>
      <c r="AA312" s="12" t="s">
        <v>1346</v>
      </c>
      <c r="AB312" s="12"/>
    </row>
    <row r="313" customFormat="false" ht="41" hidden="false" customHeight="false" outlineLevel="0" collapsed="false">
      <c r="A313" s="17" t="n">
        <v>312</v>
      </c>
      <c r="B313" s="9" t="s">
        <v>67</v>
      </c>
      <c r="C313" s="9" t="s">
        <v>247</v>
      </c>
      <c r="D313" s="10" t="s">
        <v>248</v>
      </c>
      <c r="E313" s="11" t="s">
        <v>1347</v>
      </c>
      <c r="F313" s="15" t="s">
        <v>1348</v>
      </c>
      <c r="G313" s="12" t="s">
        <v>626</v>
      </c>
      <c r="H313" s="13" t="n">
        <v>0.494</v>
      </c>
      <c r="I313" s="14" t="s">
        <v>695</v>
      </c>
      <c r="J313" s="15" t="s">
        <v>1180</v>
      </c>
      <c r="K313" s="9" t="n">
        <v>4</v>
      </c>
      <c r="L313" s="17"/>
      <c r="M313" s="16" t="s">
        <v>53</v>
      </c>
      <c r="N313" s="14"/>
      <c r="O313" s="17" t="s">
        <v>54</v>
      </c>
      <c r="P313" s="15" t="s">
        <v>1349</v>
      </c>
      <c r="Q313" s="17"/>
      <c r="R313" s="18" t="s">
        <v>53</v>
      </c>
      <c r="S313" s="19"/>
      <c r="T313" s="15" t="str">
        <f aca="false">IF(R313="維持",J313,IF(R313="排除","無關新聞事件",IFERROR(INDEX(事件規則!$B$2:$B$53,MATCH(S313,事件規則!$A$2:$A$53,0)),"")))</f>
        <v>無關新聞事件</v>
      </c>
      <c r="U313" s="20" t="n">
        <f aca="false">IF(R313="維持",K313,IF(R313="排除",0,IFERROR(INDEX(事件規則!$C$2:$C$53,MATCH(S313,事件規則!$A$2:$A$53,0)),"")))</f>
        <v>0</v>
      </c>
      <c r="V313" s="21"/>
      <c r="W313" s="22"/>
      <c r="X313" s="10" t="str">
        <f aca="false">IF(AND(R313="修改",S313=""),"請選新事件代碼",IF(AND(R313&lt;&gt;"修改",S313&lt;&gt;""),"只有「修改」才需填代碼",""))</f>
        <v/>
      </c>
      <c r="Y313" s="21"/>
      <c r="Z313" s="22"/>
      <c r="AA313" s="12" t="s">
        <v>1350</v>
      </c>
      <c r="AB313" s="12"/>
    </row>
    <row r="314" customFormat="false" ht="29.85" hidden="false" customHeight="false" outlineLevel="0" collapsed="false">
      <c r="A314" s="17" t="n">
        <v>313</v>
      </c>
      <c r="B314" s="9" t="s">
        <v>67</v>
      </c>
      <c r="C314" s="9" t="s">
        <v>247</v>
      </c>
      <c r="D314" s="10" t="s">
        <v>248</v>
      </c>
      <c r="E314" s="11" t="s">
        <v>1351</v>
      </c>
      <c r="F314" s="10" t="s">
        <v>1352</v>
      </c>
      <c r="G314" s="12" t="s">
        <v>1353</v>
      </c>
      <c r="H314" s="13" t="n">
        <v>0.893</v>
      </c>
      <c r="I314" s="14" t="s">
        <v>695</v>
      </c>
      <c r="J314" s="15" t="s">
        <v>1180</v>
      </c>
      <c r="K314" s="9" t="n">
        <v>4</v>
      </c>
      <c r="L314" s="17"/>
      <c r="M314" s="16" t="s">
        <v>53</v>
      </c>
      <c r="N314" s="14"/>
      <c r="O314" s="17" t="s">
        <v>97</v>
      </c>
      <c r="P314" s="10" t="s">
        <v>1354</v>
      </c>
      <c r="Q314" s="17"/>
      <c r="R314" s="18" t="s">
        <v>53</v>
      </c>
      <c r="S314" s="19"/>
      <c r="T314" s="15" t="str">
        <f aca="false">IF(R314="維持",J314,IF(R314="排除","無關新聞事件",IFERROR(INDEX(事件規則!$B$2:$B$53,MATCH(S314,事件規則!$A$2:$A$53,0)),"")))</f>
        <v>無關新聞事件</v>
      </c>
      <c r="U314" s="20" t="n">
        <f aca="false">IF(R314="維持",K314,IF(R314="排除",0,IFERROR(INDEX(事件規則!$C$2:$C$53,MATCH(S314,事件規則!$A$2:$A$53,0)),"")))</f>
        <v>0</v>
      </c>
      <c r="V314" s="21"/>
      <c r="W314" s="22"/>
      <c r="X314" s="10" t="str">
        <f aca="false">IF(AND(R314="修改",S314=""),"請選新事件代碼",IF(AND(R314&lt;&gt;"修改",S314&lt;&gt;""),"只有「修改」才需填代碼",""))</f>
        <v/>
      </c>
      <c r="Y314" s="21"/>
      <c r="Z314" s="22"/>
      <c r="AA314" s="12" t="s">
        <v>1355</v>
      </c>
      <c r="AB314" s="12"/>
    </row>
    <row r="315" customFormat="false" ht="44" hidden="false" customHeight="false" outlineLevel="0" collapsed="false">
      <c r="A315" s="17" t="n">
        <v>314</v>
      </c>
      <c r="B315" s="9" t="s">
        <v>67</v>
      </c>
      <c r="C315" s="9" t="s">
        <v>1356</v>
      </c>
      <c r="D315" s="10" t="s">
        <v>1357</v>
      </c>
      <c r="E315" s="11" t="s">
        <v>1358</v>
      </c>
      <c r="F315" s="10" t="s">
        <v>1359</v>
      </c>
      <c r="G315" s="12" t="s">
        <v>589</v>
      </c>
      <c r="H315" s="13" t="n">
        <v>-0.889</v>
      </c>
      <c r="I315" s="14" t="s">
        <v>695</v>
      </c>
      <c r="J315" s="15" t="s">
        <v>1180</v>
      </c>
      <c r="K315" s="9" t="n">
        <v>4</v>
      </c>
      <c r="L315" s="17"/>
      <c r="M315" s="16" t="s">
        <v>53</v>
      </c>
      <c r="N315" s="14"/>
      <c r="O315" s="17" t="s">
        <v>54</v>
      </c>
      <c r="P315" s="15" t="s">
        <v>1360</v>
      </c>
      <c r="Q315" s="17"/>
      <c r="R315" s="18" t="s">
        <v>53</v>
      </c>
      <c r="S315" s="19"/>
      <c r="T315" s="15" t="str">
        <f aca="false">IF(R315="維持",J315,IF(R315="排除","無關新聞事件",IFERROR(INDEX(事件規則!$B$2:$B$53,MATCH(S315,事件規則!$A$2:$A$53,0)),"")))</f>
        <v>無關新聞事件</v>
      </c>
      <c r="U315" s="20" t="n">
        <f aca="false">IF(R315="維持",K315,IF(R315="排除",0,IFERROR(INDEX(事件規則!$C$2:$C$53,MATCH(S315,事件規則!$A$2:$A$53,0)),"")))</f>
        <v>0</v>
      </c>
      <c r="V315" s="21"/>
      <c r="W315" s="22"/>
      <c r="X315" s="10" t="str">
        <f aca="false">IF(AND(R315="修改",S315=""),"請選新事件代碼",IF(AND(R315&lt;&gt;"修改",S315&lt;&gt;""),"只有「修改」才需填代碼",""))</f>
        <v/>
      </c>
      <c r="Y315" s="21"/>
      <c r="Z315" s="22"/>
      <c r="AA315" s="12" t="s">
        <v>1361</v>
      </c>
      <c r="AB315" s="12"/>
    </row>
    <row r="316" customFormat="false" ht="29.85" hidden="false" customHeight="false" outlineLevel="0" collapsed="false">
      <c r="A316" s="17" t="n">
        <v>315</v>
      </c>
      <c r="B316" s="9" t="s">
        <v>67</v>
      </c>
      <c r="C316" s="9" t="s">
        <v>1362</v>
      </c>
      <c r="D316" s="10" t="s">
        <v>1363</v>
      </c>
      <c r="E316" s="11" t="s">
        <v>1364</v>
      </c>
      <c r="F316" s="15" t="s">
        <v>1365</v>
      </c>
      <c r="G316" s="12" t="s">
        <v>1366</v>
      </c>
      <c r="H316" s="13" t="n">
        <v>-0.237</v>
      </c>
      <c r="I316" s="14" t="s">
        <v>695</v>
      </c>
      <c r="J316" s="15" t="s">
        <v>1180</v>
      </c>
      <c r="K316" s="9" t="n">
        <v>4</v>
      </c>
      <c r="L316" s="17"/>
      <c r="M316" s="16" t="s">
        <v>53</v>
      </c>
      <c r="N316" s="14"/>
      <c r="O316" s="17" t="s">
        <v>54</v>
      </c>
      <c r="P316" s="15" t="s">
        <v>1311</v>
      </c>
      <c r="Q316" s="17"/>
      <c r="R316" s="18" t="s">
        <v>53</v>
      </c>
      <c r="S316" s="19"/>
      <c r="T316" s="15" t="str">
        <f aca="false">IF(R316="維持",J316,IF(R316="排除","無關新聞事件",IFERROR(INDEX(事件規則!$B$2:$B$53,MATCH(S316,事件規則!$A$2:$A$53,0)),"")))</f>
        <v>無關新聞事件</v>
      </c>
      <c r="U316" s="20" t="n">
        <f aca="false">IF(R316="維持",K316,IF(R316="排除",0,IFERROR(INDEX(事件規則!$C$2:$C$53,MATCH(S316,事件規則!$A$2:$A$53,0)),"")))</f>
        <v>0</v>
      </c>
      <c r="V316" s="21"/>
      <c r="W316" s="22"/>
      <c r="X316" s="10" t="str">
        <f aca="false">IF(AND(R316="修改",S316=""),"請選新事件代碼",IF(AND(R316&lt;&gt;"修改",S316&lt;&gt;""),"只有「修改」才需填代碼",""))</f>
        <v/>
      </c>
      <c r="Y316" s="21"/>
      <c r="Z316" s="22"/>
      <c r="AA316" s="12" t="s">
        <v>1367</v>
      </c>
      <c r="AB316" s="12"/>
    </row>
    <row r="317" customFormat="false" ht="29.85" hidden="false" customHeight="false" outlineLevel="0" collapsed="false">
      <c r="A317" s="17" t="n">
        <v>316</v>
      </c>
      <c r="B317" s="9" t="s">
        <v>79</v>
      </c>
      <c r="C317" s="9" t="s">
        <v>443</v>
      </c>
      <c r="D317" s="10" t="s">
        <v>444</v>
      </c>
      <c r="E317" s="11" t="s">
        <v>1368</v>
      </c>
      <c r="F317" s="15" t="s">
        <v>1369</v>
      </c>
      <c r="G317" s="12" t="s">
        <v>1370</v>
      </c>
      <c r="H317" s="13" t="n">
        <v>-0.663</v>
      </c>
      <c r="I317" s="14" t="s">
        <v>695</v>
      </c>
      <c r="J317" s="15" t="s">
        <v>1180</v>
      </c>
      <c r="K317" s="9" t="n">
        <v>4</v>
      </c>
      <c r="L317" s="17"/>
      <c r="M317" s="16" t="s">
        <v>105</v>
      </c>
      <c r="N317" s="14"/>
      <c r="O317" s="17" t="s">
        <v>54</v>
      </c>
      <c r="P317" s="10" t="s">
        <v>1371</v>
      </c>
      <c r="Q317" s="17"/>
      <c r="R317" s="18" t="s">
        <v>105</v>
      </c>
      <c r="S317" s="19"/>
      <c r="T317" s="15" t="str">
        <f aca="false">IF(R317="維持",J317,IF(R317="排除","無關新聞事件",IFERROR(INDEX(事件規則!$B$2:$B$53,MATCH(S317,事件規則!$A$2:$A$53,0)),"")))</f>
        <v>監管裁罰</v>
      </c>
      <c r="U317" s="20" t="n">
        <f aca="false">IF(R317="維持",K317,IF(R317="排除",0,IFERROR(INDEX(事件規則!$C$2:$C$53,MATCH(S317,事件規則!$A$2:$A$53,0)),"")))</f>
        <v>4</v>
      </c>
      <c r="V317" s="21"/>
      <c r="W317" s="22"/>
      <c r="X317" s="10" t="str">
        <f aca="false">IF(AND(R317="修改",S317=""),"請選新事件代碼",IF(AND(R317&lt;&gt;"修改",S317&lt;&gt;""),"只有「修改」才需填代碼",""))</f>
        <v/>
      </c>
      <c r="Y317" s="21"/>
      <c r="Z317" s="22"/>
      <c r="AA317" s="12" t="s">
        <v>1372</v>
      </c>
      <c r="AB317" s="12"/>
    </row>
    <row r="318" customFormat="false" ht="29.85" hidden="false" customHeight="false" outlineLevel="0" collapsed="false">
      <c r="A318" s="17" t="n">
        <v>317</v>
      </c>
      <c r="B318" s="9" t="s">
        <v>79</v>
      </c>
      <c r="C318" s="9" t="s">
        <v>1183</v>
      </c>
      <c r="D318" s="10" t="s">
        <v>1184</v>
      </c>
      <c r="E318" s="11" t="s">
        <v>1373</v>
      </c>
      <c r="F318" s="15" t="s">
        <v>1374</v>
      </c>
      <c r="G318" s="12" t="s">
        <v>1375</v>
      </c>
      <c r="H318" s="13" t="n">
        <v>-0.952</v>
      </c>
      <c r="I318" s="14" t="s">
        <v>695</v>
      </c>
      <c r="J318" s="15" t="s">
        <v>1180</v>
      </c>
      <c r="K318" s="9" t="n">
        <v>4</v>
      </c>
      <c r="L318" s="17"/>
      <c r="M318" s="16" t="s">
        <v>105</v>
      </c>
      <c r="N318" s="14"/>
      <c r="O318" s="17" t="s">
        <v>97</v>
      </c>
      <c r="P318" s="10" t="s">
        <v>1188</v>
      </c>
      <c r="Q318" s="17"/>
      <c r="R318" s="18" t="s">
        <v>105</v>
      </c>
      <c r="S318" s="19"/>
      <c r="T318" s="15" t="str">
        <f aca="false">IF(R318="維持",J318,IF(R318="排除","無關新聞事件",IFERROR(INDEX(事件規則!$B$2:$B$53,MATCH(S318,事件規則!$A$2:$A$53,0)),"")))</f>
        <v>監管裁罰</v>
      </c>
      <c r="U318" s="20" t="n">
        <f aca="false">IF(R318="維持",K318,IF(R318="排除",0,IFERROR(INDEX(事件規則!$C$2:$C$53,MATCH(S318,事件規則!$A$2:$A$53,0)),"")))</f>
        <v>4</v>
      </c>
      <c r="V318" s="21"/>
      <c r="W318" s="22"/>
      <c r="X318" s="10" t="str">
        <f aca="false">IF(AND(R318="修改",S318=""),"請選新事件代碼",IF(AND(R318&lt;&gt;"修改",S318&lt;&gt;""),"只有「修改」才需填代碼",""))</f>
        <v/>
      </c>
      <c r="Y318" s="21"/>
      <c r="Z318" s="22"/>
      <c r="AA318" s="12" t="s">
        <v>1376</v>
      </c>
      <c r="AB318" s="12"/>
    </row>
    <row r="319" customFormat="false" ht="29.85" hidden="false" customHeight="false" outlineLevel="0" collapsed="false">
      <c r="A319" s="17" t="n">
        <v>318</v>
      </c>
      <c r="B319" s="9" t="s">
        <v>90</v>
      </c>
      <c r="C319" s="9" t="s">
        <v>119</v>
      </c>
      <c r="D319" s="10" t="s">
        <v>120</v>
      </c>
      <c r="E319" s="11" t="s">
        <v>1377</v>
      </c>
      <c r="F319" s="15"/>
      <c r="G319" s="12" t="s">
        <v>1378</v>
      </c>
      <c r="H319" s="13" t="n">
        <v>-0.153</v>
      </c>
      <c r="I319" s="14" t="s">
        <v>695</v>
      </c>
      <c r="J319" s="15" t="s">
        <v>1180</v>
      </c>
      <c r="K319" s="9" t="n">
        <v>4</v>
      </c>
      <c r="L319" s="17"/>
      <c r="M319" s="16" t="s">
        <v>53</v>
      </c>
      <c r="N319" s="14"/>
      <c r="O319" s="17" t="s">
        <v>97</v>
      </c>
      <c r="P319" s="10" t="s">
        <v>1379</v>
      </c>
      <c r="Q319" s="17"/>
      <c r="R319" s="18" t="s">
        <v>53</v>
      </c>
      <c r="S319" s="19"/>
      <c r="T319" s="15" t="str">
        <f aca="false">IF(R319="維持",J319,IF(R319="排除","無關新聞事件",IFERROR(INDEX(事件規則!$B$2:$B$53,MATCH(S319,事件規則!$A$2:$A$53,0)),"")))</f>
        <v>無關新聞事件</v>
      </c>
      <c r="U319" s="20" t="n">
        <f aca="false">IF(R319="維持",K319,IF(R319="排除",0,IFERROR(INDEX(事件規則!$C$2:$C$53,MATCH(S319,事件規則!$A$2:$A$53,0)),"")))</f>
        <v>0</v>
      </c>
      <c r="V319" s="21"/>
      <c r="W319" s="22"/>
      <c r="X319" s="10" t="str">
        <f aca="false">IF(AND(R319="修改",S319=""),"請選新事件代碼",IF(AND(R319&lt;&gt;"修改",S319&lt;&gt;""),"只有「修改」才需填代碼",""))</f>
        <v/>
      </c>
      <c r="Y319" s="21"/>
      <c r="Z319" s="22"/>
      <c r="AA319" s="12" t="s">
        <v>1380</v>
      </c>
      <c r="AB319" s="12"/>
    </row>
    <row r="320" customFormat="false" ht="29.85" hidden="false" customHeight="false" outlineLevel="0" collapsed="false">
      <c r="A320" s="17" t="n">
        <v>319</v>
      </c>
      <c r="B320" s="9" t="s">
        <v>90</v>
      </c>
      <c r="C320" s="9" t="s">
        <v>119</v>
      </c>
      <c r="D320" s="10" t="s">
        <v>120</v>
      </c>
      <c r="E320" s="11" t="s">
        <v>1381</v>
      </c>
      <c r="F320" s="15"/>
      <c r="G320" s="12" t="s">
        <v>1382</v>
      </c>
      <c r="H320" s="13" t="n">
        <v>-0.068</v>
      </c>
      <c r="I320" s="14" t="s">
        <v>695</v>
      </c>
      <c r="J320" s="15" t="s">
        <v>1180</v>
      </c>
      <c r="K320" s="9" t="n">
        <v>4</v>
      </c>
      <c r="L320" s="17"/>
      <c r="M320" s="16" t="s">
        <v>53</v>
      </c>
      <c r="N320" s="14"/>
      <c r="O320" s="17" t="s">
        <v>97</v>
      </c>
      <c r="P320" s="10" t="s">
        <v>1379</v>
      </c>
      <c r="Q320" s="17"/>
      <c r="R320" s="18" t="s">
        <v>53</v>
      </c>
      <c r="S320" s="19"/>
      <c r="T320" s="15" t="str">
        <f aca="false">IF(R320="維持",J320,IF(R320="排除","無關新聞事件",IFERROR(INDEX(事件規則!$B$2:$B$53,MATCH(S320,事件規則!$A$2:$A$53,0)),"")))</f>
        <v>無關新聞事件</v>
      </c>
      <c r="U320" s="20" t="n">
        <f aca="false">IF(R320="維持",K320,IF(R320="排除",0,IFERROR(INDEX(事件規則!$C$2:$C$53,MATCH(S320,事件規則!$A$2:$A$53,0)),"")))</f>
        <v>0</v>
      </c>
      <c r="V320" s="21"/>
      <c r="W320" s="22"/>
      <c r="X320" s="10" t="str">
        <f aca="false">IF(AND(R320="修改",S320=""),"請選新事件代碼",IF(AND(R320&lt;&gt;"修改",S320&lt;&gt;""),"只有「修改」才需填代碼",""))</f>
        <v/>
      </c>
      <c r="Y320" s="21"/>
      <c r="Z320" s="22"/>
      <c r="AA320" s="12" t="s">
        <v>1383</v>
      </c>
      <c r="AB320" s="12"/>
    </row>
    <row r="321" customFormat="false" ht="29.85" hidden="false" customHeight="false" outlineLevel="0" collapsed="false">
      <c r="A321" s="17" t="n">
        <v>320</v>
      </c>
      <c r="B321" s="9" t="s">
        <v>90</v>
      </c>
      <c r="C321" s="9" t="s">
        <v>665</v>
      </c>
      <c r="D321" s="10" t="s">
        <v>666</v>
      </c>
      <c r="E321" s="11" t="s">
        <v>1384</v>
      </c>
      <c r="F321" s="15"/>
      <c r="G321" s="12" t="s">
        <v>1385</v>
      </c>
      <c r="H321" s="13" t="n">
        <v>0.157</v>
      </c>
      <c r="I321" s="14" t="s">
        <v>695</v>
      </c>
      <c r="J321" s="15" t="s">
        <v>1180</v>
      </c>
      <c r="K321" s="9" t="n">
        <v>4</v>
      </c>
      <c r="L321" s="17"/>
      <c r="M321" s="16" t="s">
        <v>95</v>
      </c>
      <c r="N321" s="14" t="s">
        <v>96</v>
      </c>
      <c r="O321" s="17" t="s">
        <v>97</v>
      </c>
      <c r="P321" s="10" t="s">
        <v>1245</v>
      </c>
      <c r="Q321" s="17"/>
      <c r="R321" s="18" t="s">
        <v>95</v>
      </c>
      <c r="S321" s="19" t="s">
        <v>96</v>
      </c>
      <c r="T321" s="15" t="str">
        <f aca="false">IF(R321="維持",J321,IF(R321="排除","無關新聞事件",IFERROR(INDEX(事件規則!$B$2:$B$53,MATCH(S321,事件規則!$A$2:$A$53,0)),"")))</f>
        <v>重大訴訟</v>
      </c>
      <c r="U321" s="20" t="n">
        <f aca="false">IF(R321="維持",K321,IF(R321="排除",0,IFERROR(INDEX(事件規則!$C$2:$C$53,MATCH(S321,事件規則!$A$2:$A$53,0)),"")))</f>
        <v>4</v>
      </c>
      <c r="V321" s="21"/>
      <c r="W321" s="22"/>
      <c r="X321" s="10" t="str">
        <f aca="false">IF(AND(R321="修改",S321=""),"請選新事件代碼",IF(AND(R321&lt;&gt;"修改",S321&lt;&gt;""),"只有「修改」才需填代碼",""))</f>
        <v/>
      </c>
      <c r="Y321" s="21"/>
      <c r="Z321" s="22"/>
      <c r="AA321" s="12" t="s">
        <v>1386</v>
      </c>
      <c r="AB321" s="12"/>
    </row>
    <row r="322" customFormat="false" ht="23.85" hidden="false" customHeight="false" outlineLevel="0" collapsed="false">
      <c r="A322" s="17" t="n">
        <v>321</v>
      </c>
      <c r="B322" s="9" t="s">
        <v>656</v>
      </c>
      <c r="C322" s="9" t="s">
        <v>240</v>
      </c>
      <c r="D322" s="10" t="s">
        <v>241</v>
      </c>
      <c r="E322" s="11" t="s">
        <v>1387</v>
      </c>
      <c r="F322" s="15"/>
      <c r="G322" s="12" t="s">
        <v>1388</v>
      </c>
      <c r="H322" s="13" t="n">
        <v>0.356</v>
      </c>
      <c r="I322" s="14" t="s">
        <v>695</v>
      </c>
      <c r="J322" s="15" t="s">
        <v>1180</v>
      </c>
      <c r="K322" s="9" t="n">
        <v>4</v>
      </c>
      <c r="L322" s="17"/>
      <c r="M322" s="16" t="s">
        <v>53</v>
      </c>
      <c r="N322" s="14"/>
      <c r="O322" s="17" t="s">
        <v>97</v>
      </c>
      <c r="P322" s="15" t="s">
        <v>1389</v>
      </c>
      <c r="Q322" s="17"/>
      <c r="R322" s="18" t="s">
        <v>53</v>
      </c>
      <c r="S322" s="19"/>
      <c r="T322" s="15" t="str">
        <f aca="false">IF(R322="維持",J322,IF(R322="排除","無關新聞事件",IFERROR(INDEX(事件規則!$B$2:$B$53,MATCH(S322,事件規則!$A$2:$A$53,0)),"")))</f>
        <v>無關新聞事件</v>
      </c>
      <c r="U322" s="20" t="n">
        <f aca="false">IF(R322="維持",K322,IF(R322="排除",0,IFERROR(INDEX(事件規則!$C$2:$C$53,MATCH(S322,事件規則!$A$2:$A$53,0)),"")))</f>
        <v>0</v>
      </c>
      <c r="V322" s="21"/>
      <c r="W322" s="22"/>
      <c r="X322" s="10" t="str">
        <f aca="false">IF(AND(R322="修改",S322=""),"請選新事件代碼",IF(AND(R322&lt;&gt;"修改",S322&lt;&gt;""),"只有「修改」才需填代碼",""))</f>
        <v/>
      </c>
      <c r="Y322" s="21"/>
      <c r="Z322" s="22"/>
      <c r="AA322" s="12" t="s">
        <v>1390</v>
      </c>
      <c r="AB322" s="12"/>
    </row>
    <row r="323" customFormat="false" ht="35.05" hidden="false" customHeight="false" outlineLevel="0" collapsed="false">
      <c r="A323" s="17" t="n">
        <v>322</v>
      </c>
      <c r="B323" s="9" t="s">
        <v>656</v>
      </c>
      <c r="C323" s="9" t="s">
        <v>1391</v>
      </c>
      <c r="D323" s="10" t="s">
        <v>1392</v>
      </c>
      <c r="E323" s="11" t="s">
        <v>1393</v>
      </c>
      <c r="F323" s="15"/>
      <c r="G323" s="12" t="s">
        <v>1394</v>
      </c>
      <c r="H323" s="13" t="n">
        <v>0.745</v>
      </c>
      <c r="I323" s="14" t="s">
        <v>695</v>
      </c>
      <c r="J323" s="15" t="s">
        <v>1180</v>
      </c>
      <c r="K323" s="9" t="n">
        <v>4</v>
      </c>
      <c r="L323" s="17"/>
      <c r="M323" s="16" t="s">
        <v>105</v>
      </c>
      <c r="N323" s="14"/>
      <c r="O323" s="17" t="s">
        <v>292</v>
      </c>
      <c r="P323" s="10" t="s">
        <v>1395</v>
      </c>
      <c r="Q323" s="17" t="s">
        <v>169</v>
      </c>
      <c r="R323" s="18" t="s">
        <v>105</v>
      </c>
      <c r="S323" s="19"/>
      <c r="T323" s="15" t="str">
        <f aca="false">IF(R323="維持",J323,IF(R323="排除","無關新聞事件",IFERROR(INDEX(事件規則!$B$2:$B$53,MATCH(S323,事件規則!$A$2:$A$53,0)),"")))</f>
        <v>監管裁罰</v>
      </c>
      <c r="U323" s="20" t="n">
        <f aca="false">IF(R323="維持",K323,IF(R323="排除",0,IFERROR(INDEX(事件規則!$C$2:$C$53,MATCH(S323,事件規則!$A$2:$A$53,0)),"")))</f>
        <v>4</v>
      </c>
      <c r="V323" s="21"/>
      <c r="W323" s="22"/>
      <c r="X323" s="10" t="str">
        <f aca="false">IF(AND(R323="修改",S323=""),"請選新事件代碼",IF(AND(R323&lt;&gt;"修改",S323&lt;&gt;""),"只有「修改」才需填代碼",""))</f>
        <v/>
      </c>
      <c r="Y323" s="21"/>
      <c r="Z323" s="22"/>
      <c r="AA323" s="12" t="s">
        <v>1396</v>
      </c>
      <c r="AB323" s="12"/>
    </row>
    <row r="324" customFormat="false" ht="23.85" hidden="false" customHeight="false" outlineLevel="0" collapsed="false">
      <c r="A324" s="17" t="n">
        <v>323</v>
      </c>
      <c r="B324" s="9" t="s">
        <v>656</v>
      </c>
      <c r="C324" s="9" t="s">
        <v>72</v>
      </c>
      <c r="D324" s="10" t="s">
        <v>73</v>
      </c>
      <c r="E324" s="11" t="s">
        <v>1397</v>
      </c>
      <c r="F324" s="15"/>
      <c r="G324" s="12" t="s">
        <v>1398</v>
      </c>
      <c r="H324" s="13" t="n">
        <v>0.248</v>
      </c>
      <c r="I324" s="14" t="s">
        <v>695</v>
      </c>
      <c r="J324" s="15" t="s">
        <v>1180</v>
      </c>
      <c r="K324" s="9" t="n">
        <v>4</v>
      </c>
      <c r="L324" s="17"/>
      <c r="M324" s="16" t="s">
        <v>53</v>
      </c>
      <c r="N324" s="14"/>
      <c r="O324" s="17" t="s">
        <v>97</v>
      </c>
      <c r="P324" s="10" t="s">
        <v>1399</v>
      </c>
      <c r="Q324" s="17"/>
      <c r="R324" s="18" t="s">
        <v>53</v>
      </c>
      <c r="S324" s="19"/>
      <c r="T324" s="15" t="str">
        <f aca="false">IF(R324="維持",J324,IF(R324="排除","無關新聞事件",IFERROR(INDEX(事件規則!$B$2:$B$53,MATCH(S324,事件規則!$A$2:$A$53,0)),"")))</f>
        <v>無關新聞事件</v>
      </c>
      <c r="U324" s="20" t="n">
        <f aca="false">IF(R324="維持",K324,IF(R324="排除",0,IFERROR(INDEX(事件規則!$C$2:$C$53,MATCH(S324,事件規則!$A$2:$A$53,0)),"")))</f>
        <v>0</v>
      </c>
      <c r="V324" s="21"/>
      <c r="W324" s="22"/>
      <c r="X324" s="10" t="str">
        <f aca="false">IF(AND(R324="修改",S324=""),"請選新事件代碼",IF(AND(R324&lt;&gt;"修改",S324&lt;&gt;""),"只有「修改」才需填代碼",""))</f>
        <v/>
      </c>
      <c r="Y324" s="21"/>
      <c r="Z324" s="22"/>
      <c r="AA324" s="12" t="s">
        <v>1400</v>
      </c>
      <c r="AB324" s="12"/>
    </row>
    <row r="325" customFormat="false" ht="29.85" hidden="false" customHeight="false" outlineLevel="0" collapsed="false">
      <c r="A325" s="17" t="n">
        <v>324</v>
      </c>
      <c r="B325" s="9" t="s">
        <v>656</v>
      </c>
      <c r="C325" s="9" t="s">
        <v>676</v>
      </c>
      <c r="D325" s="10" t="s">
        <v>673</v>
      </c>
      <c r="E325" s="11" t="s">
        <v>1401</v>
      </c>
      <c r="F325" s="15"/>
      <c r="G325" s="12" t="s">
        <v>1121</v>
      </c>
      <c r="H325" s="13" t="n">
        <v>-0.492</v>
      </c>
      <c r="I325" s="14" t="s">
        <v>695</v>
      </c>
      <c r="J325" s="15" t="s">
        <v>1180</v>
      </c>
      <c r="K325" s="9" t="n">
        <v>4</v>
      </c>
      <c r="L325" s="17"/>
      <c r="M325" s="16" t="s">
        <v>95</v>
      </c>
      <c r="N325" s="14" t="s">
        <v>96</v>
      </c>
      <c r="O325" s="17" t="s">
        <v>54</v>
      </c>
      <c r="P325" s="15" t="s">
        <v>1402</v>
      </c>
      <c r="Q325" s="17"/>
      <c r="R325" s="18" t="s">
        <v>95</v>
      </c>
      <c r="S325" s="19" t="s">
        <v>96</v>
      </c>
      <c r="T325" s="15" t="str">
        <f aca="false">IF(R325="維持",J325,IF(R325="排除","無關新聞事件",IFERROR(INDEX(事件規則!$B$2:$B$53,MATCH(S325,事件規則!$A$2:$A$53,0)),"")))</f>
        <v>重大訴訟</v>
      </c>
      <c r="U325" s="20" t="n">
        <f aca="false">IF(R325="維持",K325,IF(R325="排除",0,IFERROR(INDEX(事件規則!$C$2:$C$53,MATCH(S325,事件規則!$A$2:$A$53,0)),"")))</f>
        <v>4</v>
      </c>
      <c r="V325" s="21"/>
      <c r="W325" s="22"/>
      <c r="X325" s="10" t="str">
        <f aca="false">IF(AND(R325="修改",S325=""),"請選新事件代碼",IF(AND(R325&lt;&gt;"修改",S325&lt;&gt;""),"只有「修改」才需填代碼",""))</f>
        <v/>
      </c>
      <c r="Y325" s="21"/>
      <c r="Z325" s="22"/>
      <c r="AA325" s="12" t="s">
        <v>1403</v>
      </c>
      <c r="AB325" s="12"/>
    </row>
    <row r="326" customFormat="false" ht="23.85" hidden="false" customHeight="false" outlineLevel="0" collapsed="false">
      <c r="A326" s="17" t="n">
        <v>325</v>
      </c>
      <c r="B326" s="9" t="s">
        <v>656</v>
      </c>
      <c r="C326" s="17"/>
      <c r="D326" s="10" t="s">
        <v>1404</v>
      </c>
      <c r="E326" s="11" t="s">
        <v>1405</v>
      </c>
      <c r="F326" s="15"/>
      <c r="G326" s="12" t="s">
        <v>432</v>
      </c>
      <c r="H326" s="13" t="n">
        <v>0.064</v>
      </c>
      <c r="I326" s="14" t="s">
        <v>695</v>
      </c>
      <c r="J326" s="15" t="s">
        <v>1180</v>
      </c>
      <c r="K326" s="9" t="n">
        <v>4</v>
      </c>
      <c r="L326" s="17" t="s">
        <v>320</v>
      </c>
      <c r="M326" s="16" t="s">
        <v>53</v>
      </c>
      <c r="N326" s="14"/>
      <c r="O326" s="17" t="s">
        <v>54</v>
      </c>
      <c r="P326" s="10" t="s">
        <v>1406</v>
      </c>
      <c r="Q326" s="17"/>
      <c r="R326" s="18" t="s">
        <v>53</v>
      </c>
      <c r="S326" s="19"/>
      <c r="T326" s="15" t="str">
        <f aca="false">IF(R326="維持",J326,IF(R326="排除","無關新聞事件",IFERROR(INDEX(事件規則!$B$2:$B$53,MATCH(S326,事件規則!$A$2:$A$53,0)),"")))</f>
        <v>無關新聞事件</v>
      </c>
      <c r="U326" s="20" t="n">
        <f aca="false">IF(R326="維持",K326,IF(R326="排除",0,IFERROR(INDEX(事件規則!$C$2:$C$53,MATCH(S326,事件規則!$A$2:$A$53,0)),"")))</f>
        <v>0</v>
      </c>
      <c r="V326" s="21"/>
      <c r="W326" s="22"/>
      <c r="X326" s="10" t="str">
        <f aca="false">IF(AND(R326="修改",S326=""),"請選新事件代碼",IF(AND(R326&lt;&gt;"修改",S326&lt;&gt;""),"只有「修改」才需填代碼",""))</f>
        <v/>
      </c>
      <c r="Y326" s="21"/>
      <c r="Z326" s="22"/>
      <c r="AA326" s="12" t="s">
        <v>1407</v>
      </c>
      <c r="AB326" s="12"/>
    </row>
    <row r="327" customFormat="false" ht="23.85" hidden="false" customHeight="false" outlineLevel="0" collapsed="false">
      <c r="A327" s="17" t="n">
        <v>326</v>
      </c>
      <c r="B327" s="9" t="s">
        <v>160</v>
      </c>
      <c r="C327" s="17"/>
      <c r="D327" s="10" t="s">
        <v>365</v>
      </c>
      <c r="E327" s="11" t="s">
        <v>1408</v>
      </c>
      <c r="F327" s="15"/>
      <c r="G327" s="12" t="s">
        <v>1409</v>
      </c>
      <c r="H327" s="13" t="n">
        <v>0.005</v>
      </c>
      <c r="I327" s="14" t="s">
        <v>695</v>
      </c>
      <c r="J327" s="15" t="s">
        <v>1180</v>
      </c>
      <c r="K327" s="9" t="n">
        <v>4</v>
      </c>
      <c r="L327" s="17" t="s">
        <v>320</v>
      </c>
      <c r="M327" s="16" t="s">
        <v>53</v>
      </c>
      <c r="N327" s="14"/>
      <c r="O327" s="17" t="s">
        <v>54</v>
      </c>
      <c r="P327" s="10" t="s">
        <v>1406</v>
      </c>
      <c r="Q327" s="17"/>
      <c r="R327" s="18" t="s">
        <v>53</v>
      </c>
      <c r="S327" s="19"/>
      <c r="T327" s="15" t="str">
        <f aca="false">IF(R327="維持",J327,IF(R327="排除","無關新聞事件",IFERROR(INDEX(事件規則!$B$2:$B$53,MATCH(S327,事件規則!$A$2:$A$53,0)),"")))</f>
        <v>無關新聞事件</v>
      </c>
      <c r="U327" s="20" t="n">
        <f aca="false">IF(R327="維持",K327,IF(R327="排除",0,IFERROR(INDEX(事件規則!$C$2:$C$53,MATCH(S327,事件規則!$A$2:$A$53,0)),"")))</f>
        <v>0</v>
      </c>
      <c r="V327" s="21"/>
      <c r="W327" s="22"/>
      <c r="X327" s="10" t="str">
        <f aca="false">IF(AND(R327="修改",S327=""),"請選新事件代碼",IF(AND(R327&lt;&gt;"修改",S327&lt;&gt;""),"只有「修改」才需填代碼",""))</f>
        <v/>
      </c>
      <c r="Y327" s="21"/>
      <c r="Z327" s="22"/>
      <c r="AA327" s="12" t="s">
        <v>1410</v>
      </c>
      <c r="AB327" s="12"/>
    </row>
    <row r="328" customFormat="false" ht="23.85" hidden="false" customHeight="false" outlineLevel="0" collapsed="false">
      <c r="A328" s="17" t="n">
        <v>327</v>
      </c>
      <c r="B328" s="9" t="s">
        <v>983</v>
      </c>
      <c r="C328" s="9" t="s">
        <v>72</v>
      </c>
      <c r="D328" s="10" t="s">
        <v>73</v>
      </c>
      <c r="E328" s="11" t="s">
        <v>1411</v>
      </c>
      <c r="F328" s="15"/>
      <c r="G328" s="12" t="s">
        <v>1412</v>
      </c>
      <c r="H328" s="13" t="n">
        <v>0.041</v>
      </c>
      <c r="I328" s="14" t="s">
        <v>695</v>
      </c>
      <c r="J328" s="15" t="s">
        <v>1180</v>
      </c>
      <c r="K328" s="9" t="n">
        <v>4</v>
      </c>
      <c r="L328" s="17"/>
      <c r="M328" s="16" t="s">
        <v>53</v>
      </c>
      <c r="N328" s="14"/>
      <c r="O328" s="17" t="s">
        <v>97</v>
      </c>
      <c r="P328" s="10" t="s">
        <v>1399</v>
      </c>
      <c r="Q328" s="17"/>
      <c r="R328" s="18" t="s">
        <v>53</v>
      </c>
      <c r="S328" s="19"/>
      <c r="T328" s="15" t="str">
        <f aca="false">IF(R328="維持",J328,IF(R328="排除","無關新聞事件",IFERROR(INDEX(事件規則!$B$2:$B$53,MATCH(S328,事件規則!$A$2:$A$53,0)),"")))</f>
        <v>無關新聞事件</v>
      </c>
      <c r="U328" s="20" t="n">
        <f aca="false">IF(R328="維持",K328,IF(R328="排除",0,IFERROR(INDEX(事件規則!$C$2:$C$53,MATCH(S328,事件規則!$A$2:$A$53,0)),"")))</f>
        <v>0</v>
      </c>
      <c r="V328" s="21"/>
      <c r="W328" s="22"/>
      <c r="X328" s="10" t="str">
        <f aca="false">IF(AND(R328="修改",S328=""),"請選新事件代碼",IF(AND(R328&lt;&gt;"修改",S328&lt;&gt;""),"只有「修改」才需填代碼",""))</f>
        <v/>
      </c>
      <c r="Y328" s="21"/>
      <c r="Z328" s="22"/>
      <c r="AA328" s="12" t="s">
        <v>1413</v>
      </c>
      <c r="AB328" s="12"/>
    </row>
    <row r="329" customFormat="false" ht="29.85" hidden="false" customHeight="false" outlineLevel="0" collapsed="false">
      <c r="A329" s="17" t="n">
        <v>328</v>
      </c>
      <c r="B329" s="9" t="s">
        <v>983</v>
      </c>
      <c r="C329" s="9" t="s">
        <v>665</v>
      </c>
      <c r="D329" s="10" t="s">
        <v>666</v>
      </c>
      <c r="E329" s="11" t="s">
        <v>1414</v>
      </c>
      <c r="F329" s="15"/>
      <c r="G329" s="12" t="s">
        <v>1415</v>
      </c>
      <c r="H329" s="13" t="n">
        <v>0.413</v>
      </c>
      <c r="I329" s="14" t="s">
        <v>695</v>
      </c>
      <c r="J329" s="15" t="s">
        <v>1180</v>
      </c>
      <c r="K329" s="9" t="n">
        <v>4</v>
      </c>
      <c r="L329" s="17"/>
      <c r="M329" s="16" t="s">
        <v>95</v>
      </c>
      <c r="N329" s="14" t="s">
        <v>96</v>
      </c>
      <c r="O329" s="17" t="s">
        <v>97</v>
      </c>
      <c r="P329" s="10" t="s">
        <v>1245</v>
      </c>
      <c r="Q329" s="17"/>
      <c r="R329" s="18" t="s">
        <v>95</v>
      </c>
      <c r="S329" s="19" t="s">
        <v>96</v>
      </c>
      <c r="T329" s="15" t="str">
        <f aca="false">IF(R329="維持",J329,IF(R329="排除","無關新聞事件",IFERROR(INDEX(事件規則!$B$2:$B$53,MATCH(S329,事件規則!$A$2:$A$53,0)),"")))</f>
        <v>重大訴訟</v>
      </c>
      <c r="U329" s="20" t="n">
        <f aca="false">IF(R329="維持",K329,IF(R329="排除",0,IFERROR(INDEX(事件規則!$C$2:$C$53,MATCH(S329,事件規則!$A$2:$A$53,0)),"")))</f>
        <v>4</v>
      </c>
      <c r="V329" s="21"/>
      <c r="W329" s="22"/>
      <c r="X329" s="10" t="str">
        <f aca="false">IF(AND(R329="修改",S329=""),"請選新事件代碼",IF(AND(R329&lt;&gt;"修改",S329&lt;&gt;""),"只有「修改」才需填代碼",""))</f>
        <v/>
      </c>
      <c r="Y329" s="21"/>
      <c r="Z329" s="22"/>
      <c r="AA329" s="12" t="s">
        <v>1416</v>
      </c>
      <c r="AB329" s="12"/>
    </row>
    <row r="330" customFormat="false" ht="29.85" hidden="false" customHeight="false" outlineLevel="0" collapsed="false">
      <c r="A330" s="17" t="n">
        <v>329</v>
      </c>
      <c r="B330" s="9" t="s">
        <v>100</v>
      </c>
      <c r="C330" s="9" t="s">
        <v>443</v>
      </c>
      <c r="D330" s="10" t="s">
        <v>444</v>
      </c>
      <c r="E330" s="11" t="s">
        <v>1417</v>
      </c>
      <c r="F330" s="15"/>
      <c r="G330" s="12" t="s">
        <v>1418</v>
      </c>
      <c r="H330" s="13" t="n">
        <v>0.775</v>
      </c>
      <c r="I330" s="14" t="s">
        <v>695</v>
      </c>
      <c r="J330" s="15" t="s">
        <v>1180</v>
      </c>
      <c r="K330" s="9" t="n">
        <v>4</v>
      </c>
      <c r="L330" s="17"/>
      <c r="M330" s="16" t="s">
        <v>105</v>
      </c>
      <c r="N330" s="14"/>
      <c r="O330" s="17" t="s">
        <v>54</v>
      </c>
      <c r="P330" s="10" t="s">
        <v>1419</v>
      </c>
      <c r="Q330" s="17"/>
      <c r="R330" s="18" t="s">
        <v>105</v>
      </c>
      <c r="S330" s="19"/>
      <c r="T330" s="15" t="str">
        <f aca="false">IF(R330="維持",J330,IF(R330="排除","無關新聞事件",IFERROR(INDEX(事件規則!$B$2:$B$53,MATCH(S330,事件規則!$A$2:$A$53,0)),"")))</f>
        <v>監管裁罰</v>
      </c>
      <c r="U330" s="20" t="n">
        <f aca="false">IF(R330="維持",K330,IF(R330="排除",0,IFERROR(INDEX(事件規則!$C$2:$C$53,MATCH(S330,事件規則!$A$2:$A$53,0)),"")))</f>
        <v>4</v>
      </c>
      <c r="V330" s="21"/>
      <c r="W330" s="22"/>
      <c r="X330" s="10" t="str">
        <f aca="false">IF(AND(R330="修改",S330=""),"請選新事件代碼",IF(AND(R330&lt;&gt;"修改",S330&lt;&gt;""),"只有「修改」才需填代碼",""))</f>
        <v/>
      </c>
      <c r="Y330" s="21"/>
      <c r="Z330" s="22"/>
      <c r="AA330" s="12" t="s">
        <v>1420</v>
      </c>
      <c r="AB330" s="12"/>
    </row>
    <row r="331" customFormat="false" ht="29.85" hidden="false" customHeight="false" outlineLevel="0" collapsed="false">
      <c r="A331" s="17" t="n">
        <v>330</v>
      </c>
      <c r="B331" s="9" t="s">
        <v>100</v>
      </c>
      <c r="C331" s="9" t="s">
        <v>1421</v>
      </c>
      <c r="D331" s="10" t="s">
        <v>1422</v>
      </c>
      <c r="E331" s="11" t="s">
        <v>1423</v>
      </c>
      <c r="F331" s="15"/>
      <c r="G331" s="12" t="s">
        <v>1424</v>
      </c>
      <c r="H331" s="13" t="n">
        <v>-0.637</v>
      </c>
      <c r="I331" s="14" t="s">
        <v>695</v>
      </c>
      <c r="J331" s="15" t="s">
        <v>1180</v>
      </c>
      <c r="K331" s="9" t="n">
        <v>4</v>
      </c>
      <c r="L331" s="17"/>
      <c r="M331" s="16" t="s">
        <v>95</v>
      </c>
      <c r="N331" s="14" t="s">
        <v>516</v>
      </c>
      <c r="O331" s="17" t="s">
        <v>292</v>
      </c>
      <c r="P331" s="15" t="s">
        <v>1425</v>
      </c>
      <c r="Q331" s="17" t="s">
        <v>169</v>
      </c>
      <c r="R331" s="18" t="s">
        <v>95</v>
      </c>
      <c r="S331" s="19" t="s">
        <v>516</v>
      </c>
      <c r="T331" s="15" t="str">
        <f aca="false">IF(R331="維持",J331,IF(R331="排除","無關新聞事件",IFERROR(INDEX(事件規則!$B$2:$B$53,MATCH(S331,事件規則!$A$2:$A$53,0)),"")))</f>
        <v>資料外洩</v>
      </c>
      <c r="U331" s="20" t="n">
        <f aca="false">IF(R331="維持",K331,IF(R331="排除",0,IFERROR(INDEX(事件規則!$C$2:$C$53,MATCH(S331,事件規則!$A$2:$A$53,0)),"")))</f>
        <v>3</v>
      </c>
      <c r="V331" s="21"/>
      <c r="W331" s="22"/>
      <c r="X331" s="10" t="str">
        <f aca="false">IF(AND(R331="修改",S331=""),"請選新事件代碼",IF(AND(R331&lt;&gt;"修改",S331&lt;&gt;""),"只有「修改」才需填代碼",""))</f>
        <v/>
      </c>
      <c r="Y331" s="21"/>
      <c r="Z331" s="22"/>
      <c r="AA331" s="12" t="s">
        <v>1426</v>
      </c>
      <c r="AB331" s="12"/>
    </row>
    <row r="332" customFormat="false" ht="29.85" hidden="false" customHeight="false" outlineLevel="0" collapsed="false">
      <c r="A332" s="17" t="n">
        <v>331</v>
      </c>
      <c r="B332" s="9" t="s">
        <v>108</v>
      </c>
      <c r="C332" s="9" t="s">
        <v>247</v>
      </c>
      <c r="D332" s="10" t="s">
        <v>248</v>
      </c>
      <c r="E332" s="11" t="s">
        <v>1427</v>
      </c>
      <c r="F332" s="15"/>
      <c r="G332" s="12" t="s">
        <v>1428</v>
      </c>
      <c r="H332" s="13" t="n">
        <v>-0.035</v>
      </c>
      <c r="I332" s="14" t="s">
        <v>695</v>
      </c>
      <c r="J332" s="15" t="s">
        <v>1180</v>
      </c>
      <c r="K332" s="9" t="n">
        <v>4</v>
      </c>
      <c r="L332" s="17"/>
      <c r="M332" s="16" t="s">
        <v>105</v>
      </c>
      <c r="N332" s="14"/>
      <c r="O332" s="17" t="s">
        <v>54</v>
      </c>
      <c r="P332" s="10" t="s">
        <v>1429</v>
      </c>
      <c r="Q332" s="17"/>
      <c r="R332" s="18" t="s">
        <v>105</v>
      </c>
      <c r="S332" s="19"/>
      <c r="T332" s="15" t="str">
        <f aca="false">IF(R332="維持",J332,IF(R332="排除","無關新聞事件",IFERROR(INDEX(事件規則!$B$2:$B$53,MATCH(S332,事件規則!$A$2:$A$53,0)),"")))</f>
        <v>監管裁罰</v>
      </c>
      <c r="U332" s="20" t="n">
        <f aca="false">IF(R332="維持",K332,IF(R332="排除",0,IFERROR(INDEX(事件規則!$C$2:$C$53,MATCH(S332,事件規則!$A$2:$A$53,0)),"")))</f>
        <v>4</v>
      </c>
      <c r="V332" s="21"/>
      <c r="W332" s="22"/>
      <c r="X332" s="10" t="str">
        <f aca="false">IF(AND(R332="修改",S332=""),"請選新事件代碼",IF(AND(R332&lt;&gt;"修改",S332&lt;&gt;""),"只有「修改」才需填代碼",""))</f>
        <v/>
      </c>
      <c r="Y332" s="21"/>
      <c r="Z332" s="22"/>
      <c r="AA332" s="12" t="s">
        <v>1430</v>
      </c>
      <c r="AB332" s="12"/>
    </row>
    <row r="333" customFormat="false" ht="23.85" hidden="false" customHeight="false" outlineLevel="0" collapsed="false">
      <c r="A333" s="17" t="n">
        <v>332</v>
      </c>
      <c r="B333" s="9" t="s">
        <v>108</v>
      </c>
      <c r="C333" s="9" t="s">
        <v>443</v>
      </c>
      <c r="D333" s="10" t="s">
        <v>444</v>
      </c>
      <c r="E333" s="11" t="s">
        <v>1431</v>
      </c>
      <c r="F333" s="15"/>
      <c r="G333" s="12" t="s">
        <v>1012</v>
      </c>
      <c r="H333" s="13" t="n">
        <v>0.049</v>
      </c>
      <c r="I333" s="14" t="s">
        <v>695</v>
      </c>
      <c r="J333" s="15" t="s">
        <v>1180</v>
      </c>
      <c r="K333" s="9" t="n">
        <v>4</v>
      </c>
      <c r="L333" s="17"/>
      <c r="M333" s="16" t="s">
        <v>105</v>
      </c>
      <c r="N333" s="14"/>
      <c r="O333" s="17" t="s">
        <v>97</v>
      </c>
      <c r="P333" s="10" t="s">
        <v>1432</v>
      </c>
      <c r="Q333" s="17"/>
      <c r="R333" s="18" t="s">
        <v>105</v>
      </c>
      <c r="S333" s="19"/>
      <c r="T333" s="15" t="str">
        <f aca="false">IF(R333="維持",J333,IF(R333="排除","無關新聞事件",IFERROR(INDEX(事件規則!$B$2:$B$53,MATCH(S333,事件規則!$A$2:$A$53,0)),"")))</f>
        <v>監管裁罰</v>
      </c>
      <c r="U333" s="20" t="n">
        <f aca="false">IF(R333="維持",K333,IF(R333="排除",0,IFERROR(INDEX(事件規則!$C$2:$C$53,MATCH(S333,事件規則!$A$2:$A$53,0)),"")))</f>
        <v>4</v>
      </c>
      <c r="V333" s="21"/>
      <c r="W333" s="22"/>
      <c r="X333" s="10" t="str">
        <f aca="false">IF(AND(R333="修改",S333=""),"請選新事件代碼",IF(AND(R333&lt;&gt;"修改",S333&lt;&gt;""),"只有「修改」才需填代碼",""))</f>
        <v/>
      </c>
      <c r="Y333" s="21"/>
      <c r="Z333" s="22"/>
      <c r="AA333" s="12" t="s">
        <v>1433</v>
      </c>
      <c r="AB333" s="12"/>
    </row>
    <row r="334" customFormat="false" ht="23.85" hidden="false" customHeight="false" outlineLevel="0" collapsed="false">
      <c r="A334" s="17" t="n">
        <v>333</v>
      </c>
      <c r="B334" s="9" t="s">
        <v>108</v>
      </c>
      <c r="C334" s="9" t="s">
        <v>443</v>
      </c>
      <c r="D334" s="10" t="s">
        <v>444</v>
      </c>
      <c r="E334" s="11" t="s">
        <v>1434</v>
      </c>
      <c r="F334" s="15"/>
      <c r="G334" s="12" t="s">
        <v>1435</v>
      </c>
      <c r="H334" s="13" t="n">
        <v>-0.124</v>
      </c>
      <c r="I334" s="14" t="s">
        <v>695</v>
      </c>
      <c r="J334" s="15" t="s">
        <v>1180</v>
      </c>
      <c r="K334" s="9" t="n">
        <v>4</v>
      </c>
      <c r="L334" s="17"/>
      <c r="M334" s="16" t="s">
        <v>105</v>
      </c>
      <c r="N334" s="14"/>
      <c r="O334" s="17" t="s">
        <v>97</v>
      </c>
      <c r="P334" s="10" t="s">
        <v>1432</v>
      </c>
      <c r="Q334" s="17"/>
      <c r="R334" s="18" t="s">
        <v>105</v>
      </c>
      <c r="S334" s="19"/>
      <c r="T334" s="15" t="str">
        <f aca="false">IF(R334="維持",J334,IF(R334="排除","無關新聞事件",IFERROR(INDEX(事件規則!$B$2:$B$53,MATCH(S334,事件規則!$A$2:$A$53,0)),"")))</f>
        <v>監管裁罰</v>
      </c>
      <c r="U334" s="20" t="n">
        <f aca="false">IF(R334="維持",K334,IF(R334="排除",0,IFERROR(INDEX(事件規則!$C$2:$C$53,MATCH(S334,事件規則!$A$2:$A$53,0)),"")))</f>
        <v>4</v>
      </c>
      <c r="V334" s="21"/>
      <c r="W334" s="22"/>
      <c r="X334" s="10" t="str">
        <f aca="false">IF(AND(R334="修改",S334=""),"請選新事件代碼",IF(AND(R334&lt;&gt;"修改",S334&lt;&gt;""),"只有「修改」才需填代碼",""))</f>
        <v/>
      </c>
      <c r="Y334" s="21"/>
      <c r="Z334" s="22"/>
      <c r="AA334" s="12" t="s">
        <v>1436</v>
      </c>
      <c r="AB334" s="12"/>
    </row>
    <row r="335" customFormat="false" ht="29.85" hidden="false" customHeight="false" outlineLevel="0" collapsed="false">
      <c r="A335" s="17" t="n">
        <v>334</v>
      </c>
      <c r="B335" s="9" t="s">
        <v>108</v>
      </c>
      <c r="C335" s="9" t="s">
        <v>1105</v>
      </c>
      <c r="D335" s="10" t="s">
        <v>1106</v>
      </c>
      <c r="E335" s="11" t="s">
        <v>1437</v>
      </c>
      <c r="F335" s="15"/>
      <c r="G335" s="12" t="s">
        <v>1438</v>
      </c>
      <c r="H335" s="13" t="n">
        <v>0.08</v>
      </c>
      <c r="I335" s="14" t="s">
        <v>695</v>
      </c>
      <c r="J335" s="15" t="s">
        <v>1180</v>
      </c>
      <c r="K335" s="9" t="n">
        <v>4</v>
      </c>
      <c r="L335" s="17"/>
      <c r="M335" s="16" t="s">
        <v>53</v>
      </c>
      <c r="N335" s="14"/>
      <c r="O335" s="17" t="s">
        <v>54</v>
      </c>
      <c r="P335" s="10" t="s">
        <v>1439</v>
      </c>
      <c r="Q335" s="17"/>
      <c r="R335" s="18" t="s">
        <v>53</v>
      </c>
      <c r="S335" s="19"/>
      <c r="T335" s="15" t="str">
        <f aca="false">IF(R335="維持",J335,IF(R335="排除","無關新聞事件",IFERROR(INDEX(事件規則!$B$2:$B$53,MATCH(S335,事件規則!$A$2:$A$53,0)),"")))</f>
        <v>無關新聞事件</v>
      </c>
      <c r="U335" s="20" t="n">
        <f aca="false">IF(R335="維持",K335,IF(R335="排除",0,IFERROR(INDEX(事件規則!$C$2:$C$53,MATCH(S335,事件規則!$A$2:$A$53,0)),"")))</f>
        <v>0</v>
      </c>
      <c r="V335" s="21"/>
      <c r="W335" s="22"/>
      <c r="X335" s="10" t="str">
        <f aca="false">IF(AND(R335="修改",S335=""),"請選新事件代碼",IF(AND(R335&lt;&gt;"修改",S335&lt;&gt;""),"只有「修改」才需填代碼",""))</f>
        <v/>
      </c>
      <c r="Y335" s="21"/>
      <c r="Z335" s="22"/>
      <c r="AA335" s="12" t="s">
        <v>1440</v>
      </c>
      <c r="AB335" s="12"/>
    </row>
    <row r="336" customFormat="false" ht="23.85" hidden="false" customHeight="false" outlineLevel="0" collapsed="false">
      <c r="A336" s="17" t="n">
        <v>335</v>
      </c>
      <c r="B336" s="9" t="s">
        <v>108</v>
      </c>
      <c r="C336" s="9" t="s">
        <v>443</v>
      </c>
      <c r="D336" s="10" t="s">
        <v>444</v>
      </c>
      <c r="E336" s="11" t="s">
        <v>1437</v>
      </c>
      <c r="F336" s="15"/>
      <c r="G336" s="12" t="s">
        <v>1438</v>
      </c>
      <c r="H336" s="13" t="n">
        <v>0.08</v>
      </c>
      <c r="I336" s="14" t="s">
        <v>695</v>
      </c>
      <c r="J336" s="15" t="s">
        <v>1180</v>
      </c>
      <c r="K336" s="9" t="n">
        <v>4</v>
      </c>
      <c r="L336" s="17"/>
      <c r="M336" s="16" t="s">
        <v>105</v>
      </c>
      <c r="N336" s="14"/>
      <c r="O336" s="17" t="s">
        <v>97</v>
      </c>
      <c r="P336" s="10" t="s">
        <v>1432</v>
      </c>
      <c r="Q336" s="17"/>
      <c r="R336" s="18" t="s">
        <v>105</v>
      </c>
      <c r="S336" s="19"/>
      <c r="T336" s="15" t="str">
        <f aca="false">IF(R336="維持",J336,IF(R336="排除","無關新聞事件",IFERROR(INDEX(事件規則!$B$2:$B$53,MATCH(S336,事件規則!$A$2:$A$53,0)),"")))</f>
        <v>監管裁罰</v>
      </c>
      <c r="U336" s="20" t="n">
        <f aca="false">IF(R336="維持",K336,IF(R336="排除",0,IFERROR(INDEX(事件規則!$C$2:$C$53,MATCH(S336,事件規則!$A$2:$A$53,0)),"")))</f>
        <v>4</v>
      </c>
      <c r="V336" s="21"/>
      <c r="W336" s="22"/>
      <c r="X336" s="10" t="str">
        <f aca="false">IF(AND(R336="修改",S336=""),"請選新事件代碼",IF(AND(R336&lt;&gt;"修改",S336&lt;&gt;""),"只有「修改」才需填代碼",""))</f>
        <v/>
      </c>
      <c r="Y336" s="21"/>
      <c r="Z336" s="22"/>
      <c r="AA336" s="12" t="s">
        <v>1441</v>
      </c>
      <c r="AB336" s="12"/>
    </row>
    <row r="337" customFormat="false" ht="23.85" hidden="false" customHeight="false" outlineLevel="0" collapsed="false">
      <c r="A337" s="17" t="n">
        <v>336</v>
      </c>
      <c r="B337" s="9" t="s">
        <v>108</v>
      </c>
      <c r="C337" s="9" t="s">
        <v>443</v>
      </c>
      <c r="D337" s="10" t="s">
        <v>444</v>
      </c>
      <c r="E337" s="11" t="s">
        <v>1442</v>
      </c>
      <c r="F337" s="15"/>
      <c r="G337" s="12" t="s">
        <v>1443</v>
      </c>
      <c r="H337" s="13" t="n">
        <v>0.113</v>
      </c>
      <c r="I337" s="14" t="s">
        <v>695</v>
      </c>
      <c r="J337" s="15" t="s">
        <v>1180</v>
      </c>
      <c r="K337" s="9" t="n">
        <v>4</v>
      </c>
      <c r="L337" s="17"/>
      <c r="M337" s="16" t="s">
        <v>105</v>
      </c>
      <c r="N337" s="14"/>
      <c r="O337" s="17" t="s">
        <v>97</v>
      </c>
      <c r="P337" s="10" t="s">
        <v>1432</v>
      </c>
      <c r="Q337" s="17"/>
      <c r="R337" s="18" t="s">
        <v>105</v>
      </c>
      <c r="S337" s="19"/>
      <c r="T337" s="15" t="str">
        <f aca="false">IF(R337="維持",J337,IF(R337="排除","無關新聞事件",IFERROR(INDEX(事件規則!$B$2:$B$53,MATCH(S337,事件規則!$A$2:$A$53,0)),"")))</f>
        <v>監管裁罰</v>
      </c>
      <c r="U337" s="20" t="n">
        <f aca="false">IF(R337="維持",K337,IF(R337="排除",0,IFERROR(INDEX(事件規則!$C$2:$C$53,MATCH(S337,事件規則!$A$2:$A$53,0)),"")))</f>
        <v>4</v>
      </c>
      <c r="V337" s="21"/>
      <c r="W337" s="22"/>
      <c r="X337" s="10" t="str">
        <f aca="false">IF(AND(R337="修改",S337=""),"請選新事件代碼",IF(AND(R337&lt;&gt;"修改",S337&lt;&gt;""),"只有「修改」才需填代碼",""))</f>
        <v/>
      </c>
      <c r="Y337" s="21"/>
      <c r="Z337" s="22"/>
      <c r="AA337" s="12" t="s">
        <v>1444</v>
      </c>
      <c r="AB337" s="12"/>
    </row>
    <row r="338" customFormat="false" ht="23.85" hidden="false" customHeight="false" outlineLevel="0" collapsed="false">
      <c r="A338" s="17" t="n">
        <v>337</v>
      </c>
      <c r="B338" s="9" t="s">
        <v>108</v>
      </c>
      <c r="C338" s="9" t="s">
        <v>443</v>
      </c>
      <c r="D338" s="10" t="s">
        <v>444</v>
      </c>
      <c r="E338" s="11" t="s">
        <v>1445</v>
      </c>
      <c r="F338" s="15"/>
      <c r="G338" s="12" t="s">
        <v>1446</v>
      </c>
      <c r="H338" s="13" t="n">
        <v>0.378</v>
      </c>
      <c r="I338" s="14" t="s">
        <v>695</v>
      </c>
      <c r="J338" s="15" t="s">
        <v>1180</v>
      </c>
      <c r="K338" s="9" t="n">
        <v>4</v>
      </c>
      <c r="L338" s="17"/>
      <c r="M338" s="16" t="s">
        <v>105</v>
      </c>
      <c r="N338" s="14"/>
      <c r="O338" s="17" t="s">
        <v>97</v>
      </c>
      <c r="P338" s="10" t="s">
        <v>1432</v>
      </c>
      <c r="Q338" s="17"/>
      <c r="R338" s="18" t="s">
        <v>105</v>
      </c>
      <c r="S338" s="19"/>
      <c r="T338" s="15" t="str">
        <f aca="false">IF(R338="維持",J338,IF(R338="排除","無關新聞事件",IFERROR(INDEX(事件規則!$B$2:$B$53,MATCH(S338,事件規則!$A$2:$A$53,0)),"")))</f>
        <v>監管裁罰</v>
      </c>
      <c r="U338" s="20" t="n">
        <f aca="false">IF(R338="維持",K338,IF(R338="排除",0,IFERROR(INDEX(事件規則!$C$2:$C$53,MATCH(S338,事件規則!$A$2:$A$53,0)),"")))</f>
        <v>4</v>
      </c>
      <c r="V338" s="21"/>
      <c r="W338" s="22"/>
      <c r="X338" s="10" t="str">
        <f aca="false">IF(AND(R338="修改",S338=""),"請選新事件代碼",IF(AND(R338&lt;&gt;"修改",S338&lt;&gt;""),"只有「修改」才需填代碼",""))</f>
        <v/>
      </c>
      <c r="Y338" s="21"/>
      <c r="Z338" s="22"/>
      <c r="AA338" s="12" t="s">
        <v>1447</v>
      </c>
      <c r="AB338" s="12"/>
    </row>
    <row r="339" customFormat="false" ht="23.85" hidden="false" customHeight="false" outlineLevel="0" collapsed="false">
      <c r="A339" s="17" t="n">
        <v>338</v>
      </c>
      <c r="B339" s="9" t="s">
        <v>108</v>
      </c>
      <c r="C339" s="9" t="s">
        <v>443</v>
      </c>
      <c r="D339" s="10" t="s">
        <v>444</v>
      </c>
      <c r="E339" s="11" t="s">
        <v>1448</v>
      </c>
      <c r="F339" s="15"/>
      <c r="G339" s="12" t="s">
        <v>651</v>
      </c>
      <c r="H339" s="13" t="n">
        <v>0.079</v>
      </c>
      <c r="I339" s="14" t="s">
        <v>695</v>
      </c>
      <c r="J339" s="15" t="s">
        <v>1180</v>
      </c>
      <c r="K339" s="9" t="n">
        <v>4</v>
      </c>
      <c r="L339" s="17"/>
      <c r="M339" s="16" t="s">
        <v>105</v>
      </c>
      <c r="N339" s="14"/>
      <c r="O339" s="17" t="s">
        <v>97</v>
      </c>
      <c r="P339" s="10" t="s">
        <v>1432</v>
      </c>
      <c r="Q339" s="17"/>
      <c r="R339" s="18" t="s">
        <v>105</v>
      </c>
      <c r="S339" s="19"/>
      <c r="T339" s="15" t="str">
        <f aca="false">IF(R339="維持",J339,IF(R339="排除","無關新聞事件",IFERROR(INDEX(事件規則!$B$2:$B$53,MATCH(S339,事件規則!$A$2:$A$53,0)),"")))</f>
        <v>監管裁罰</v>
      </c>
      <c r="U339" s="20" t="n">
        <f aca="false">IF(R339="維持",K339,IF(R339="排除",0,IFERROR(INDEX(事件規則!$C$2:$C$53,MATCH(S339,事件規則!$A$2:$A$53,0)),"")))</f>
        <v>4</v>
      </c>
      <c r="V339" s="21"/>
      <c r="W339" s="22"/>
      <c r="X339" s="10" t="str">
        <f aca="false">IF(AND(R339="修改",S339=""),"請選新事件代碼",IF(AND(R339&lt;&gt;"修改",S339&lt;&gt;""),"只有「修改」才需填代碼",""))</f>
        <v/>
      </c>
      <c r="Y339" s="21"/>
      <c r="Z339" s="22"/>
      <c r="AA339" s="12" t="s">
        <v>1449</v>
      </c>
      <c r="AB339" s="12"/>
    </row>
    <row r="340" customFormat="false" ht="29.85" hidden="false" customHeight="false" outlineLevel="0" collapsed="false">
      <c r="A340" s="17" t="n">
        <v>339</v>
      </c>
      <c r="B340" s="9" t="s">
        <v>108</v>
      </c>
      <c r="C340" s="9" t="s">
        <v>443</v>
      </c>
      <c r="D340" s="10" t="s">
        <v>444</v>
      </c>
      <c r="E340" s="11" t="s">
        <v>1450</v>
      </c>
      <c r="F340" s="15"/>
      <c r="G340" s="12" t="s">
        <v>1451</v>
      </c>
      <c r="H340" s="13" t="n">
        <v>0.694</v>
      </c>
      <c r="I340" s="14" t="s">
        <v>695</v>
      </c>
      <c r="J340" s="15" t="s">
        <v>1180</v>
      </c>
      <c r="K340" s="9" t="n">
        <v>4</v>
      </c>
      <c r="L340" s="17"/>
      <c r="M340" s="16" t="s">
        <v>105</v>
      </c>
      <c r="N340" s="14"/>
      <c r="O340" s="17" t="s">
        <v>54</v>
      </c>
      <c r="P340" s="10" t="s">
        <v>1419</v>
      </c>
      <c r="Q340" s="17"/>
      <c r="R340" s="18" t="s">
        <v>105</v>
      </c>
      <c r="S340" s="19"/>
      <c r="T340" s="15" t="str">
        <f aca="false">IF(R340="維持",J340,IF(R340="排除","無關新聞事件",IFERROR(INDEX(事件規則!$B$2:$B$53,MATCH(S340,事件規則!$A$2:$A$53,0)),"")))</f>
        <v>監管裁罰</v>
      </c>
      <c r="U340" s="20" t="n">
        <f aca="false">IF(R340="維持",K340,IF(R340="排除",0,IFERROR(INDEX(事件規則!$C$2:$C$53,MATCH(S340,事件規則!$A$2:$A$53,0)),"")))</f>
        <v>4</v>
      </c>
      <c r="V340" s="21"/>
      <c r="W340" s="22"/>
      <c r="X340" s="10" t="str">
        <f aca="false">IF(AND(R340="修改",S340=""),"請選新事件代碼",IF(AND(R340&lt;&gt;"修改",S340&lt;&gt;""),"只有「修改」才需填代碼",""))</f>
        <v/>
      </c>
      <c r="Y340" s="21"/>
      <c r="Z340" s="22"/>
      <c r="AA340" s="12" t="s">
        <v>1452</v>
      </c>
      <c r="AB340" s="12"/>
    </row>
    <row r="341" customFormat="false" ht="29.85" hidden="false" customHeight="false" outlineLevel="0" collapsed="false">
      <c r="A341" s="17" t="n">
        <v>340</v>
      </c>
      <c r="B341" s="9" t="s">
        <v>108</v>
      </c>
      <c r="C341" s="9" t="s">
        <v>443</v>
      </c>
      <c r="D341" s="10" t="s">
        <v>444</v>
      </c>
      <c r="E341" s="11" t="s">
        <v>1453</v>
      </c>
      <c r="F341" s="15"/>
      <c r="G341" s="12" t="s">
        <v>1454</v>
      </c>
      <c r="H341" s="13" t="n">
        <v>-0.184</v>
      </c>
      <c r="I341" s="14" t="s">
        <v>695</v>
      </c>
      <c r="J341" s="15" t="s">
        <v>1180</v>
      </c>
      <c r="K341" s="9" t="n">
        <v>4</v>
      </c>
      <c r="L341" s="17"/>
      <c r="M341" s="16" t="s">
        <v>105</v>
      </c>
      <c r="N341" s="14"/>
      <c r="O341" s="17" t="s">
        <v>54</v>
      </c>
      <c r="P341" s="10" t="s">
        <v>1419</v>
      </c>
      <c r="Q341" s="17"/>
      <c r="R341" s="18" t="s">
        <v>105</v>
      </c>
      <c r="S341" s="19"/>
      <c r="T341" s="15" t="str">
        <f aca="false">IF(R341="維持",J341,IF(R341="排除","無關新聞事件",IFERROR(INDEX(事件規則!$B$2:$B$53,MATCH(S341,事件規則!$A$2:$A$53,0)),"")))</f>
        <v>監管裁罰</v>
      </c>
      <c r="U341" s="20" t="n">
        <f aca="false">IF(R341="維持",K341,IF(R341="排除",0,IFERROR(INDEX(事件規則!$C$2:$C$53,MATCH(S341,事件規則!$A$2:$A$53,0)),"")))</f>
        <v>4</v>
      </c>
      <c r="V341" s="21"/>
      <c r="W341" s="22"/>
      <c r="X341" s="10" t="str">
        <f aca="false">IF(AND(R341="修改",S341=""),"請選新事件代碼",IF(AND(R341&lt;&gt;"修改",S341&lt;&gt;""),"只有「修改」才需填代碼",""))</f>
        <v/>
      </c>
      <c r="Y341" s="21"/>
      <c r="Z341" s="22"/>
      <c r="AA341" s="12" t="s">
        <v>1455</v>
      </c>
      <c r="AB341" s="12"/>
    </row>
    <row r="342" customFormat="false" ht="23.85" hidden="false" customHeight="false" outlineLevel="0" collapsed="false">
      <c r="A342" s="17" t="n">
        <v>341</v>
      </c>
      <c r="B342" s="9" t="s">
        <v>108</v>
      </c>
      <c r="C342" s="9" t="s">
        <v>72</v>
      </c>
      <c r="D342" s="10" t="s">
        <v>73</v>
      </c>
      <c r="E342" s="11" t="s">
        <v>1456</v>
      </c>
      <c r="F342" s="15"/>
      <c r="G342" s="12" t="s">
        <v>84</v>
      </c>
      <c r="H342" s="13" t="n">
        <v>0.119</v>
      </c>
      <c r="I342" s="14" t="s">
        <v>695</v>
      </c>
      <c r="J342" s="15" t="s">
        <v>1180</v>
      </c>
      <c r="K342" s="9" t="n">
        <v>4</v>
      </c>
      <c r="L342" s="17"/>
      <c r="M342" s="16" t="s">
        <v>53</v>
      </c>
      <c r="N342" s="14"/>
      <c r="O342" s="17" t="s">
        <v>97</v>
      </c>
      <c r="P342" s="10" t="s">
        <v>1399</v>
      </c>
      <c r="Q342" s="17"/>
      <c r="R342" s="18" t="s">
        <v>53</v>
      </c>
      <c r="S342" s="19"/>
      <c r="T342" s="15" t="str">
        <f aca="false">IF(R342="維持",J342,IF(R342="排除","無關新聞事件",IFERROR(INDEX(事件規則!$B$2:$B$53,MATCH(S342,事件規則!$A$2:$A$53,0)),"")))</f>
        <v>無關新聞事件</v>
      </c>
      <c r="U342" s="20" t="n">
        <f aca="false">IF(R342="維持",K342,IF(R342="排除",0,IFERROR(INDEX(事件規則!$C$2:$C$53,MATCH(S342,事件規則!$A$2:$A$53,0)),"")))</f>
        <v>0</v>
      </c>
      <c r="V342" s="21"/>
      <c r="W342" s="22"/>
      <c r="X342" s="10" t="str">
        <f aca="false">IF(AND(R342="修改",S342=""),"請選新事件代碼",IF(AND(R342&lt;&gt;"修改",S342&lt;&gt;""),"只有「修改」才需填代碼",""))</f>
        <v/>
      </c>
      <c r="Y342" s="21"/>
      <c r="Z342" s="22"/>
      <c r="AA342" s="12" t="s">
        <v>1457</v>
      </c>
      <c r="AB342" s="12"/>
    </row>
    <row r="343" customFormat="false" ht="23.85" hidden="false" customHeight="false" outlineLevel="0" collapsed="false">
      <c r="A343" s="17" t="n">
        <v>342</v>
      </c>
      <c r="B343" s="9" t="s">
        <v>108</v>
      </c>
      <c r="C343" s="9" t="s">
        <v>72</v>
      </c>
      <c r="D343" s="10" t="s">
        <v>73</v>
      </c>
      <c r="E343" s="11" t="s">
        <v>1458</v>
      </c>
      <c r="F343" s="15"/>
      <c r="G343" s="12" t="s">
        <v>1459</v>
      </c>
      <c r="H343" s="13" t="n">
        <v>0.027</v>
      </c>
      <c r="I343" s="14" t="s">
        <v>695</v>
      </c>
      <c r="J343" s="15" t="s">
        <v>1180</v>
      </c>
      <c r="K343" s="9" t="n">
        <v>4</v>
      </c>
      <c r="L343" s="17"/>
      <c r="M343" s="16" t="s">
        <v>53</v>
      </c>
      <c r="N343" s="14"/>
      <c r="O343" s="17" t="s">
        <v>97</v>
      </c>
      <c r="P343" s="10" t="s">
        <v>1399</v>
      </c>
      <c r="Q343" s="17"/>
      <c r="R343" s="18" t="s">
        <v>53</v>
      </c>
      <c r="S343" s="19"/>
      <c r="T343" s="15" t="str">
        <f aca="false">IF(R343="維持",J343,IF(R343="排除","無關新聞事件",IFERROR(INDEX(事件規則!$B$2:$B$53,MATCH(S343,事件規則!$A$2:$A$53,0)),"")))</f>
        <v>無關新聞事件</v>
      </c>
      <c r="U343" s="20" t="n">
        <f aca="false">IF(R343="維持",K343,IF(R343="排除",0,IFERROR(INDEX(事件規則!$C$2:$C$53,MATCH(S343,事件規則!$A$2:$A$53,0)),"")))</f>
        <v>0</v>
      </c>
      <c r="V343" s="21"/>
      <c r="W343" s="22"/>
      <c r="X343" s="10" t="str">
        <f aca="false">IF(AND(R343="修改",S343=""),"請選新事件代碼",IF(AND(R343&lt;&gt;"修改",S343&lt;&gt;""),"只有「修改」才需填代碼",""))</f>
        <v/>
      </c>
      <c r="Y343" s="21"/>
      <c r="Z343" s="22"/>
      <c r="AA343" s="12" t="s">
        <v>1460</v>
      </c>
      <c r="AB343" s="12"/>
    </row>
    <row r="344" customFormat="false" ht="35.05" hidden="false" customHeight="false" outlineLevel="0" collapsed="false">
      <c r="A344" s="17" t="n">
        <v>343</v>
      </c>
      <c r="B344" s="9" t="s">
        <v>704</v>
      </c>
      <c r="C344" s="9" t="s">
        <v>1391</v>
      </c>
      <c r="D344" s="10" t="s">
        <v>1392</v>
      </c>
      <c r="E344" s="11" t="s">
        <v>1461</v>
      </c>
      <c r="F344" s="15"/>
      <c r="G344" s="12" t="s">
        <v>1462</v>
      </c>
      <c r="H344" s="13" t="n">
        <v>0.301</v>
      </c>
      <c r="I344" s="14" t="s">
        <v>695</v>
      </c>
      <c r="J344" s="15" t="s">
        <v>1180</v>
      </c>
      <c r="K344" s="9" t="n">
        <v>4</v>
      </c>
      <c r="L344" s="17"/>
      <c r="M344" s="16" t="s">
        <v>105</v>
      </c>
      <c r="N344" s="14"/>
      <c r="O344" s="17" t="s">
        <v>292</v>
      </c>
      <c r="P344" s="10" t="s">
        <v>1395</v>
      </c>
      <c r="Q344" s="17" t="s">
        <v>169</v>
      </c>
      <c r="R344" s="18" t="s">
        <v>105</v>
      </c>
      <c r="S344" s="19"/>
      <c r="T344" s="15" t="str">
        <f aca="false">IF(R344="維持",J344,IF(R344="排除","無關新聞事件",IFERROR(INDEX(事件規則!$B$2:$B$53,MATCH(S344,事件規則!$A$2:$A$53,0)),"")))</f>
        <v>監管裁罰</v>
      </c>
      <c r="U344" s="20" t="n">
        <f aca="false">IF(R344="維持",K344,IF(R344="排除",0,IFERROR(INDEX(事件規則!$C$2:$C$53,MATCH(S344,事件規則!$A$2:$A$53,0)),"")))</f>
        <v>4</v>
      </c>
      <c r="V344" s="21"/>
      <c r="W344" s="22"/>
      <c r="X344" s="10" t="str">
        <f aca="false">IF(AND(R344="修改",S344=""),"請選新事件代碼",IF(AND(R344&lt;&gt;"修改",S344&lt;&gt;""),"只有「修改」才需填代碼",""))</f>
        <v/>
      </c>
      <c r="Y344" s="21"/>
      <c r="Z344" s="22"/>
      <c r="AA344" s="12" t="s">
        <v>1463</v>
      </c>
      <c r="AB344" s="12"/>
    </row>
    <row r="345" customFormat="false" ht="23.85" hidden="false" customHeight="false" outlineLevel="0" collapsed="false">
      <c r="A345" s="17" t="n">
        <v>344</v>
      </c>
      <c r="B345" s="9" t="s">
        <v>704</v>
      </c>
      <c r="C345" s="9" t="s">
        <v>1183</v>
      </c>
      <c r="D345" s="10" t="s">
        <v>1184</v>
      </c>
      <c r="E345" s="11" t="s">
        <v>1464</v>
      </c>
      <c r="F345" s="15"/>
      <c r="G345" s="12" t="s">
        <v>737</v>
      </c>
      <c r="H345" s="13" t="n">
        <v>-0.545</v>
      </c>
      <c r="I345" s="14" t="s">
        <v>695</v>
      </c>
      <c r="J345" s="15" t="s">
        <v>1180</v>
      </c>
      <c r="K345" s="9" t="n">
        <v>4</v>
      </c>
      <c r="L345" s="17"/>
      <c r="M345" s="16" t="s">
        <v>53</v>
      </c>
      <c r="N345" s="14"/>
      <c r="O345" s="17" t="s">
        <v>97</v>
      </c>
      <c r="P345" s="15" t="s">
        <v>1465</v>
      </c>
      <c r="Q345" s="17"/>
      <c r="R345" s="18" t="s">
        <v>53</v>
      </c>
      <c r="S345" s="19"/>
      <c r="T345" s="15" t="str">
        <f aca="false">IF(R345="維持",J345,IF(R345="排除","無關新聞事件",IFERROR(INDEX(事件規則!$B$2:$B$53,MATCH(S345,事件規則!$A$2:$A$53,0)),"")))</f>
        <v>無關新聞事件</v>
      </c>
      <c r="U345" s="20" t="n">
        <f aca="false">IF(R345="維持",K345,IF(R345="排除",0,IFERROR(INDEX(事件規則!$C$2:$C$53,MATCH(S345,事件規則!$A$2:$A$53,0)),"")))</f>
        <v>0</v>
      </c>
      <c r="V345" s="21"/>
      <c r="W345" s="22"/>
      <c r="X345" s="10" t="str">
        <f aca="false">IF(AND(R345="修改",S345=""),"請選新事件代碼",IF(AND(R345&lt;&gt;"修改",S345&lt;&gt;""),"只有「修改」才需填代碼",""))</f>
        <v/>
      </c>
      <c r="Y345" s="21"/>
      <c r="Z345" s="22"/>
      <c r="AA345" s="12" t="s">
        <v>1466</v>
      </c>
      <c r="AB345" s="12"/>
    </row>
    <row r="346" customFormat="false" ht="23.85" hidden="false" customHeight="false" outlineLevel="0" collapsed="false">
      <c r="A346" s="17" t="n">
        <v>345</v>
      </c>
      <c r="B346" s="9" t="s">
        <v>704</v>
      </c>
      <c r="C346" s="9" t="s">
        <v>247</v>
      </c>
      <c r="D346" s="10" t="s">
        <v>248</v>
      </c>
      <c r="E346" s="11" t="s">
        <v>1467</v>
      </c>
      <c r="F346" s="15"/>
      <c r="G346" s="12" t="s">
        <v>1424</v>
      </c>
      <c r="H346" s="13" t="n">
        <v>-0.873</v>
      </c>
      <c r="I346" s="14" t="s">
        <v>695</v>
      </c>
      <c r="J346" s="15" t="s">
        <v>1180</v>
      </c>
      <c r="K346" s="9" t="n">
        <v>4</v>
      </c>
      <c r="L346" s="17"/>
      <c r="M346" s="16" t="s">
        <v>105</v>
      </c>
      <c r="N346" s="14"/>
      <c r="O346" s="17" t="s">
        <v>97</v>
      </c>
      <c r="P346" s="10" t="s">
        <v>1468</v>
      </c>
      <c r="Q346" s="17"/>
      <c r="R346" s="18" t="s">
        <v>105</v>
      </c>
      <c r="S346" s="19"/>
      <c r="T346" s="15" t="str">
        <f aca="false">IF(R346="維持",J346,IF(R346="排除","無關新聞事件",IFERROR(INDEX(事件規則!$B$2:$B$53,MATCH(S346,事件規則!$A$2:$A$53,0)),"")))</f>
        <v>監管裁罰</v>
      </c>
      <c r="U346" s="20" t="n">
        <f aca="false">IF(R346="維持",K346,IF(R346="排除",0,IFERROR(INDEX(事件規則!$C$2:$C$53,MATCH(S346,事件規則!$A$2:$A$53,0)),"")))</f>
        <v>4</v>
      </c>
      <c r="V346" s="21"/>
      <c r="W346" s="22"/>
      <c r="X346" s="10" t="str">
        <f aca="false">IF(AND(R346="修改",S346=""),"請選新事件代碼",IF(AND(R346&lt;&gt;"修改",S346&lt;&gt;""),"只有「修改」才需填代碼",""))</f>
        <v/>
      </c>
      <c r="Y346" s="21"/>
      <c r="Z346" s="22"/>
      <c r="AA346" s="12" t="s">
        <v>1469</v>
      </c>
      <c r="AB346" s="12"/>
    </row>
    <row r="347" customFormat="false" ht="35.05" hidden="false" customHeight="false" outlineLevel="0" collapsed="false">
      <c r="A347" s="17" t="n">
        <v>346</v>
      </c>
      <c r="B347" s="9" t="s">
        <v>704</v>
      </c>
      <c r="C347" s="9" t="s">
        <v>370</v>
      </c>
      <c r="D347" s="10" t="s">
        <v>371</v>
      </c>
      <c r="E347" s="11" t="s">
        <v>1470</v>
      </c>
      <c r="F347" s="15"/>
      <c r="G347" s="12" t="s">
        <v>1471</v>
      </c>
      <c r="H347" s="13" t="n">
        <v>0.055</v>
      </c>
      <c r="I347" s="14" t="s">
        <v>695</v>
      </c>
      <c r="J347" s="15" t="s">
        <v>1180</v>
      </c>
      <c r="K347" s="9" t="n">
        <v>4</v>
      </c>
      <c r="L347" s="17"/>
      <c r="M347" s="16" t="s">
        <v>95</v>
      </c>
      <c r="N347" s="14" t="s">
        <v>96</v>
      </c>
      <c r="O347" s="17" t="s">
        <v>97</v>
      </c>
      <c r="P347" s="15" t="s">
        <v>1472</v>
      </c>
      <c r="Q347" s="17"/>
      <c r="R347" s="18" t="s">
        <v>95</v>
      </c>
      <c r="S347" s="19" t="s">
        <v>96</v>
      </c>
      <c r="T347" s="15" t="str">
        <f aca="false">IF(R347="維持",J347,IF(R347="排除","無關新聞事件",IFERROR(INDEX(事件規則!$B$2:$B$53,MATCH(S347,事件規則!$A$2:$A$53,0)),"")))</f>
        <v>重大訴訟</v>
      </c>
      <c r="U347" s="20" t="n">
        <f aca="false">IF(R347="維持",K347,IF(R347="排除",0,IFERROR(INDEX(事件規則!$C$2:$C$53,MATCH(S347,事件規則!$A$2:$A$53,0)),"")))</f>
        <v>4</v>
      </c>
      <c r="V347" s="21"/>
      <c r="W347" s="22"/>
      <c r="X347" s="10" t="str">
        <f aca="false">IF(AND(R347="修改",S347=""),"請選新事件代碼",IF(AND(R347&lt;&gt;"修改",S347&lt;&gt;""),"只有「修改」才需填代碼",""))</f>
        <v/>
      </c>
      <c r="Y347" s="21"/>
      <c r="Z347" s="22"/>
      <c r="AA347" s="12" t="s">
        <v>1473</v>
      </c>
      <c r="AB347" s="12"/>
    </row>
    <row r="348" customFormat="false" ht="35.05" hidden="false" customHeight="false" outlineLevel="0" collapsed="false">
      <c r="A348" s="17" t="n">
        <v>347</v>
      </c>
      <c r="B348" s="9" t="s">
        <v>704</v>
      </c>
      <c r="C348" s="9" t="s">
        <v>370</v>
      </c>
      <c r="D348" s="10" t="s">
        <v>371</v>
      </c>
      <c r="E348" s="11" t="s">
        <v>1474</v>
      </c>
      <c r="F348" s="15"/>
      <c r="G348" s="12" t="s">
        <v>1475</v>
      </c>
      <c r="H348" s="13" t="n">
        <v>0.1</v>
      </c>
      <c r="I348" s="14" t="s">
        <v>695</v>
      </c>
      <c r="J348" s="15" t="s">
        <v>1180</v>
      </c>
      <c r="K348" s="9" t="n">
        <v>4</v>
      </c>
      <c r="L348" s="17"/>
      <c r="M348" s="16" t="s">
        <v>95</v>
      </c>
      <c r="N348" s="14" t="s">
        <v>96</v>
      </c>
      <c r="O348" s="17" t="s">
        <v>97</v>
      </c>
      <c r="P348" s="15" t="s">
        <v>1472</v>
      </c>
      <c r="Q348" s="17"/>
      <c r="R348" s="18" t="s">
        <v>95</v>
      </c>
      <c r="S348" s="19" t="s">
        <v>96</v>
      </c>
      <c r="T348" s="15" t="str">
        <f aca="false">IF(R348="維持",J348,IF(R348="排除","無關新聞事件",IFERROR(INDEX(事件規則!$B$2:$B$53,MATCH(S348,事件規則!$A$2:$A$53,0)),"")))</f>
        <v>重大訴訟</v>
      </c>
      <c r="U348" s="20" t="n">
        <f aca="false">IF(R348="維持",K348,IF(R348="排除",0,IFERROR(INDEX(事件規則!$C$2:$C$53,MATCH(S348,事件規則!$A$2:$A$53,0)),"")))</f>
        <v>4</v>
      </c>
      <c r="V348" s="21"/>
      <c r="W348" s="22"/>
      <c r="X348" s="10" t="str">
        <f aca="false">IF(AND(R348="修改",S348=""),"請選新事件代碼",IF(AND(R348&lt;&gt;"修改",S348&lt;&gt;""),"只有「修改」才需填代碼",""))</f>
        <v/>
      </c>
      <c r="Y348" s="21"/>
      <c r="Z348" s="22"/>
      <c r="AA348" s="12" t="s">
        <v>1476</v>
      </c>
      <c r="AB348" s="12"/>
    </row>
    <row r="349" customFormat="false" ht="23.85" hidden="false" customHeight="false" outlineLevel="0" collapsed="false">
      <c r="A349" s="17" t="n">
        <v>348</v>
      </c>
      <c r="B349" s="9" t="s">
        <v>713</v>
      </c>
      <c r="C349" s="9" t="s">
        <v>443</v>
      </c>
      <c r="D349" s="10" t="s">
        <v>444</v>
      </c>
      <c r="E349" s="11" t="s">
        <v>1477</v>
      </c>
      <c r="F349" s="15"/>
      <c r="G349" s="12" t="s">
        <v>1478</v>
      </c>
      <c r="H349" s="13" t="n">
        <v>0.122</v>
      </c>
      <c r="I349" s="14" t="s">
        <v>695</v>
      </c>
      <c r="J349" s="15" t="s">
        <v>1180</v>
      </c>
      <c r="K349" s="9" t="n">
        <v>4</v>
      </c>
      <c r="L349" s="17"/>
      <c r="M349" s="16" t="s">
        <v>105</v>
      </c>
      <c r="N349" s="14"/>
      <c r="O349" s="17" t="s">
        <v>97</v>
      </c>
      <c r="P349" s="10" t="s">
        <v>1432</v>
      </c>
      <c r="Q349" s="17"/>
      <c r="R349" s="18" t="s">
        <v>105</v>
      </c>
      <c r="S349" s="19"/>
      <c r="T349" s="15" t="str">
        <f aca="false">IF(R349="維持",J349,IF(R349="排除","無關新聞事件",IFERROR(INDEX(事件規則!$B$2:$B$53,MATCH(S349,事件規則!$A$2:$A$53,0)),"")))</f>
        <v>監管裁罰</v>
      </c>
      <c r="U349" s="20" t="n">
        <f aca="false">IF(R349="維持",K349,IF(R349="排除",0,IFERROR(INDEX(事件規則!$C$2:$C$53,MATCH(S349,事件規則!$A$2:$A$53,0)),"")))</f>
        <v>4</v>
      </c>
      <c r="V349" s="21"/>
      <c r="W349" s="22"/>
      <c r="X349" s="10" t="str">
        <f aca="false">IF(AND(R349="修改",S349=""),"請選新事件代碼",IF(AND(R349&lt;&gt;"修改",S349&lt;&gt;""),"只有「修改」才需填代碼",""))</f>
        <v/>
      </c>
      <c r="Y349" s="21"/>
      <c r="Z349" s="22"/>
      <c r="AA349" s="12" t="s">
        <v>1479</v>
      </c>
      <c r="AB349" s="12"/>
    </row>
    <row r="350" customFormat="false" ht="29.85" hidden="false" customHeight="false" outlineLevel="0" collapsed="false">
      <c r="A350" s="17" t="n">
        <v>349</v>
      </c>
      <c r="B350" s="9" t="s">
        <v>1480</v>
      </c>
      <c r="C350" s="9" t="s">
        <v>665</v>
      </c>
      <c r="D350" s="10" t="s">
        <v>666</v>
      </c>
      <c r="E350" s="11" t="s">
        <v>1481</v>
      </c>
      <c r="F350" s="15"/>
      <c r="G350" s="12" t="s">
        <v>1424</v>
      </c>
      <c r="H350" s="13" t="n">
        <v>0.204</v>
      </c>
      <c r="I350" s="14" t="s">
        <v>695</v>
      </c>
      <c r="J350" s="15" t="s">
        <v>1180</v>
      </c>
      <c r="K350" s="9" t="n">
        <v>4</v>
      </c>
      <c r="L350" s="17"/>
      <c r="M350" s="16" t="s">
        <v>53</v>
      </c>
      <c r="N350" s="14"/>
      <c r="O350" s="17" t="s">
        <v>97</v>
      </c>
      <c r="P350" s="15" t="s">
        <v>1316</v>
      </c>
      <c r="Q350" s="17"/>
      <c r="R350" s="18" t="s">
        <v>53</v>
      </c>
      <c r="S350" s="19"/>
      <c r="T350" s="15" t="str">
        <f aca="false">IF(R350="維持",J350,IF(R350="排除","無關新聞事件",IFERROR(INDEX(事件規則!$B$2:$B$53,MATCH(S350,事件規則!$A$2:$A$53,0)),"")))</f>
        <v>無關新聞事件</v>
      </c>
      <c r="U350" s="20" t="n">
        <f aca="false">IF(R350="維持",K350,IF(R350="排除",0,IFERROR(INDEX(事件規則!$C$2:$C$53,MATCH(S350,事件規則!$A$2:$A$53,0)),"")))</f>
        <v>0</v>
      </c>
      <c r="V350" s="21"/>
      <c r="W350" s="22"/>
      <c r="X350" s="10" t="str">
        <f aca="false">IF(AND(R350="修改",S350=""),"請選新事件代碼",IF(AND(R350&lt;&gt;"修改",S350&lt;&gt;""),"只有「修改」才需填代碼",""))</f>
        <v/>
      </c>
      <c r="Y350" s="21"/>
      <c r="Z350" s="22"/>
      <c r="AA350" s="12" t="s">
        <v>1482</v>
      </c>
      <c r="AB350" s="12"/>
    </row>
    <row r="351" customFormat="false" ht="23.85" hidden="false" customHeight="false" outlineLevel="0" collapsed="false">
      <c r="A351" s="17" t="n">
        <v>350</v>
      </c>
      <c r="B351" s="9" t="s">
        <v>1480</v>
      </c>
      <c r="C351" s="9" t="s">
        <v>443</v>
      </c>
      <c r="D351" s="10" t="s">
        <v>444</v>
      </c>
      <c r="E351" s="11" t="s">
        <v>1483</v>
      </c>
      <c r="F351" s="15"/>
      <c r="G351" s="12" t="s">
        <v>1484</v>
      </c>
      <c r="H351" s="13" t="n">
        <v>0.099</v>
      </c>
      <c r="I351" s="14" t="s">
        <v>695</v>
      </c>
      <c r="J351" s="15" t="s">
        <v>1180</v>
      </c>
      <c r="K351" s="9" t="n">
        <v>4</v>
      </c>
      <c r="L351" s="17"/>
      <c r="M351" s="16" t="s">
        <v>105</v>
      </c>
      <c r="N351" s="14"/>
      <c r="O351" s="17" t="s">
        <v>97</v>
      </c>
      <c r="P351" s="10" t="s">
        <v>1432</v>
      </c>
      <c r="Q351" s="17"/>
      <c r="R351" s="18" t="s">
        <v>105</v>
      </c>
      <c r="S351" s="19"/>
      <c r="T351" s="15" t="str">
        <f aca="false">IF(R351="維持",J351,IF(R351="排除","無關新聞事件",IFERROR(INDEX(事件規則!$B$2:$B$53,MATCH(S351,事件規則!$A$2:$A$53,0)),"")))</f>
        <v>監管裁罰</v>
      </c>
      <c r="U351" s="20" t="n">
        <f aca="false">IF(R351="維持",K351,IF(R351="排除",0,IFERROR(INDEX(事件規則!$C$2:$C$53,MATCH(S351,事件規則!$A$2:$A$53,0)),"")))</f>
        <v>4</v>
      </c>
      <c r="V351" s="21"/>
      <c r="W351" s="22"/>
      <c r="X351" s="10" t="str">
        <f aca="false">IF(AND(R351="修改",S351=""),"請選新事件代碼",IF(AND(R351&lt;&gt;"修改",S351&lt;&gt;""),"只有「修改」才需填代碼",""))</f>
        <v/>
      </c>
      <c r="Y351" s="21"/>
      <c r="Z351" s="22"/>
      <c r="AA351" s="12" t="s">
        <v>1485</v>
      </c>
      <c r="AB351" s="12"/>
    </row>
    <row r="352" customFormat="false" ht="29.85" hidden="false" customHeight="false" outlineLevel="0" collapsed="false">
      <c r="A352" s="17" t="n">
        <v>351</v>
      </c>
      <c r="B352" s="9" t="s">
        <v>1480</v>
      </c>
      <c r="C352" s="9" t="s">
        <v>80</v>
      </c>
      <c r="D352" s="10" t="s">
        <v>81</v>
      </c>
      <c r="E352" s="11" t="s">
        <v>1486</v>
      </c>
      <c r="F352" s="15"/>
      <c r="G352" s="12" t="s">
        <v>1487</v>
      </c>
      <c r="H352" s="13" t="n">
        <v>-0.678</v>
      </c>
      <c r="I352" s="14" t="s">
        <v>695</v>
      </c>
      <c r="J352" s="15" t="s">
        <v>1180</v>
      </c>
      <c r="K352" s="9" t="n">
        <v>4</v>
      </c>
      <c r="L352" s="17"/>
      <c r="M352" s="16" t="s">
        <v>105</v>
      </c>
      <c r="N352" s="14"/>
      <c r="O352" s="17" t="s">
        <v>54</v>
      </c>
      <c r="P352" s="10" t="s">
        <v>1488</v>
      </c>
      <c r="Q352" s="17"/>
      <c r="R352" s="18" t="s">
        <v>105</v>
      </c>
      <c r="S352" s="19"/>
      <c r="T352" s="15" t="str">
        <f aca="false">IF(R352="維持",J352,IF(R352="排除","無關新聞事件",IFERROR(INDEX(事件規則!$B$2:$B$53,MATCH(S352,事件規則!$A$2:$A$53,0)),"")))</f>
        <v>監管裁罰</v>
      </c>
      <c r="U352" s="20" t="n">
        <f aca="false">IF(R352="維持",K352,IF(R352="排除",0,IFERROR(INDEX(事件規則!$C$2:$C$53,MATCH(S352,事件規則!$A$2:$A$53,0)),"")))</f>
        <v>4</v>
      </c>
      <c r="V352" s="21"/>
      <c r="W352" s="22"/>
      <c r="X352" s="10" t="str">
        <f aca="false">IF(AND(R352="修改",S352=""),"請選新事件代碼",IF(AND(R352&lt;&gt;"修改",S352&lt;&gt;""),"只有「修改」才需填代碼",""))</f>
        <v/>
      </c>
      <c r="Y352" s="21"/>
      <c r="Z352" s="22"/>
      <c r="AA352" s="12" t="s">
        <v>1489</v>
      </c>
      <c r="AB352" s="12"/>
    </row>
    <row r="353" customFormat="false" ht="29.85" hidden="false" customHeight="false" outlineLevel="0" collapsed="false">
      <c r="A353" s="17" t="n">
        <v>352</v>
      </c>
      <c r="B353" s="9" t="s">
        <v>1480</v>
      </c>
      <c r="C353" s="9" t="s">
        <v>443</v>
      </c>
      <c r="D353" s="10" t="s">
        <v>444</v>
      </c>
      <c r="E353" s="11" t="s">
        <v>1490</v>
      </c>
      <c r="F353" s="15"/>
      <c r="G353" s="12" t="s">
        <v>1491</v>
      </c>
      <c r="H353" s="13" t="n">
        <v>0.477</v>
      </c>
      <c r="I353" s="14" t="s">
        <v>695</v>
      </c>
      <c r="J353" s="15" t="s">
        <v>1180</v>
      </c>
      <c r="K353" s="9" t="n">
        <v>4</v>
      </c>
      <c r="L353" s="17"/>
      <c r="M353" s="16" t="s">
        <v>105</v>
      </c>
      <c r="N353" s="14"/>
      <c r="O353" s="17" t="s">
        <v>54</v>
      </c>
      <c r="P353" s="10" t="s">
        <v>1419</v>
      </c>
      <c r="Q353" s="17"/>
      <c r="R353" s="18" t="s">
        <v>105</v>
      </c>
      <c r="S353" s="19"/>
      <c r="T353" s="15" t="str">
        <f aca="false">IF(R353="維持",J353,IF(R353="排除","無關新聞事件",IFERROR(INDEX(事件規則!$B$2:$B$53,MATCH(S353,事件規則!$A$2:$A$53,0)),"")))</f>
        <v>監管裁罰</v>
      </c>
      <c r="U353" s="20" t="n">
        <f aca="false">IF(R353="維持",K353,IF(R353="排除",0,IFERROR(INDEX(事件規則!$C$2:$C$53,MATCH(S353,事件規則!$A$2:$A$53,0)),"")))</f>
        <v>4</v>
      </c>
      <c r="V353" s="21"/>
      <c r="W353" s="22"/>
      <c r="X353" s="10" t="str">
        <f aca="false">IF(AND(R353="修改",S353=""),"請選新事件代碼",IF(AND(R353&lt;&gt;"修改",S353&lt;&gt;""),"只有「修改」才需填代碼",""))</f>
        <v/>
      </c>
      <c r="Y353" s="21"/>
      <c r="Z353" s="22"/>
      <c r="AA353" s="12" t="s">
        <v>1492</v>
      </c>
      <c r="AB353" s="12"/>
    </row>
    <row r="354" customFormat="false" ht="29.85" hidden="false" customHeight="false" outlineLevel="0" collapsed="false">
      <c r="A354" s="17" t="n">
        <v>353</v>
      </c>
      <c r="B354" s="9" t="s">
        <v>727</v>
      </c>
      <c r="C354" s="9" t="s">
        <v>119</v>
      </c>
      <c r="D354" s="10" t="s">
        <v>120</v>
      </c>
      <c r="E354" s="11" t="s">
        <v>1493</v>
      </c>
      <c r="F354" s="15"/>
      <c r="G354" s="12" t="s">
        <v>1494</v>
      </c>
      <c r="H354" s="13" t="n">
        <v>0.807</v>
      </c>
      <c r="I354" s="14" t="s">
        <v>695</v>
      </c>
      <c r="J354" s="15" t="s">
        <v>1180</v>
      </c>
      <c r="K354" s="9" t="n">
        <v>4</v>
      </c>
      <c r="L354" s="17"/>
      <c r="M354" s="16" t="s">
        <v>53</v>
      </c>
      <c r="N354" s="14"/>
      <c r="O354" s="17" t="s">
        <v>97</v>
      </c>
      <c r="P354" s="10" t="s">
        <v>1379</v>
      </c>
      <c r="Q354" s="17"/>
      <c r="R354" s="18" t="s">
        <v>53</v>
      </c>
      <c r="S354" s="19"/>
      <c r="T354" s="15" t="str">
        <f aca="false">IF(R354="維持",J354,IF(R354="排除","無關新聞事件",IFERROR(INDEX(事件規則!$B$2:$B$53,MATCH(S354,事件規則!$A$2:$A$53,0)),"")))</f>
        <v>無關新聞事件</v>
      </c>
      <c r="U354" s="20" t="n">
        <f aca="false">IF(R354="維持",K354,IF(R354="排除",0,IFERROR(INDEX(事件規則!$C$2:$C$53,MATCH(S354,事件規則!$A$2:$A$53,0)),"")))</f>
        <v>0</v>
      </c>
      <c r="V354" s="21"/>
      <c r="W354" s="22"/>
      <c r="X354" s="10" t="str">
        <f aca="false">IF(AND(R354="修改",S354=""),"請選新事件代碼",IF(AND(R354&lt;&gt;"修改",S354&lt;&gt;""),"只有「修改」才需填代碼",""))</f>
        <v/>
      </c>
      <c r="Y354" s="21"/>
      <c r="Z354" s="22"/>
      <c r="AA354" s="12" t="s">
        <v>1495</v>
      </c>
      <c r="AB354" s="12"/>
    </row>
    <row r="355" customFormat="false" ht="35.05" hidden="false" customHeight="false" outlineLevel="0" collapsed="false">
      <c r="A355" s="17" t="n">
        <v>354</v>
      </c>
      <c r="B355" s="9" t="s">
        <v>727</v>
      </c>
      <c r="C355" s="9" t="s">
        <v>113</v>
      </c>
      <c r="D355" s="10" t="s">
        <v>114</v>
      </c>
      <c r="E355" s="11" t="s">
        <v>1496</v>
      </c>
      <c r="F355" s="15"/>
      <c r="G355" s="12" t="s">
        <v>1497</v>
      </c>
      <c r="H355" s="13" t="n">
        <v>-0.04</v>
      </c>
      <c r="I355" s="14" t="s">
        <v>695</v>
      </c>
      <c r="J355" s="15" t="s">
        <v>1180</v>
      </c>
      <c r="K355" s="9" t="n">
        <v>4</v>
      </c>
      <c r="L355" s="17"/>
      <c r="M355" s="16" t="s">
        <v>105</v>
      </c>
      <c r="N355" s="14"/>
      <c r="O355" s="17" t="s">
        <v>54</v>
      </c>
      <c r="P355" s="10" t="s">
        <v>1498</v>
      </c>
      <c r="Q355" s="17"/>
      <c r="R355" s="18" t="s">
        <v>105</v>
      </c>
      <c r="S355" s="19"/>
      <c r="T355" s="15" t="str">
        <f aca="false">IF(R355="維持",J355,IF(R355="排除","無關新聞事件",IFERROR(INDEX(事件規則!$B$2:$B$53,MATCH(S355,事件規則!$A$2:$A$53,0)),"")))</f>
        <v>監管裁罰</v>
      </c>
      <c r="U355" s="20" t="n">
        <f aca="false">IF(R355="維持",K355,IF(R355="排除",0,IFERROR(INDEX(事件規則!$C$2:$C$53,MATCH(S355,事件規則!$A$2:$A$53,0)),"")))</f>
        <v>4</v>
      </c>
      <c r="V355" s="21"/>
      <c r="W355" s="22"/>
      <c r="X355" s="10" t="str">
        <f aca="false">IF(AND(R355="修改",S355=""),"請選新事件代碼",IF(AND(R355&lt;&gt;"修改",S355&lt;&gt;""),"只有「修改」才需填代碼",""))</f>
        <v/>
      </c>
      <c r="Y355" s="21"/>
      <c r="Z355" s="22"/>
      <c r="AA355" s="12" t="s">
        <v>1499</v>
      </c>
      <c r="AB355" s="12"/>
    </row>
    <row r="356" customFormat="false" ht="23.85" hidden="false" customHeight="false" outlineLevel="0" collapsed="false">
      <c r="A356" s="17" t="n">
        <v>355</v>
      </c>
      <c r="B356" s="9" t="s">
        <v>219</v>
      </c>
      <c r="C356" s="9" t="s">
        <v>443</v>
      </c>
      <c r="D356" s="10" t="s">
        <v>444</v>
      </c>
      <c r="E356" s="11" t="s">
        <v>1500</v>
      </c>
      <c r="F356" s="15"/>
      <c r="G356" s="12" t="s">
        <v>1438</v>
      </c>
      <c r="H356" s="13" t="n">
        <v>0.023</v>
      </c>
      <c r="I356" s="14" t="s">
        <v>695</v>
      </c>
      <c r="J356" s="15" t="s">
        <v>1180</v>
      </c>
      <c r="K356" s="9" t="n">
        <v>4</v>
      </c>
      <c r="L356" s="17"/>
      <c r="M356" s="16" t="s">
        <v>105</v>
      </c>
      <c r="N356" s="14"/>
      <c r="O356" s="17" t="s">
        <v>97</v>
      </c>
      <c r="P356" s="10" t="s">
        <v>1432</v>
      </c>
      <c r="Q356" s="17"/>
      <c r="R356" s="18" t="s">
        <v>105</v>
      </c>
      <c r="S356" s="19"/>
      <c r="T356" s="15" t="str">
        <f aca="false">IF(R356="維持",J356,IF(R356="排除","無關新聞事件",IFERROR(INDEX(事件規則!$B$2:$B$53,MATCH(S356,事件規則!$A$2:$A$53,0)),"")))</f>
        <v>監管裁罰</v>
      </c>
      <c r="U356" s="20" t="n">
        <f aca="false">IF(R356="維持",K356,IF(R356="排除",0,IFERROR(INDEX(事件規則!$C$2:$C$53,MATCH(S356,事件規則!$A$2:$A$53,0)),"")))</f>
        <v>4</v>
      </c>
      <c r="V356" s="21"/>
      <c r="W356" s="22"/>
      <c r="X356" s="10" t="str">
        <f aca="false">IF(AND(R356="修改",S356=""),"請選新事件代碼",IF(AND(R356&lt;&gt;"修改",S356&lt;&gt;""),"只有「修改」才需填代碼",""))</f>
        <v/>
      </c>
      <c r="Y356" s="21"/>
      <c r="Z356" s="22"/>
      <c r="AA356" s="12" t="s">
        <v>1501</v>
      </c>
      <c r="AB356" s="12"/>
    </row>
    <row r="357" customFormat="false" ht="23.85" hidden="false" customHeight="false" outlineLevel="0" collapsed="false">
      <c r="A357" s="17" t="n">
        <v>356</v>
      </c>
      <c r="B357" s="9" t="s">
        <v>219</v>
      </c>
      <c r="C357" s="9" t="s">
        <v>443</v>
      </c>
      <c r="D357" s="10" t="s">
        <v>444</v>
      </c>
      <c r="E357" s="11" t="s">
        <v>1502</v>
      </c>
      <c r="F357" s="15"/>
      <c r="G357" s="12" t="s">
        <v>1503</v>
      </c>
      <c r="H357" s="13" t="n">
        <v>0.018</v>
      </c>
      <c r="I357" s="14" t="s">
        <v>695</v>
      </c>
      <c r="J357" s="15" t="s">
        <v>1180</v>
      </c>
      <c r="K357" s="9" t="n">
        <v>4</v>
      </c>
      <c r="L357" s="17"/>
      <c r="M357" s="16" t="s">
        <v>105</v>
      </c>
      <c r="N357" s="14"/>
      <c r="O357" s="17" t="s">
        <v>97</v>
      </c>
      <c r="P357" s="10" t="s">
        <v>1432</v>
      </c>
      <c r="Q357" s="17"/>
      <c r="R357" s="18" t="s">
        <v>105</v>
      </c>
      <c r="S357" s="19"/>
      <c r="T357" s="15" t="str">
        <f aca="false">IF(R357="維持",J357,IF(R357="排除","無關新聞事件",IFERROR(INDEX(事件規則!$B$2:$B$53,MATCH(S357,事件規則!$A$2:$A$53,0)),"")))</f>
        <v>監管裁罰</v>
      </c>
      <c r="U357" s="20" t="n">
        <f aca="false">IF(R357="維持",K357,IF(R357="排除",0,IFERROR(INDEX(事件規則!$C$2:$C$53,MATCH(S357,事件規則!$A$2:$A$53,0)),"")))</f>
        <v>4</v>
      </c>
      <c r="V357" s="21"/>
      <c r="W357" s="22"/>
      <c r="X357" s="10" t="str">
        <f aca="false">IF(AND(R357="修改",S357=""),"請選新事件代碼",IF(AND(R357&lt;&gt;"修改",S357&lt;&gt;""),"只有「修改」才需填代碼",""))</f>
        <v/>
      </c>
      <c r="Y357" s="21"/>
      <c r="Z357" s="22"/>
      <c r="AA357" s="12" t="s">
        <v>1504</v>
      </c>
      <c r="AB357" s="12"/>
    </row>
    <row r="358" customFormat="false" ht="23.85" hidden="false" customHeight="false" outlineLevel="0" collapsed="false">
      <c r="A358" s="17" t="n">
        <v>357</v>
      </c>
      <c r="B358" s="9" t="s">
        <v>219</v>
      </c>
      <c r="C358" s="9" t="s">
        <v>443</v>
      </c>
      <c r="D358" s="10" t="s">
        <v>444</v>
      </c>
      <c r="E358" s="11" t="s">
        <v>1505</v>
      </c>
      <c r="F358" s="15"/>
      <c r="G358" s="12" t="s">
        <v>140</v>
      </c>
      <c r="H358" s="13" t="n">
        <v>0.885</v>
      </c>
      <c r="I358" s="14" t="s">
        <v>695</v>
      </c>
      <c r="J358" s="15" t="s">
        <v>1180</v>
      </c>
      <c r="K358" s="9" t="n">
        <v>4</v>
      </c>
      <c r="L358" s="17"/>
      <c r="M358" s="16" t="s">
        <v>105</v>
      </c>
      <c r="N358" s="14"/>
      <c r="O358" s="17" t="s">
        <v>97</v>
      </c>
      <c r="P358" s="10" t="s">
        <v>1432</v>
      </c>
      <c r="Q358" s="17"/>
      <c r="R358" s="18" t="s">
        <v>105</v>
      </c>
      <c r="S358" s="19"/>
      <c r="T358" s="15" t="str">
        <f aca="false">IF(R358="維持",J358,IF(R358="排除","無關新聞事件",IFERROR(INDEX(事件規則!$B$2:$B$53,MATCH(S358,事件規則!$A$2:$A$53,0)),"")))</f>
        <v>監管裁罰</v>
      </c>
      <c r="U358" s="20" t="n">
        <f aca="false">IF(R358="維持",K358,IF(R358="排除",0,IFERROR(INDEX(事件規則!$C$2:$C$53,MATCH(S358,事件規則!$A$2:$A$53,0)),"")))</f>
        <v>4</v>
      </c>
      <c r="V358" s="21"/>
      <c r="W358" s="22"/>
      <c r="X358" s="10" t="str">
        <f aca="false">IF(AND(R358="修改",S358=""),"請選新事件代碼",IF(AND(R358&lt;&gt;"修改",S358&lt;&gt;""),"只有「修改」才需填代碼",""))</f>
        <v/>
      </c>
      <c r="Y358" s="21"/>
      <c r="Z358" s="22"/>
      <c r="AA358" s="12" t="s">
        <v>1506</v>
      </c>
      <c r="AB358" s="12"/>
    </row>
    <row r="359" customFormat="false" ht="23.85" hidden="false" customHeight="false" outlineLevel="0" collapsed="false">
      <c r="A359" s="17" t="n">
        <v>358</v>
      </c>
      <c r="B359" s="9" t="s">
        <v>219</v>
      </c>
      <c r="C359" s="9" t="s">
        <v>443</v>
      </c>
      <c r="D359" s="10" t="s">
        <v>444</v>
      </c>
      <c r="E359" s="11" t="s">
        <v>1507</v>
      </c>
      <c r="F359" s="15"/>
      <c r="G359" s="12" t="s">
        <v>297</v>
      </c>
      <c r="H359" s="13" t="n">
        <v>0.001</v>
      </c>
      <c r="I359" s="14" t="s">
        <v>695</v>
      </c>
      <c r="J359" s="15" t="s">
        <v>1180</v>
      </c>
      <c r="K359" s="9" t="n">
        <v>4</v>
      </c>
      <c r="L359" s="17"/>
      <c r="M359" s="16" t="s">
        <v>105</v>
      </c>
      <c r="N359" s="14"/>
      <c r="O359" s="17" t="s">
        <v>97</v>
      </c>
      <c r="P359" s="10" t="s">
        <v>1432</v>
      </c>
      <c r="Q359" s="17"/>
      <c r="R359" s="18" t="s">
        <v>105</v>
      </c>
      <c r="S359" s="19"/>
      <c r="T359" s="15" t="str">
        <f aca="false">IF(R359="維持",J359,IF(R359="排除","無關新聞事件",IFERROR(INDEX(事件規則!$B$2:$B$53,MATCH(S359,事件規則!$A$2:$A$53,0)),"")))</f>
        <v>監管裁罰</v>
      </c>
      <c r="U359" s="20" t="n">
        <f aca="false">IF(R359="維持",K359,IF(R359="排除",0,IFERROR(INDEX(事件規則!$C$2:$C$53,MATCH(S359,事件規則!$A$2:$A$53,0)),"")))</f>
        <v>4</v>
      </c>
      <c r="V359" s="21"/>
      <c r="W359" s="22"/>
      <c r="X359" s="10" t="str">
        <f aca="false">IF(AND(R359="修改",S359=""),"請選新事件代碼",IF(AND(R359&lt;&gt;"修改",S359&lt;&gt;""),"只有「修改」才需填代碼",""))</f>
        <v/>
      </c>
      <c r="Y359" s="21"/>
      <c r="Z359" s="22"/>
      <c r="AA359" s="12" t="s">
        <v>1508</v>
      </c>
      <c r="AB359" s="12"/>
    </row>
    <row r="360" customFormat="false" ht="29.85" hidden="false" customHeight="false" outlineLevel="0" collapsed="false">
      <c r="A360" s="17" t="n">
        <v>359</v>
      </c>
      <c r="B360" s="9" t="s">
        <v>219</v>
      </c>
      <c r="C360" s="9" t="s">
        <v>1509</v>
      </c>
      <c r="D360" s="10" t="s">
        <v>1510</v>
      </c>
      <c r="E360" s="11" t="s">
        <v>1511</v>
      </c>
      <c r="F360" s="15"/>
      <c r="G360" s="12" t="s">
        <v>1512</v>
      </c>
      <c r="H360" s="13" t="n">
        <v>0.186</v>
      </c>
      <c r="I360" s="14" t="s">
        <v>695</v>
      </c>
      <c r="J360" s="15" t="s">
        <v>1180</v>
      </c>
      <c r="K360" s="9" t="n">
        <v>4</v>
      </c>
      <c r="L360" s="17"/>
      <c r="M360" s="16" t="s">
        <v>53</v>
      </c>
      <c r="N360" s="14"/>
      <c r="O360" s="17" t="s">
        <v>54</v>
      </c>
      <c r="P360" s="10" t="s">
        <v>1513</v>
      </c>
      <c r="Q360" s="17"/>
      <c r="R360" s="18" t="s">
        <v>53</v>
      </c>
      <c r="S360" s="19"/>
      <c r="T360" s="15" t="str">
        <f aca="false">IF(R360="維持",J360,IF(R360="排除","無關新聞事件",IFERROR(INDEX(事件規則!$B$2:$B$53,MATCH(S360,事件規則!$A$2:$A$53,0)),"")))</f>
        <v>無關新聞事件</v>
      </c>
      <c r="U360" s="20" t="n">
        <f aca="false">IF(R360="維持",K360,IF(R360="排除",0,IFERROR(INDEX(事件規則!$C$2:$C$53,MATCH(S360,事件規則!$A$2:$A$53,0)),"")))</f>
        <v>0</v>
      </c>
      <c r="V360" s="21"/>
      <c r="W360" s="22"/>
      <c r="X360" s="10" t="str">
        <f aca="false">IF(AND(R360="修改",S360=""),"請選新事件代碼",IF(AND(R360&lt;&gt;"修改",S360&lt;&gt;""),"只有「修改」才需填代碼",""))</f>
        <v/>
      </c>
      <c r="Y360" s="21"/>
      <c r="Z360" s="22"/>
      <c r="AA360" s="12" t="s">
        <v>1514</v>
      </c>
      <c r="AB360" s="12"/>
    </row>
    <row r="361" customFormat="false" ht="23.85" hidden="false" customHeight="false" outlineLevel="0" collapsed="false">
      <c r="A361" s="17" t="n">
        <v>360</v>
      </c>
      <c r="B361" s="9" t="s">
        <v>749</v>
      </c>
      <c r="C361" s="9" t="s">
        <v>443</v>
      </c>
      <c r="D361" s="10" t="s">
        <v>444</v>
      </c>
      <c r="E361" s="11" t="s">
        <v>1515</v>
      </c>
      <c r="F361" s="15"/>
      <c r="G361" s="12" t="s">
        <v>1516</v>
      </c>
      <c r="H361" s="13" t="n">
        <v>-0.138</v>
      </c>
      <c r="I361" s="14" t="s">
        <v>695</v>
      </c>
      <c r="J361" s="15" t="s">
        <v>1180</v>
      </c>
      <c r="K361" s="9" t="n">
        <v>4</v>
      </c>
      <c r="L361" s="17"/>
      <c r="M361" s="16" t="s">
        <v>105</v>
      </c>
      <c r="N361" s="14"/>
      <c r="O361" s="17" t="s">
        <v>97</v>
      </c>
      <c r="P361" s="10" t="s">
        <v>1432</v>
      </c>
      <c r="Q361" s="17"/>
      <c r="R361" s="18" t="s">
        <v>105</v>
      </c>
      <c r="S361" s="19"/>
      <c r="T361" s="15" t="str">
        <f aca="false">IF(R361="維持",J361,IF(R361="排除","無關新聞事件",IFERROR(INDEX(事件規則!$B$2:$B$53,MATCH(S361,事件規則!$A$2:$A$53,0)),"")))</f>
        <v>監管裁罰</v>
      </c>
      <c r="U361" s="20" t="n">
        <f aca="false">IF(R361="維持",K361,IF(R361="排除",0,IFERROR(INDEX(事件規則!$C$2:$C$53,MATCH(S361,事件規則!$A$2:$A$53,0)),"")))</f>
        <v>4</v>
      </c>
      <c r="V361" s="21"/>
      <c r="W361" s="22"/>
      <c r="X361" s="10" t="str">
        <f aca="false">IF(AND(R361="修改",S361=""),"請選新事件代碼",IF(AND(R361&lt;&gt;"修改",S361&lt;&gt;""),"只有「修改」才需填代碼",""))</f>
        <v/>
      </c>
      <c r="Y361" s="21"/>
      <c r="Z361" s="22"/>
      <c r="AA361" s="12" t="s">
        <v>1517</v>
      </c>
      <c r="AB361" s="12"/>
    </row>
    <row r="362" customFormat="false" ht="23.85" hidden="false" customHeight="false" outlineLevel="0" collapsed="false">
      <c r="A362" s="17" t="n">
        <v>361</v>
      </c>
      <c r="B362" s="9" t="s">
        <v>749</v>
      </c>
      <c r="C362" s="9" t="s">
        <v>443</v>
      </c>
      <c r="D362" s="10" t="s">
        <v>444</v>
      </c>
      <c r="E362" s="11" t="s">
        <v>1518</v>
      </c>
      <c r="F362" s="15"/>
      <c r="G362" s="12" t="s">
        <v>140</v>
      </c>
      <c r="H362" s="13" t="n">
        <v>0.901</v>
      </c>
      <c r="I362" s="14" t="s">
        <v>695</v>
      </c>
      <c r="J362" s="15" t="s">
        <v>1180</v>
      </c>
      <c r="K362" s="9" t="n">
        <v>4</v>
      </c>
      <c r="L362" s="17"/>
      <c r="M362" s="16" t="s">
        <v>105</v>
      </c>
      <c r="N362" s="14"/>
      <c r="O362" s="17" t="s">
        <v>97</v>
      </c>
      <c r="P362" s="15" t="s">
        <v>1519</v>
      </c>
      <c r="Q362" s="17"/>
      <c r="R362" s="18" t="s">
        <v>105</v>
      </c>
      <c r="S362" s="19"/>
      <c r="T362" s="15" t="str">
        <f aca="false">IF(R362="維持",J362,IF(R362="排除","無關新聞事件",IFERROR(INDEX(事件規則!$B$2:$B$53,MATCH(S362,事件規則!$A$2:$A$53,0)),"")))</f>
        <v>監管裁罰</v>
      </c>
      <c r="U362" s="20" t="n">
        <f aca="false">IF(R362="維持",K362,IF(R362="排除",0,IFERROR(INDEX(事件規則!$C$2:$C$53,MATCH(S362,事件規則!$A$2:$A$53,0)),"")))</f>
        <v>4</v>
      </c>
      <c r="V362" s="21"/>
      <c r="W362" s="22"/>
      <c r="X362" s="10" t="str">
        <f aca="false">IF(AND(R362="修改",S362=""),"請選新事件代碼",IF(AND(R362&lt;&gt;"修改",S362&lt;&gt;""),"只有「修改」才需填代碼",""))</f>
        <v/>
      </c>
      <c r="Y362" s="21"/>
      <c r="Z362" s="22"/>
      <c r="AA362" s="12" t="s">
        <v>1520</v>
      </c>
      <c r="AB362" s="12"/>
    </row>
    <row r="363" customFormat="false" ht="29.85" hidden="false" customHeight="false" outlineLevel="0" collapsed="false">
      <c r="A363" s="17" t="n">
        <v>362</v>
      </c>
      <c r="B363" s="9" t="s">
        <v>749</v>
      </c>
      <c r="C363" s="9" t="s">
        <v>1521</v>
      </c>
      <c r="D363" s="10" t="s">
        <v>1522</v>
      </c>
      <c r="E363" s="11" t="s">
        <v>1518</v>
      </c>
      <c r="F363" s="15"/>
      <c r="G363" s="12" t="s">
        <v>140</v>
      </c>
      <c r="H363" s="13" t="n">
        <v>0.901</v>
      </c>
      <c r="I363" s="14" t="s">
        <v>695</v>
      </c>
      <c r="J363" s="15" t="s">
        <v>1180</v>
      </c>
      <c r="K363" s="9" t="n">
        <v>4</v>
      </c>
      <c r="L363" s="17"/>
      <c r="M363" s="16" t="s">
        <v>53</v>
      </c>
      <c r="N363" s="14"/>
      <c r="O363" s="17" t="s">
        <v>54</v>
      </c>
      <c r="P363" s="15" t="s">
        <v>1523</v>
      </c>
      <c r="Q363" s="17"/>
      <c r="R363" s="18" t="s">
        <v>53</v>
      </c>
      <c r="S363" s="19"/>
      <c r="T363" s="15" t="str">
        <f aca="false">IF(R363="維持",J363,IF(R363="排除","無關新聞事件",IFERROR(INDEX(事件規則!$B$2:$B$53,MATCH(S363,事件規則!$A$2:$A$53,0)),"")))</f>
        <v>無關新聞事件</v>
      </c>
      <c r="U363" s="20" t="n">
        <f aca="false">IF(R363="維持",K363,IF(R363="排除",0,IFERROR(INDEX(事件規則!$C$2:$C$53,MATCH(S363,事件規則!$A$2:$A$53,0)),"")))</f>
        <v>0</v>
      </c>
      <c r="V363" s="21"/>
      <c r="W363" s="22"/>
      <c r="X363" s="10" t="str">
        <f aca="false">IF(AND(R363="修改",S363=""),"請選新事件代碼",IF(AND(R363&lt;&gt;"修改",S363&lt;&gt;""),"只有「修改」才需填代碼",""))</f>
        <v/>
      </c>
      <c r="Y363" s="21"/>
      <c r="Z363" s="22"/>
      <c r="AA363" s="12" t="s">
        <v>1524</v>
      </c>
      <c r="AB363" s="12"/>
    </row>
    <row r="364" customFormat="false" ht="23.85" hidden="false" customHeight="false" outlineLevel="0" collapsed="false">
      <c r="A364" s="17" t="n">
        <v>363</v>
      </c>
      <c r="B364" s="9" t="s">
        <v>749</v>
      </c>
      <c r="C364" s="9" t="s">
        <v>443</v>
      </c>
      <c r="D364" s="10" t="s">
        <v>444</v>
      </c>
      <c r="E364" s="11" t="s">
        <v>1525</v>
      </c>
      <c r="F364" s="15"/>
      <c r="G364" s="12" t="s">
        <v>1526</v>
      </c>
      <c r="H364" s="13" t="n">
        <v>-0.953</v>
      </c>
      <c r="I364" s="14" t="s">
        <v>695</v>
      </c>
      <c r="J364" s="15" t="s">
        <v>1180</v>
      </c>
      <c r="K364" s="9" t="n">
        <v>4</v>
      </c>
      <c r="L364" s="17"/>
      <c r="M364" s="16" t="s">
        <v>105</v>
      </c>
      <c r="N364" s="14"/>
      <c r="O364" s="17" t="s">
        <v>97</v>
      </c>
      <c r="P364" s="10" t="s">
        <v>1432</v>
      </c>
      <c r="Q364" s="17"/>
      <c r="R364" s="18" t="s">
        <v>105</v>
      </c>
      <c r="S364" s="19"/>
      <c r="T364" s="15" t="str">
        <f aca="false">IF(R364="維持",J364,IF(R364="排除","無關新聞事件",IFERROR(INDEX(事件規則!$B$2:$B$53,MATCH(S364,事件規則!$A$2:$A$53,0)),"")))</f>
        <v>監管裁罰</v>
      </c>
      <c r="U364" s="20" t="n">
        <f aca="false">IF(R364="維持",K364,IF(R364="排除",0,IFERROR(INDEX(事件規則!$C$2:$C$53,MATCH(S364,事件規則!$A$2:$A$53,0)),"")))</f>
        <v>4</v>
      </c>
      <c r="V364" s="21"/>
      <c r="W364" s="22"/>
      <c r="X364" s="10" t="str">
        <f aca="false">IF(AND(R364="修改",S364=""),"請選新事件代碼",IF(AND(R364&lt;&gt;"修改",S364&lt;&gt;""),"只有「修改」才需填代碼",""))</f>
        <v/>
      </c>
      <c r="Y364" s="21"/>
      <c r="Z364" s="22"/>
      <c r="AA364" s="12" t="s">
        <v>1527</v>
      </c>
      <c r="AB364" s="12"/>
    </row>
    <row r="365" customFormat="false" ht="29.85" hidden="false" customHeight="false" outlineLevel="0" collapsed="false">
      <c r="A365" s="17" t="n">
        <v>364</v>
      </c>
      <c r="B365" s="9" t="s">
        <v>749</v>
      </c>
      <c r="C365" s="9" t="s">
        <v>920</v>
      </c>
      <c r="D365" s="10" t="s">
        <v>921</v>
      </c>
      <c r="E365" s="11" t="s">
        <v>1528</v>
      </c>
      <c r="F365" s="15"/>
      <c r="G365" s="12" t="s">
        <v>1529</v>
      </c>
      <c r="H365" s="13" t="n">
        <v>-0.235</v>
      </c>
      <c r="I365" s="14" t="s">
        <v>695</v>
      </c>
      <c r="J365" s="15" t="s">
        <v>1180</v>
      </c>
      <c r="K365" s="9" t="n">
        <v>4</v>
      </c>
      <c r="L365" s="17"/>
      <c r="M365" s="16" t="s">
        <v>105</v>
      </c>
      <c r="N365" s="14"/>
      <c r="O365" s="17" t="s">
        <v>97</v>
      </c>
      <c r="P365" s="10" t="s">
        <v>1530</v>
      </c>
      <c r="Q365" s="17"/>
      <c r="R365" s="18" t="s">
        <v>105</v>
      </c>
      <c r="S365" s="19"/>
      <c r="T365" s="15" t="str">
        <f aca="false">IF(R365="維持",J365,IF(R365="排除","無關新聞事件",IFERROR(INDEX(事件規則!$B$2:$B$53,MATCH(S365,事件規則!$A$2:$A$53,0)),"")))</f>
        <v>監管裁罰</v>
      </c>
      <c r="U365" s="20" t="n">
        <f aca="false">IF(R365="維持",K365,IF(R365="排除",0,IFERROR(INDEX(事件規則!$C$2:$C$53,MATCH(S365,事件規則!$A$2:$A$53,0)),"")))</f>
        <v>4</v>
      </c>
      <c r="V365" s="21"/>
      <c r="W365" s="22"/>
      <c r="X365" s="10" t="str">
        <f aca="false">IF(AND(R365="修改",S365=""),"請選新事件代碼",IF(AND(R365&lt;&gt;"修改",S365&lt;&gt;""),"只有「修改」才需填代碼",""))</f>
        <v/>
      </c>
      <c r="Y365" s="21"/>
      <c r="Z365" s="22"/>
      <c r="AA365" s="12" t="s">
        <v>1531</v>
      </c>
      <c r="AB365" s="12"/>
    </row>
    <row r="366" customFormat="false" ht="29.85" hidden="false" customHeight="false" outlineLevel="0" collapsed="false">
      <c r="A366" s="17" t="n">
        <v>365</v>
      </c>
      <c r="B366" s="9" t="s">
        <v>749</v>
      </c>
      <c r="C366" s="9" t="s">
        <v>443</v>
      </c>
      <c r="D366" s="10" t="s">
        <v>444</v>
      </c>
      <c r="E366" s="11" t="s">
        <v>1532</v>
      </c>
      <c r="F366" s="15"/>
      <c r="G366" s="12" t="s">
        <v>1533</v>
      </c>
      <c r="H366" s="13" t="n">
        <v>0.058</v>
      </c>
      <c r="I366" s="14" t="s">
        <v>695</v>
      </c>
      <c r="J366" s="15" t="s">
        <v>1180</v>
      </c>
      <c r="K366" s="9" t="n">
        <v>4</v>
      </c>
      <c r="L366" s="17"/>
      <c r="M366" s="16" t="s">
        <v>105</v>
      </c>
      <c r="N366" s="14"/>
      <c r="O366" s="17" t="s">
        <v>54</v>
      </c>
      <c r="P366" s="10" t="s">
        <v>1419</v>
      </c>
      <c r="Q366" s="17"/>
      <c r="R366" s="18" t="s">
        <v>105</v>
      </c>
      <c r="S366" s="19"/>
      <c r="T366" s="15" t="str">
        <f aca="false">IF(R366="維持",J366,IF(R366="排除","無關新聞事件",IFERROR(INDEX(事件規則!$B$2:$B$53,MATCH(S366,事件規則!$A$2:$A$53,0)),"")))</f>
        <v>監管裁罰</v>
      </c>
      <c r="U366" s="20" t="n">
        <f aca="false">IF(R366="維持",K366,IF(R366="排除",0,IFERROR(INDEX(事件規則!$C$2:$C$53,MATCH(S366,事件規則!$A$2:$A$53,0)),"")))</f>
        <v>4</v>
      </c>
      <c r="V366" s="21"/>
      <c r="W366" s="22"/>
      <c r="X366" s="10" t="str">
        <f aca="false">IF(AND(R366="修改",S366=""),"請選新事件代碼",IF(AND(R366&lt;&gt;"修改",S366&lt;&gt;""),"只有「修改」才需填代碼",""))</f>
        <v/>
      </c>
      <c r="Y366" s="21"/>
      <c r="Z366" s="22"/>
      <c r="AA366" s="12" t="s">
        <v>1534</v>
      </c>
      <c r="AB366" s="12"/>
    </row>
    <row r="367" customFormat="false" ht="23.85" hidden="false" customHeight="false" outlineLevel="0" collapsed="false">
      <c r="A367" s="17" t="n">
        <v>366</v>
      </c>
      <c r="B367" s="9" t="s">
        <v>749</v>
      </c>
      <c r="C367" s="9" t="s">
        <v>443</v>
      </c>
      <c r="D367" s="10" t="s">
        <v>444</v>
      </c>
      <c r="E367" s="11" t="s">
        <v>1535</v>
      </c>
      <c r="F367" s="15"/>
      <c r="G367" s="12" t="s">
        <v>1070</v>
      </c>
      <c r="H367" s="13" t="n">
        <v>0.055</v>
      </c>
      <c r="I367" s="14" t="s">
        <v>695</v>
      </c>
      <c r="J367" s="15" t="s">
        <v>1180</v>
      </c>
      <c r="K367" s="9" t="n">
        <v>4</v>
      </c>
      <c r="L367" s="17"/>
      <c r="M367" s="16" t="s">
        <v>105</v>
      </c>
      <c r="N367" s="14"/>
      <c r="O367" s="17" t="s">
        <v>97</v>
      </c>
      <c r="P367" s="10" t="s">
        <v>1432</v>
      </c>
      <c r="Q367" s="17"/>
      <c r="R367" s="18" t="s">
        <v>105</v>
      </c>
      <c r="S367" s="19"/>
      <c r="T367" s="15" t="str">
        <f aca="false">IF(R367="維持",J367,IF(R367="排除","無關新聞事件",IFERROR(INDEX(事件規則!$B$2:$B$53,MATCH(S367,事件規則!$A$2:$A$53,0)),"")))</f>
        <v>監管裁罰</v>
      </c>
      <c r="U367" s="20" t="n">
        <f aca="false">IF(R367="維持",K367,IF(R367="排除",0,IFERROR(INDEX(事件規則!$C$2:$C$53,MATCH(S367,事件規則!$A$2:$A$53,0)),"")))</f>
        <v>4</v>
      </c>
      <c r="V367" s="21"/>
      <c r="W367" s="22"/>
      <c r="X367" s="10" t="str">
        <f aca="false">IF(AND(R367="修改",S367=""),"請選新事件代碼",IF(AND(R367&lt;&gt;"修改",S367&lt;&gt;""),"只有「修改」才需填代碼",""))</f>
        <v/>
      </c>
      <c r="Y367" s="21"/>
      <c r="Z367" s="22"/>
      <c r="AA367" s="12" t="s">
        <v>1536</v>
      </c>
      <c r="AB367" s="12"/>
    </row>
    <row r="368" customFormat="false" ht="29.85" hidden="false" customHeight="false" outlineLevel="0" collapsed="false">
      <c r="A368" s="17" t="n">
        <v>367</v>
      </c>
      <c r="B368" s="9" t="s">
        <v>266</v>
      </c>
      <c r="C368" s="9" t="s">
        <v>80</v>
      </c>
      <c r="D368" s="10" t="s">
        <v>81</v>
      </c>
      <c r="E368" s="11" t="s">
        <v>1537</v>
      </c>
      <c r="F368" s="10" t="s">
        <v>1538</v>
      </c>
      <c r="G368" s="12" t="s">
        <v>1539</v>
      </c>
      <c r="H368" s="13" t="n">
        <v>0.822</v>
      </c>
      <c r="I368" s="14" t="s">
        <v>695</v>
      </c>
      <c r="J368" s="15" t="s">
        <v>1180</v>
      </c>
      <c r="K368" s="9" t="n">
        <v>4</v>
      </c>
      <c r="L368" s="17"/>
      <c r="M368" s="16" t="s">
        <v>105</v>
      </c>
      <c r="N368" s="14"/>
      <c r="O368" s="17" t="s">
        <v>54</v>
      </c>
      <c r="P368" s="10" t="s">
        <v>1488</v>
      </c>
      <c r="Q368" s="17"/>
      <c r="R368" s="18" t="s">
        <v>105</v>
      </c>
      <c r="S368" s="19"/>
      <c r="T368" s="15" t="str">
        <f aca="false">IF(R368="維持",J368,IF(R368="排除","無關新聞事件",IFERROR(INDEX(事件規則!$B$2:$B$53,MATCH(S368,事件規則!$A$2:$A$53,0)),"")))</f>
        <v>監管裁罰</v>
      </c>
      <c r="U368" s="20" t="n">
        <f aca="false">IF(R368="維持",K368,IF(R368="排除",0,IFERROR(INDEX(事件規則!$C$2:$C$53,MATCH(S368,事件規則!$A$2:$A$53,0)),"")))</f>
        <v>4</v>
      </c>
      <c r="V368" s="21"/>
      <c r="W368" s="22"/>
      <c r="X368" s="10" t="str">
        <f aca="false">IF(AND(R368="修改",S368=""),"請選新事件代碼",IF(AND(R368&lt;&gt;"修改",S368&lt;&gt;""),"只有「修改」才需填代碼",""))</f>
        <v/>
      </c>
      <c r="Y368" s="21"/>
      <c r="Z368" s="22"/>
      <c r="AA368" s="12" t="s">
        <v>1540</v>
      </c>
      <c r="AB368" s="12"/>
    </row>
    <row r="369" customFormat="false" ht="29.85" hidden="false" customHeight="false" outlineLevel="0" collapsed="false">
      <c r="A369" s="17" t="n">
        <v>368</v>
      </c>
      <c r="B369" s="9" t="s">
        <v>266</v>
      </c>
      <c r="C369" s="9" t="s">
        <v>665</v>
      </c>
      <c r="D369" s="10" t="s">
        <v>666</v>
      </c>
      <c r="E369" s="11" t="s">
        <v>1541</v>
      </c>
      <c r="F369" s="15" t="s">
        <v>1542</v>
      </c>
      <c r="G369" s="12" t="s">
        <v>1394</v>
      </c>
      <c r="H369" s="13" t="n">
        <v>-0.353</v>
      </c>
      <c r="I369" s="14" t="s">
        <v>695</v>
      </c>
      <c r="J369" s="15" t="s">
        <v>1180</v>
      </c>
      <c r="K369" s="9" t="n">
        <v>4</v>
      </c>
      <c r="L369" s="17"/>
      <c r="M369" s="16" t="s">
        <v>53</v>
      </c>
      <c r="N369" s="14"/>
      <c r="O369" s="17" t="s">
        <v>97</v>
      </c>
      <c r="P369" s="15" t="s">
        <v>1316</v>
      </c>
      <c r="Q369" s="17"/>
      <c r="R369" s="18" t="s">
        <v>53</v>
      </c>
      <c r="S369" s="19"/>
      <c r="T369" s="15" t="str">
        <f aca="false">IF(R369="維持",J369,IF(R369="排除","無關新聞事件",IFERROR(INDEX(事件規則!$B$2:$B$53,MATCH(S369,事件規則!$A$2:$A$53,0)),"")))</f>
        <v>無關新聞事件</v>
      </c>
      <c r="U369" s="20" t="n">
        <f aca="false">IF(R369="維持",K369,IF(R369="排除",0,IFERROR(INDEX(事件規則!$C$2:$C$53,MATCH(S369,事件規則!$A$2:$A$53,0)),"")))</f>
        <v>0</v>
      </c>
      <c r="V369" s="21"/>
      <c r="W369" s="22"/>
      <c r="X369" s="10" t="str">
        <f aca="false">IF(AND(R369="修改",S369=""),"請選新事件代碼",IF(AND(R369&lt;&gt;"修改",S369&lt;&gt;""),"只有「修改」才需填代碼",""))</f>
        <v/>
      </c>
      <c r="Y369" s="21"/>
      <c r="Z369" s="22"/>
      <c r="AA369" s="12" t="s">
        <v>1543</v>
      </c>
      <c r="AB369" s="12"/>
    </row>
    <row r="370" customFormat="false" ht="29.85" hidden="false" customHeight="false" outlineLevel="0" collapsed="false">
      <c r="A370" s="17" t="n">
        <v>369</v>
      </c>
      <c r="B370" s="9" t="s">
        <v>266</v>
      </c>
      <c r="C370" s="9" t="s">
        <v>566</v>
      </c>
      <c r="D370" s="10" t="s">
        <v>562</v>
      </c>
      <c r="E370" s="11" t="s">
        <v>1544</v>
      </c>
      <c r="F370" s="15" t="s">
        <v>1545</v>
      </c>
      <c r="G370" s="12" t="s">
        <v>1546</v>
      </c>
      <c r="H370" s="13" t="n">
        <v>-0.938</v>
      </c>
      <c r="I370" s="14" t="s">
        <v>695</v>
      </c>
      <c r="J370" s="15" t="s">
        <v>1180</v>
      </c>
      <c r="K370" s="9" t="n">
        <v>4</v>
      </c>
      <c r="L370" s="17"/>
      <c r="M370" s="16" t="s">
        <v>105</v>
      </c>
      <c r="N370" s="14"/>
      <c r="O370" s="17" t="s">
        <v>54</v>
      </c>
      <c r="P370" s="15" t="s">
        <v>1547</v>
      </c>
      <c r="Q370" s="17"/>
      <c r="R370" s="18" t="s">
        <v>105</v>
      </c>
      <c r="S370" s="19"/>
      <c r="T370" s="15" t="str">
        <f aca="false">IF(R370="維持",J370,IF(R370="排除","無關新聞事件",IFERROR(INDEX(事件規則!$B$2:$B$53,MATCH(S370,事件規則!$A$2:$A$53,0)),"")))</f>
        <v>監管裁罰</v>
      </c>
      <c r="U370" s="20" t="n">
        <f aca="false">IF(R370="維持",K370,IF(R370="排除",0,IFERROR(INDEX(事件規則!$C$2:$C$53,MATCH(S370,事件規則!$A$2:$A$53,0)),"")))</f>
        <v>4</v>
      </c>
      <c r="V370" s="21"/>
      <c r="W370" s="22"/>
      <c r="X370" s="10" t="str">
        <f aca="false">IF(AND(R370="修改",S370=""),"請選新事件代碼",IF(AND(R370&lt;&gt;"修改",S370&lt;&gt;""),"只有「修改」才需填代碼",""))</f>
        <v/>
      </c>
      <c r="Y370" s="21"/>
      <c r="Z370" s="22"/>
      <c r="AA370" s="12" t="s">
        <v>1548</v>
      </c>
      <c r="AB370" s="12"/>
    </row>
    <row r="371" customFormat="false" ht="23.85" hidden="false" customHeight="false" outlineLevel="0" collapsed="false">
      <c r="A371" s="17" t="n">
        <v>370</v>
      </c>
      <c r="B371" s="9" t="s">
        <v>266</v>
      </c>
      <c r="C371" s="9" t="s">
        <v>72</v>
      </c>
      <c r="D371" s="10" t="s">
        <v>73</v>
      </c>
      <c r="E371" s="11" t="s">
        <v>1549</v>
      </c>
      <c r="F371" s="15"/>
      <c r="G371" s="12" t="s">
        <v>1550</v>
      </c>
      <c r="H371" s="13" t="n">
        <v>0.014</v>
      </c>
      <c r="I371" s="14" t="s">
        <v>695</v>
      </c>
      <c r="J371" s="15" t="s">
        <v>1180</v>
      </c>
      <c r="K371" s="9" t="n">
        <v>4</v>
      </c>
      <c r="L371" s="17"/>
      <c r="M371" s="16" t="s">
        <v>53</v>
      </c>
      <c r="N371" s="14"/>
      <c r="O371" s="17" t="s">
        <v>97</v>
      </c>
      <c r="P371" s="10" t="s">
        <v>1399</v>
      </c>
      <c r="Q371" s="17"/>
      <c r="R371" s="18" t="s">
        <v>53</v>
      </c>
      <c r="S371" s="19"/>
      <c r="T371" s="15" t="str">
        <f aca="false">IF(R371="維持",J371,IF(R371="排除","無關新聞事件",IFERROR(INDEX(事件規則!$B$2:$B$53,MATCH(S371,事件規則!$A$2:$A$53,0)),"")))</f>
        <v>無關新聞事件</v>
      </c>
      <c r="U371" s="20" t="n">
        <f aca="false">IF(R371="維持",K371,IF(R371="排除",0,IFERROR(INDEX(事件規則!$C$2:$C$53,MATCH(S371,事件規則!$A$2:$A$53,0)),"")))</f>
        <v>0</v>
      </c>
      <c r="V371" s="21"/>
      <c r="W371" s="22"/>
      <c r="X371" s="10" t="str">
        <f aca="false">IF(AND(R371="修改",S371=""),"請選新事件代碼",IF(AND(R371&lt;&gt;"修改",S371&lt;&gt;""),"只有「修改」才需填代碼",""))</f>
        <v/>
      </c>
      <c r="Y371" s="21"/>
      <c r="Z371" s="22"/>
      <c r="AA371" s="12" t="s">
        <v>1551</v>
      </c>
      <c r="AB371" s="12"/>
    </row>
    <row r="372" customFormat="false" ht="29.85" hidden="false" customHeight="false" outlineLevel="0" collapsed="false">
      <c r="A372" s="17" t="n">
        <v>371</v>
      </c>
      <c r="B372" s="9" t="s">
        <v>266</v>
      </c>
      <c r="C372" s="9" t="s">
        <v>1552</v>
      </c>
      <c r="D372" s="10" t="s">
        <v>1553</v>
      </c>
      <c r="E372" s="11" t="s">
        <v>1554</v>
      </c>
      <c r="F372" s="15"/>
      <c r="G372" s="12" t="s">
        <v>305</v>
      </c>
      <c r="H372" s="13" t="n">
        <v>0.426</v>
      </c>
      <c r="I372" s="14" t="s">
        <v>695</v>
      </c>
      <c r="J372" s="15" t="s">
        <v>1180</v>
      </c>
      <c r="K372" s="9" t="n">
        <v>4</v>
      </c>
      <c r="L372" s="17"/>
      <c r="M372" s="16" t="s">
        <v>53</v>
      </c>
      <c r="N372" s="14"/>
      <c r="O372" s="17" t="s">
        <v>97</v>
      </c>
      <c r="P372" s="10" t="s">
        <v>1555</v>
      </c>
      <c r="Q372" s="17"/>
      <c r="R372" s="18" t="s">
        <v>53</v>
      </c>
      <c r="S372" s="19"/>
      <c r="T372" s="15" t="str">
        <f aca="false">IF(R372="維持",J372,IF(R372="排除","無關新聞事件",IFERROR(INDEX(事件規則!$B$2:$B$53,MATCH(S372,事件規則!$A$2:$A$53,0)),"")))</f>
        <v>無關新聞事件</v>
      </c>
      <c r="U372" s="20" t="n">
        <f aca="false">IF(R372="維持",K372,IF(R372="排除",0,IFERROR(INDEX(事件規則!$C$2:$C$53,MATCH(S372,事件規則!$A$2:$A$53,0)),"")))</f>
        <v>0</v>
      </c>
      <c r="V372" s="21"/>
      <c r="W372" s="22"/>
      <c r="X372" s="10" t="str">
        <f aca="false">IF(AND(R372="修改",S372=""),"請選新事件代碼",IF(AND(R372&lt;&gt;"修改",S372&lt;&gt;""),"只有「修改」才需填代碼",""))</f>
        <v/>
      </c>
      <c r="Y372" s="21"/>
      <c r="Z372" s="22"/>
      <c r="AA372" s="12" t="s">
        <v>1556</v>
      </c>
      <c r="AB372" s="12"/>
    </row>
    <row r="373" customFormat="false" ht="29.85" hidden="false" customHeight="false" outlineLevel="0" collapsed="false">
      <c r="A373" s="17" t="n">
        <v>372</v>
      </c>
      <c r="B373" s="9" t="s">
        <v>223</v>
      </c>
      <c r="C373" s="9" t="s">
        <v>456</v>
      </c>
      <c r="D373" s="10" t="s">
        <v>457</v>
      </c>
      <c r="E373" s="11" t="s">
        <v>1557</v>
      </c>
      <c r="F373" s="15" t="s">
        <v>1558</v>
      </c>
      <c r="G373" s="12" t="s">
        <v>140</v>
      </c>
      <c r="H373" s="13" t="n">
        <v>-0.05</v>
      </c>
      <c r="I373" s="14" t="s">
        <v>695</v>
      </c>
      <c r="J373" s="15" t="s">
        <v>1180</v>
      </c>
      <c r="K373" s="9" t="n">
        <v>4</v>
      </c>
      <c r="L373" s="17"/>
      <c r="M373" s="16" t="s">
        <v>53</v>
      </c>
      <c r="N373" s="14"/>
      <c r="O373" s="17" t="s">
        <v>54</v>
      </c>
      <c r="P373" s="10" t="s">
        <v>1559</v>
      </c>
      <c r="Q373" s="17"/>
      <c r="R373" s="18" t="s">
        <v>53</v>
      </c>
      <c r="S373" s="19"/>
      <c r="T373" s="15" t="str">
        <f aca="false">IF(R373="維持",J373,IF(R373="排除","無關新聞事件",IFERROR(INDEX(事件規則!$B$2:$B$53,MATCH(S373,事件規則!$A$2:$A$53,0)),"")))</f>
        <v>無關新聞事件</v>
      </c>
      <c r="U373" s="20" t="n">
        <f aca="false">IF(R373="維持",K373,IF(R373="排除",0,IFERROR(INDEX(事件規則!$C$2:$C$53,MATCH(S373,事件規則!$A$2:$A$53,0)),"")))</f>
        <v>0</v>
      </c>
      <c r="V373" s="21"/>
      <c r="W373" s="22"/>
      <c r="X373" s="10" t="str">
        <f aca="false">IF(AND(R373="修改",S373=""),"請選新事件代碼",IF(AND(R373&lt;&gt;"修改",S373&lt;&gt;""),"只有「修改」才需填代碼",""))</f>
        <v/>
      </c>
      <c r="Y373" s="21"/>
      <c r="Z373" s="22"/>
      <c r="AA373" s="12" t="s">
        <v>1560</v>
      </c>
      <c r="AB373" s="12"/>
    </row>
    <row r="374" customFormat="false" ht="29.85" hidden="false" customHeight="false" outlineLevel="0" collapsed="false">
      <c r="A374" s="17" t="n">
        <v>373</v>
      </c>
      <c r="B374" s="9" t="s">
        <v>223</v>
      </c>
      <c r="C374" s="9" t="s">
        <v>1233</v>
      </c>
      <c r="D374" s="10" t="s">
        <v>1234</v>
      </c>
      <c r="E374" s="11" t="s">
        <v>1561</v>
      </c>
      <c r="F374" s="10" t="s">
        <v>1562</v>
      </c>
      <c r="G374" s="12" t="s">
        <v>305</v>
      </c>
      <c r="H374" s="13" t="n">
        <v>0.883</v>
      </c>
      <c r="I374" s="14" t="s">
        <v>695</v>
      </c>
      <c r="J374" s="15" t="s">
        <v>1180</v>
      </c>
      <c r="K374" s="9" t="n">
        <v>4</v>
      </c>
      <c r="L374" s="17"/>
      <c r="M374" s="16" t="s">
        <v>53</v>
      </c>
      <c r="N374" s="14"/>
      <c r="O374" s="17" t="s">
        <v>97</v>
      </c>
      <c r="P374" s="10" t="s">
        <v>1563</v>
      </c>
      <c r="Q374" s="17"/>
      <c r="R374" s="18" t="s">
        <v>53</v>
      </c>
      <c r="S374" s="19"/>
      <c r="T374" s="15" t="str">
        <f aca="false">IF(R374="維持",J374,IF(R374="排除","無關新聞事件",IFERROR(INDEX(事件規則!$B$2:$B$53,MATCH(S374,事件規則!$A$2:$A$53,0)),"")))</f>
        <v>無關新聞事件</v>
      </c>
      <c r="U374" s="20" t="n">
        <f aca="false">IF(R374="維持",K374,IF(R374="排除",0,IFERROR(INDEX(事件規則!$C$2:$C$53,MATCH(S374,事件規則!$A$2:$A$53,0)),"")))</f>
        <v>0</v>
      </c>
      <c r="V374" s="21"/>
      <c r="W374" s="22"/>
      <c r="X374" s="10" t="str">
        <f aca="false">IF(AND(R374="修改",S374=""),"請選新事件代碼",IF(AND(R374&lt;&gt;"修改",S374&lt;&gt;""),"只有「修改」才需填代碼",""))</f>
        <v/>
      </c>
      <c r="Y374" s="21"/>
      <c r="Z374" s="22"/>
      <c r="AA374" s="12" t="s">
        <v>1564</v>
      </c>
      <c r="AB374" s="12"/>
    </row>
    <row r="375" customFormat="false" ht="29.85" hidden="false" customHeight="false" outlineLevel="0" collapsed="false">
      <c r="A375" s="17" t="n">
        <v>374</v>
      </c>
      <c r="B375" s="9" t="s">
        <v>223</v>
      </c>
      <c r="C375" s="9" t="s">
        <v>1565</v>
      </c>
      <c r="D375" s="10" t="s">
        <v>1566</v>
      </c>
      <c r="E375" s="11" t="s">
        <v>1567</v>
      </c>
      <c r="F375" s="15" t="s">
        <v>1568</v>
      </c>
      <c r="G375" s="12" t="s">
        <v>1569</v>
      </c>
      <c r="H375" s="13" t="n">
        <v>0.92</v>
      </c>
      <c r="I375" s="14" t="s">
        <v>695</v>
      </c>
      <c r="J375" s="15" t="s">
        <v>1180</v>
      </c>
      <c r="K375" s="9" t="n">
        <v>4</v>
      </c>
      <c r="L375" s="17"/>
      <c r="M375" s="16" t="s">
        <v>53</v>
      </c>
      <c r="N375" s="14"/>
      <c r="O375" s="17" t="s">
        <v>54</v>
      </c>
      <c r="P375" s="10" t="s">
        <v>1570</v>
      </c>
      <c r="Q375" s="17"/>
      <c r="R375" s="18" t="s">
        <v>53</v>
      </c>
      <c r="S375" s="19"/>
      <c r="T375" s="15" t="str">
        <f aca="false">IF(R375="維持",J375,IF(R375="排除","無關新聞事件",IFERROR(INDEX(事件規則!$B$2:$B$53,MATCH(S375,事件規則!$A$2:$A$53,0)),"")))</f>
        <v>無關新聞事件</v>
      </c>
      <c r="U375" s="20" t="n">
        <f aca="false">IF(R375="維持",K375,IF(R375="排除",0,IFERROR(INDEX(事件規則!$C$2:$C$53,MATCH(S375,事件規則!$A$2:$A$53,0)),"")))</f>
        <v>0</v>
      </c>
      <c r="V375" s="21"/>
      <c r="W375" s="22"/>
      <c r="X375" s="10" t="str">
        <f aca="false">IF(AND(R375="修改",S375=""),"請選新事件代碼",IF(AND(R375&lt;&gt;"修改",S375&lt;&gt;""),"只有「修改」才需填代碼",""))</f>
        <v/>
      </c>
      <c r="Y375" s="21"/>
      <c r="Z375" s="22"/>
      <c r="AA375" s="12" t="s">
        <v>1571</v>
      </c>
      <c r="AB375" s="12"/>
    </row>
    <row r="376" customFormat="false" ht="29.85" hidden="false" customHeight="false" outlineLevel="0" collapsed="false">
      <c r="A376" s="17" t="n">
        <v>375</v>
      </c>
      <c r="B376" s="9" t="s">
        <v>381</v>
      </c>
      <c r="C376" s="9" t="s">
        <v>80</v>
      </c>
      <c r="D376" s="10" t="s">
        <v>81</v>
      </c>
      <c r="E376" s="11" t="s">
        <v>1572</v>
      </c>
      <c r="F376" s="15"/>
      <c r="G376" s="12" t="s">
        <v>1378</v>
      </c>
      <c r="H376" s="13" t="n">
        <v>0.651</v>
      </c>
      <c r="I376" s="14" t="s">
        <v>695</v>
      </c>
      <c r="J376" s="15" t="s">
        <v>1180</v>
      </c>
      <c r="K376" s="9" t="n">
        <v>4</v>
      </c>
      <c r="L376" s="17"/>
      <c r="M376" s="16" t="s">
        <v>53</v>
      </c>
      <c r="N376" s="14"/>
      <c r="O376" s="17" t="s">
        <v>97</v>
      </c>
      <c r="P376" s="10" t="s">
        <v>1379</v>
      </c>
      <c r="Q376" s="17"/>
      <c r="R376" s="18" t="s">
        <v>53</v>
      </c>
      <c r="S376" s="19"/>
      <c r="T376" s="15" t="str">
        <f aca="false">IF(R376="維持",J376,IF(R376="排除","無關新聞事件",IFERROR(INDEX(事件規則!$B$2:$B$53,MATCH(S376,事件規則!$A$2:$A$53,0)),"")))</f>
        <v>無關新聞事件</v>
      </c>
      <c r="U376" s="20" t="n">
        <f aca="false">IF(R376="維持",K376,IF(R376="排除",0,IFERROR(INDEX(事件規則!$C$2:$C$53,MATCH(S376,事件規則!$A$2:$A$53,0)),"")))</f>
        <v>0</v>
      </c>
      <c r="V376" s="21"/>
      <c r="W376" s="22"/>
      <c r="X376" s="10" t="str">
        <f aca="false">IF(AND(R376="修改",S376=""),"請選新事件代碼",IF(AND(R376&lt;&gt;"修改",S376&lt;&gt;""),"只有「修改」才需填代碼",""))</f>
        <v/>
      </c>
      <c r="Y376" s="21"/>
      <c r="Z376" s="22"/>
      <c r="AA376" s="12" t="s">
        <v>1573</v>
      </c>
      <c r="AB376" s="12"/>
    </row>
    <row r="377" customFormat="false" ht="29.85" hidden="false" customHeight="false" outlineLevel="0" collapsed="false">
      <c r="A377" s="17" t="n">
        <v>376</v>
      </c>
      <c r="B377" s="9" t="s">
        <v>279</v>
      </c>
      <c r="C377" s="9" t="s">
        <v>1574</v>
      </c>
      <c r="D377" s="10" t="s">
        <v>1575</v>
      </c>
      <c r="E377" s="11" t="s">
        <v>1576</v>
      </c>
      <c r="F377" s="15"/>
      <c r="G377" s="12" t="s">
        <v>496</v>
      </c>
      <c r="H377" s="13" t="n">
        <v>-0.661</v>
      </c>
      <c r="I377" s="14" t="s">
        <v>695</v>
      </c>
      <c r="J377" s="15" t="s">
        <v>1180</v>
      </c>
      <c r="K377" s="9" t="n">
        <v>4</v>
      </c>
      <c r="L377" s="17"/>
      <c r="M377" s="16" t="s">
        <v>53</v>
      </c>
      <c r="N377" s="14"/>
      <c r="O377" s="17" t="s">
        <v>97</v>
      </c>
      <c r="P377" s="10" t="s">
        <v>1577</v>
      </c>
      <c r="Q377" s="17"/>
      <c r="R377" s="18" t="s">
        <v>53</v>
      </c>
      <c r="S377" s="19"/>
      <c r="T377" s="15" t="str">
        <f aca="false">IF(R377="維持",J377,IF(R377="排除","無關新聞事件",IFERROR(INDEX(事件規則!$B$2:$B$53,MATCH(S377,事件規則!$A$2:$A$53,0)),"")))</f>
        <v>無關新聞事件</v>
      </c>
      <c r="U377" s="20" t="n">
        <f aca="false">IF(R377="維持",K377,IF(R377="排除",0,IFERROR(INDEX(事件規則!$C$2:$C$53,MATCH(S377,事件規則!$A$2:$A$53,0)),"")))</f>
        <v>0</v>
      </c>
      <c r="V377" s="21"/>
      <c r="W377" s="22"/>
      <c r="X377" s="10" t="str">
        <f aca="false">IF(AND(R377="修改",S377=""),"請選新事件代碼",IF(AND(R377&lt;&gt;"修改",S377&lt;&gt;""),"只有「修改」才需填代碼",""))</f>
        <v/>
      </c>
      <c r="Y377" s="21"/>
      <c r="Z377" s="22"/>
      <c r="AA377" s="12" t="s">
        <v>1578</v>
      </c>
      <c r="AB377" s="12"/>
    </row>
    <row r="378" customFormat="false" ht="29.85" hidden="false" customHeight="false" outlineLevel="0" collapsed="false">
      <c r="A378" s="17" t="n">
        <v>377</v>
      </c>
      <c r="B378" s="9" t="s">
        <v>279</v>
      </c>
      <c r="C378" s="9" t="s">
        <v>1218</v>
      </c>
      <c r="D378" s="10" t="s">
        <v>1219</v>
      </c>
      <c r="E378" s="11" t="s">
        <v>1579</v>
      </c>
      <c r="F378" s="15"/>
      <c r="G378" s="12" t="s">
        <v>167</v>
      </c>
      <c r="H378" s="13" t="n">
        <v>0.039</v>
      </c>
      <c r="I378" s="14" t="s">
        <v>695</v>
      </c>
      <c r="J378" s="15" t="s">
        <v>1180</v>
      </c>
      <c r="K378" s="9" t="n">
        <v>4</v>
      </c>
      <c r="L378" s="17"/>
      <c r="M378" s="16" t="s">
        <v>105</v>
      </c>
      <c r="N378" s="14"/>
      <c r="O378" s="17" t="s">
        <v>54</v>
      </c>
      <c r="P378" s="15" t="s">
        <v>1580</v>
      </c>
      <c r="Q378" s="17"/>
      <c r="R378" s="18" t="s">
        <v>105</v>
      </c>
      <c r="S378" s="19"/>
      <c r="T378" s="15" t="str">
        <f aca="false">IF(R378="維持",J378,IF(R378="排除","無關新聞事件",IFERROR(INDEX(事件規則!$B$2:$B$53,MATCH(S378,事件規則!$A$2:$A$53,0)),"")))</f>
        <v>監管裁罰</v>
      </c>
      <c r="U378" s="20" t="n">
        <f aca="false">IF(R378="維持",K378,IF(R378="排除",0,IFERROR(INDEX(事件規則!$C$2:$C$53,MATCH(S378,事件規則!$A$2:$A$53,0)),"")))</f>
        <v>4</v>
      </c>
      <c r="V378" s="21"/>
      <c r="W378" s="22"/>
      <c r="X378" s="10" t="str">
        <f aca="false">IF(AND(R378="修改",S378=""),"請選新事件代碼",IF(AND(R378&lt;&gt;"修改",S378&lt;&gt;""),"只有「修改」才需填代碼",""))</f>
        <v/>
      </c>
      <c r="Y378" s="21"/>
      <c r="Z378" s="22"/>
      <c r="AA378" s="12" t="s">
        <v>1581</v>
      </c>
      <c r="AB378" s="12"/>
    </row>
    <row r="379" customFormat="false" ht="29.85" hidden="false" customHeight="false" outlineLevel="0" collapsed="false">
      <c r="A379" s="17" t="n">
        <v>378</v>
      </c>
      <c r="B379" s="9" t="s">
        <v>279</v>
      </c>
      <c r="C379" s="9" t="s">
        <v>1218</v>
      </c>
      <c r="D379" s="10" t="s">
        <v>1219</v>
      </c>
      <c r="E379" s="11" t="s">
        <v>1582</v>
      </c>
      <c r="F379" s="15"/>
      <c r="G379" s="12" t="s">
        <v>1583</v>
      </c>
      <c r="H379" s="13" t="n">
        <v>0.808</v>
      </c>
      <c r="I379" s="14" t="s">
        <v>695</v>
      </c>
      <c r="J379" s="15" t="s">
        <v>1180</v>
      </c>
      <c r="K379" s="9" t="n">
        <v>4</v>
      </c>
      <c r="L379" s="17"/>
      <c r="M379" s="16" t="s">
        <v>105</v>
      </c>
      <c r="N379" s="14"/>
      <c r="O379" s="17" t="s">
        <v>54</v>
      </c>
      <c r="P379" s="15" t="s">
        <v>1580</v>
      </c>
      <c r="Q379" s="17"/>
      <c r="R379" s="18" t="s">
        <v>105</v>
      </c>
      <c r="S379" s="19"/>
      <c r="T379" s="15" t="str">
        <f aca="false">IF(R379="維持",J379,IF(R379="排除","無關新聞事件",IFERROR(INDEX(事件規則!$B$2:$B$53,MATCH(S379,事件規則!$A$2:$A$53,0)),"")))</f>
        <v>監管裁罰</v>
      </c>
      <c r="U379" s="20" t="n">
        <f aca="false">IF(R379="維持",K379,IF(R379="排除",0,IFERROR(INDEX(事件規則!$C$2:$C$53,MATCH(S379,事件規則!$A$2:$A$53,0)),"")))</f>
        <v>4</v>
      </c>
      <c r="V379" s="21"/>
      <c r="W379" s="22"/>
      <c r="X379" s="10" t="str">
        <f aca="false">IF(AND(R379="修改",S379=""),"請選新事件代碼",IF(AND(R379&lt;&gt;"修改",S379&lt;&gt;""),"只有「修改」才需填代碼",""))</f>
        <v/>
      </c>
      <c r="Y379" s="21"/>
      <c r="Z379" s="22"/>
      <c r="AA379" s="12" t="s">
        <v>1584</v>
      </c>
      <c r="AB379" s="12"/>
    </row>
    <row r="380" customFormat="false" ht="23.85" hidden="false" customHeight="false" outlineLevel="0" collapsed="false">
      <c r="A380" s="17" t="n">
        <v>379</v>
      </c>
      <c r="B380" s="9" t="s">
        <v>279</v>
      </c>
      <c r="C380" s="9" t="s">
        <v>512</v>
      </c>
      <c r="D380" s="10" t="s">
        <v>513</v>
      </c>
      <c r="E380" s="11" t="s">
        <v>1585</v>
      </c>
      <c r="F380" s="15"/>
      <c r="G380" s="12" t="s">
        <v>1586</v>
      </c>
      <c r="H380" s="13" t="n">
        <v>0.741</v>
      </c>
      <c r="I380" s="14" t="s">
        <v>695</v>
      </c>
      <c r="J380" s="15" t="s">
        <v>1180</v>
      </c>
      <c r="K380" s="9" t="n">
        <v>4</v>
      </c>
      <c r="L380" s="17"/>
      <c r="M380" s="16" t="s">
        <v>53</v>
      </c>
      <c r="N380" s="14"/>
      <c r="O380" s="17" t="s">
        <v>54</v>
      </c>
      <c r="P380" s="10" t="s">
        <v>1587</v>
      </c>
      <c r="Q380" s="17"/>
      <c r="R380" s="18" t="s">
        <v>53</v>
      </c>
      <c r="S380" s="19"/>
      <c r="T380" s="15" t="str">
        <f aca="false">IF(R380="維持",J380,IF(R380="排除","無關新聞事件",IFERROR(INDEX(事件規則!$B$2:$B$53,MATCH(S380,事件規則!$A$2:$A$53,0)),"")))</f>
        <v>無關新聞事件</v>
      </c>
      <c r="U380" s="20" t="n">
        <f aca="false">IF(R380="維持",K380,IF(R380="排除",0,IFERROR(INDEX(事件規則!$C$2:$C$53,MATCH(S380,事件規則!$A$2:$A$53,0)),"")))</f>
        <v>0</v>
      </c>
      <c r="V380" s="21"/>
      <c r="W380" s="22"/>
      <c r="X380" s="10" t="str">
        <f aca="false">IF(AND(R380="修改",S380=""),"請選新事件代碼",IF(AND(R380&lt;&gt;"修改",S380&lt;&gt;""),"只有「修改」才需填代碼",""))</f>
        <v/>
      </c>
      <c r="Y380" s="21"/>
      <c r="Z380" s="22"/>
      <c r="AA380" s="12" t="s">
        <v>1588</v>
      </c>
      <c r="AB380" s="12"/>
    </row>
    <row r="381" customFormat="false" ht="29.85" hidden="false" customHeight="false" outlineLevel="0" collapsed="false">
      <c r="A381" s="17" t="n">
        <v>380</v>
      </c>
      <c r="B381" s="9" t="s">
        <v>279</v>
      </c>
      <c r="C381" s="9" t="s">
        <v>254</v>
      </c>
      <c r="D381" s="10" t="s">
        <v>255</v>
      </c>
      <c r="E381" s="11" t="s">
        <v>1579</v>
      </c>
      <c r="F381" s="15"/>
      <c r="G381" s="12" t="s">
        <v>167</v>
      </c>
      <c r="H381" s="13" t="n">
        <v>0.039</v>
      </c>
      <c r="I381" s="14" t="s">
        <v>695</v>
      </c>
      <c r="J381" s="15" t="s">
        <v>1180</v>
      </c>
      <c r="K381" s="9" t="n">
        <v>4</v>
      </c>
      <c r="L381" s="17"/>
      <c r="M381" s="16" t="s">
        <v>105</v>
      </c>
      <c r="N381" s="14"/>
      <c r="O381" s="17" t="s">
        <v>54</v>
      </c>
      <c r="P381" s="15" t="s">
        <v>1580</v>
      </c>
      <c r="Q381" s="17"/>
      <c r="R381" s="18" t="s">
        <v>105</v>
      </c>
      <c r="S381" s="19"/>
      <c r="T381" s="15" t="str">
        <f aca="false">IF(R381="維持",J381,IF(R381="排除","無關新聞事件",IFERROR(INDEX(事件規則!$B$2:$B$53,MATCH(S381,事件規則!$A$2:$A$53,0)),"")))</f>
        <v>監管裁罰</v>
      </c>
      <c r="U381" s="20" t="n">
        <f aca="false">IF(R381="維持",K381,IF(R381="排除",0,IFERROR(INDEX(事件規則!$C$2:$C$53,MATCH(S381,事件規則!$A$2:$A$53,0)),"")))</f>
        <v>4</v>
      </c>
      <c r="V381" s="21"/>
      <c r="W381" s="22"/>
      <c r="X381" s="10" t="str">
        <f aca="false">IF(AND(R381="修改",S381=""),"請選新事件代碼",IF(AND(R381&lt;&gt;"修改",S381&lt;&gt;""),"只有「修改」才需填代碼",""))</f>
        <v/>
      </c>
      <c r="Y381" s="21"/>
      <c r="Z381" s="22"/>
      <c r="AA381" s="12" t="s">
        <v>1589</v>
      </c>
      <c r="AB381" s="12"/>
    </row>
    <row r="382" customFormat="false" ht="29.85" hidden="false" customHeight="false" outlineLevel="0" collapsed="false">
      <c r="A382" s="17" t="n">
        <v>381</v>
      </c>
      <c r="B382" s="9" t="s">
        <v>279</v>
      </c>
      <c r="C382" s="9" t="s">
        <v>1218</v>
      </c>
      <c r="D382" s="10" t="s">
        <v>1219</v>
      </c>
      <c r="E382" s="11" t="s">
        <v>1590</v>
      </c>
      <c r="F382" s="15"/>
      <c r="G382" s="12" t="s">
        <v>1591</v>
      </c>
      <c r="H382" s="13" t="n">
        <v>-0.857</v>
      </c>
      <c r="I382" s="14" t="s">
        <v>695</v>
      </c>
      <c r="J382" s="15" t="s">
        <v>1180</v>
      </c>
      <c r="K382" s="9" t="n">
        <v>4</v>
      </c>
      <c r="L382" s="17"/>
      <c r="M382" s="16" t="s">
        <v>105</v>
      </c>
      <c r="N382" s="14"/>
      <c r="O382" s="17" t="s">
        <v>97</v>
      </c>
      <c r="P382" s="15" t="s">
        <v>1592</v>
      </c>
      <c r="Q382" s="17"/>
      <c r="R382" s="18" t="s">
        <v>105</v>
      </c>
      <c r="S382" s="19"/>
      <c r="T382" s="15" t="str">
        <f aca="false">IF(R382="維持",J382,IF(R382="排除","無關新聞事件",IFERROR(INDEX(事件規則!$B$2:$B$53,MATCH(S382,事件規則!$A$2:$A$53,0)),"")))</f>
        <v>監管裁罰</v>
      </c>
      <c r="U382" s="20" t="n">
        <f aca="false">IF(R382="維持",K382,IF(R382="排除",0,IFERROR(INDEX(事件規則!$C$2:$C$53,MATCH(S382,事件規則!$A$2:$A$53,0)),"")))</f>
        <v>4</v>
      </c>
      <c r="V382" s="21"/>
      <c r="W382" s="22"/>
      <c r="X382" s="10" t="str">
        <f aca="false">IF(AND(R382="修改",S382=""),"請選新事件代碼",IF(AND(R382&lt;&gt;"修改",S382&lt;&gt;""),"只有「修改」才需填代碼",""))</f>
        <v/>
      </c>
      <c r="Y382" s="21"/>
      <c r="Z382" s="22"/>
      <c r="AA382" s="12" t="s">
        <v>1593</v>
      </c>
      <c r="AB382" s="12"/>
    </row>
    <row r="383" customFormat="false" ht="29.85" hidden="false" customHeight="false" outlineLevel="0" collapsed="false">
      <c r="A383" s="17" t="n">
        <v>382</v>
      </c>
      <c r="B383" s="9" t="s">
        <v>279</v>
      </c>
      <c r="C383" s="9" t="s">
        <v>254</v>
      </c>
      <c r="D383" s="10" t="s">
        <v>255</v>
      </c>
      <c r="E383" s="11" t="s">
        <v>1594</v>
      </c>
      <c r="F383" s="15"/>
      <c r="G383" s="12" t="s">
        <v>1595</v>
      </c>
      <c r="H383" s="13" t="n">
        <v>-0.136</v>
      </c>
      <c r="I383" s="14" t="s">
        <v>695</v>
      </c>
      <c r="J383" s="15" t="s">
        <v>1180</v>
      </c>
      <c r="K383" s="9" t="n">
        <v>4</v>
      </c>
      <c r="L383" s="17"/>
      <c r="M383" s="16" t="s">
        <v>105</v>
      </c>
      <c r="N383" s="14"/>
      <c r="O383" s="17" t="s">
        <v>54</v>
      </c>
      <c r="P383" s="15" t="s">
        <v>1580</v>
      </c>
      <c r="Q383" s="17"/>
      <c r="R383" s="18" t="s">
        <v>105</v>
      </c>
      <c r="S383" s="19"/>
      <c r="T383" s="15" t="str">
        <f aca="false">IF(R383="維持",J383,IF(R383="排除","無關新聞事件",IFERROR(INDEX(事件規則!$B$2:$B$53,MATCH(S383,事件規則!$A$2:$A$53,0)),"")))</f>
        <v>監管裁罰</v>
      </c>
      <c r="U383" s="20" t="n">
        <f aca="false">IF(R383="維持",K383,IF(R383="排除",0,IFERROR(INDEX(事件規則!$C$2:$C$53,MATCH(S383,事件規則!$A$2:$A$53,0)),"")))</f>
        <v>4</v>
      </c>
      <c r="V383" s="21"/>
      <c r="W383" s="22"/>
      <c r="X383" s="10" t="str">
        <f aca="false">IF(AND(R383="修改",S383=""),"請選新事件代碼",IF(AND(R383&lt;&gt;"修改",S383&lt;&gt;""),"只有「修改」才需填代碼",""))</f>
        <v/>
      </c>
      <c r="Y383" s="21"/>
      <c r="Z383" s="22"/>
      <c r="AA383" s="12" t="s">
        <v>1596</v>
      </c>
      <c r="AB383" s="12"/>
    </row>
    <row r="384" customFormat="false" ht="29.85" hidden="false" customHeight="false" outlineLevel="0" collapsed="false">
      <c r="A384" s="17" t="n">
        <v>383</v>
      </c>
      <c r="B384" s="9" t="s">
        <v>279</v>
      </c>
      <c r="C384" s="9" t="s">
        <v>1218</v>
      </c>
      <c r="D384" s="10" t="s">
        <v>1219</v>
      </c>
      <c r="E384" s="11" t="s">
        <v>1597</v>
      </c>
      <c r="F384" s="15"/>
      <c r="G384" s="12" t="s">
        <v>1598</v>
      </c>
      <c r="H384" s="13" t="n">
        <v>-0.19</v>
      </c>
      <c r="I384" s="14" t="s">
        <v>695</v>
      </c>
      <c r="J384" s="15" t="s">
        <v>1180</v>
      </c>
      <c r="K384" s="9" t="n">
        <v>4</v>
      </c>
      <c r="L384" s="17"/>
      <c r="M384" s="16" t="s">
        <v>105</v>
      </c>
      <c r="N384" s="14"/>
      <c r="O384" s="17" t="s">
        <v>54</v>
      </c>
      <c r="P384" s="15" t="s">
        <v>1580</v>
      </c>
      <c r="Q384" s="17"/>
      <c r="R384" s="18" t="s">
        <v>105</v>
      </c>
      <c r="S384" s="19"/>
      <c r="T384" s="15" t="str">
        <f aca="false">IF(R384="維持",J384,IF(R384="排除","無關新聞事件",IFERROR(INDEX(事件規則!$B$2:$B$53,MATCH(S384,事件規則!$A$2:$A$53,0)),"")))</f>
        <v>監管裁罰</v>
      </c>
      <c r="U384" s="20" t="n">
        <f aca="false">IF(R384="維持",K384,IF(R384="排除",0,IFERROR(INDEX(事件規則!$C$2:$C$53,MATCH(S384,事件規則!$A$2:$A$53,0)),"")))</f>
        <v>4</v>
      </c>
      <c r="V384" s="21"/>
      <c r="W384" s="22"/>
      <c r="X384" s="10" t="str">
        <f aca="false">IF(AND(R384="修改",S384=""),"請選新事件代碼",IF(AND(R384&lt;&gt;"修改",S384&lt;&gt;""),"只有「修改」才需填代碼",""))</f>
        <v/>
      </c>
      <c r="Y384" s="21"/>
      <c r="Z384" s="22"/>
      <c r="AA384" s="12" t="s">
        <v>1599</v>
      </c>
      <c r="AB384" s="12"/>
    </row>
    <row r="385" customFormat="false" ht="29.85" hidden="false" customHeight="false" outlineLevel="0" collapsed="false">
      <c r="A385" s="17" t="n">
        <v>384</v>
      </c>
      <c r="B385" s="9" t="s">
        <v>279</v>
      </c>
      <c r="C385" s="9" t="s">
        <v>1218</v>
      </c>
      <c r="D385" s="10" t="s">
        <v>1219</v>
      </c>
      <c r="E385" s="11" t="s">
        <v>1600</v>
      </c>
      <c r="F385" s="15"/>
      <c r="G385" s="12" t="s">
        <v>1595</v>
      </c>
      <c r="H385" s="13" t="n">
        <v>-0.397</v>
      </c>
      <c r="I385" s="14" t="s">
        <v>695</v>
      </c>
      <c r="J385" s="15" t="s">
        <v>1180</v>
      </c>
      <c r="K385" s="9" t="n">
        <v>4</v>
      </c>
      <c r="L385" s="17"/>
      <c r="M385" s="16" t="s">
        <v>105</v>
      </c>
      <c r="N385" s="14"/>
      <c r="O385" s="17" t="s">
        <v>54</v>
      </c>
      <c r="P385" s="15" t="s">
        <v>1580</v>
      </c>
      <c r="Q385" s="17"/>
      <c r="R385" s="18" t="s">
        <v>105</v>
      </c>
      <c r="S385" s="19"/>
      <c r="T385" s="15" t="str">
        <f aca="false">IF(R385="維持",J385,IF(R385="排除","無關新聞事件",IFERROR(INDEX(事件規則!$B$2:$B$53,MATCH(S385,事件規則!$A$2:$A$53,0)),"")))</f>
        <v>監管裁罰</v>
      </c>
      <c r="U385" s="20" t="n">
        <f aca="false">IF(R385="維持",K385,IF(R385="排除",0,IFERROR(INDEX(事件規則!$C$2:$C$53,MATCH(S385,事件規則!$A$2:$A$53,0)),"")))</f>
        <v>4</v>
      </c>
      <c r="V385" s="21"/>
      <c r="W385" s="22"/>
      <c r="X385" s="10" t="str">
        <f aca="false">IF(AND(R385="修改",S385=""),"請選新事件代碼",IF(AND(R385&lt;&gt;"修改",S385&lt;&gt;""),"只有「修改」才需填代碼",""))</f>
        <v/>
      </c>
      <c r="Y385" s="21"/>
      <c r="Z385" s="22"/>
      <c r="AA385" s="12" t="s">
        <v>1601</v>
      </c>
      <c r="AB385" s="12"/>
    </row>
    <row r="386" customFormat="false" ht="29.85" hidden="false" customHeight="false" outlineLevel="0" collapsed="false">
      <c r="A386" s="17" t="n">
        <v>385</v>
      </c>
      <c r="B386" s="9" t="s">
        <v>279</v>
      </c>
      <c r="C386" s="9" t="s">
        <v>254</v>
      </c>
      <c r="D386" s="10" t="s">
        <v>255</v>
      </c>
      <c r="E386" s="11" t="s">
        <v>1600</v>
      </c>
      <c r="F386" s="15"/>
      <c r="G386" s="12" t="s">
        <v>1595</v>
      </c>
      <c r="H386" s="13" t="n">
        <v>-0.397</v>
      </c>
      <c r="I386" s="14" t="s">
        <v>695</v>
      </c>
      <c r="J386" s="15" t="s">
        <v>1180</v>
      </c>
      <c r="K386" s="9" t="n">
        <v>4</v>
      </c>
      <c r="L386" s="17"/>
      <c r="M386" s="16" t="s">
        <v>105</v>
      </c>
      <c r="N386" s="14"/>
      <c r="O386" s="17" t="s">
        <v>54</v>
      </c>
      <c r="P386" s="15" t="s">
        <v>1580</v>
      </c>
      <c r="Q386" s="17"/>
      <c r="R386" s="18" t="s">
        <v>105</v>
      </c>
      <c r="S386" s="19"/>
      <c r="T386" s="15" t="str">
        <f aca="false">IF(R386="維持",J386,IF(R386="排除","無關新聞事件",IFERROR(INDEX(事件規則!$B$2:$B$53,MATCH(S386,事件規則!$A$2:$A$53,0)),"")))</f>
        <v>監管裁罰</v>
      </c>
      <c r="U386" s="20" t="n">
        <f aca="false">IF(R386="維持",K386,IF(R386="排除",0,IFERROR(INDEX(事件規則!$C$2:$C$53,MATCH(S386,事件規則!$A$2:$A$53,0)),"")))</f>
        <v>4</v>
      </c>
      <c r="V386" s="21"/>
      <c r="W386" s="22"/>
      <c r="X386" s="10" t="str">
        <f aca="false">IF(AND(R386="修改",S386=""),"請選新事件代碼",IF(AND(R386&lt;&gt;"修改",S386&lt;&gt;""),"只有「修改」才需填代碼",""))</f>
        <v/>
      </c>
      <c r="Y386" s="21"/>
      <c r="Z386" s="22"/>
      <c r="AA386" s="12" t="s">
        <v>1602</v>
      </c>
      <c r="AB386" s="12"/>
    </row>
    <row r="387" customFormat="false" ht="29.85" hidden="false" customHeight="false" outlineLevel="0" collapsed="false">
      <c r="A387" s="17" t="n">
        <v>386</v>
      </c>
      <c r="B387" s="9" t="s">
        <v>850</v>
      </c>
      <c r="C387" s="9" t="s">
        <v>449</v>
      </c>
      <c r="D387" s="10" t="s">
        <v>450</v>
      </c>
      <c r="E387" s="11" t="s">
        <v>1603</v>
      </c>
      <c r="F387" s="15"/>
      <c r="G387" s="12" t="s">
        <v>1604</v>
      </c>
      <c r="H387" s="13" t="n">
        <v>-0.891</v>
      </c>
      <c r="I387" s="14" t="s">
        <v>695</v>
      </c>
      <c r="J387" s="15" t="s">
        <v>1180</v>
      </c>
      <c r="K387" s="9" t="n">
        <v>4</v>
      </c>
      <c r="L387" s="17"/>
      <c r="M387" s="16" t="s">
        <v>95</v>
      </c>
      <c r="N387" s="14" t="s">
        <v>96</v>
      </c>
      <c r="O387" s="17" t="s">
        <v>97</v>
      </c>
      <c r="P387" s="15" t="s">
        <v>1605</v>
      </c>
      <c r="Q387" s="17"/>
      <c r="R387" s="18" t="s">
        <v>95</v>
      </c>
      <c r="S387" s="19" t="s">
        <v>96</v>
      </c>
      <c r="T387" s="15" t="str">
        <f aca="false">IF(R387="維持",J387,IF(R387="排除","無關新聞事件",IFERROR(INDEX(事件規則!$B$2:$B$53,MATCH(S387,事件規則!$A$2:$A$53,0)),"")))</f>
        <v>重大訴訟</v>
      </c>
      <c r="U387" s="20" t="n">
        <f aca="false">IF(R387="維持",K387,IF(R387="排除",0,IFERROR(INDEX(事件規則!$C$2:$C$53,MATCH(S387,事件規則!$A$2:$A$53,0)),"")))</f>
        <v>4</v>
      </c>
      <c r="V387" s="21"/>
      <c r="W387" s="22"/>
      <c r="X387" s="10" t="str">
        <f aca="false">IF(AND(R387="修改",S387=""),"請選新事件代碼",IF(AND(R387&lt;&gt;"修改",S387&lt;&gt;""),"只有「修改」才需填代碼",""))</f>
        <v/>
      </c>
      <c r="Y387" s="21"/>
      <c r="Z387" s="22"/>
      <c r="AA387" s="12" t="s">
        <v>1606</v>
      </c>
      <c r="AB387" s="12"/>
    </row>
    <row r="388" customFormat="false" ht="29.85" hidden="false" customHeight="false" outlineLevel="0" collapsed="false">
      <c r="A388" s="17" t="n">
        <v>387</v>
      </c>
      <c r="B388" s="9" t="s">
        <v>850</v>
      </c>
      <c r="C388" s="9" t="s">
        <v>1218</v>
      </c>
      <c r="D388" s="10" t="s">
        <v>1219</v>
      </c>
      <c r="E388" s="11" t="s">
        <v>1607</v>
      </c>
      <c r="F388" s="15"/>
      <c r="G388" s="12" t="s">
        <v>1608</v>
      </c>
      <c r="H388" s="13" t="n">
        <v>0.813</v>
      </c>
      <c r="I388" s="14" t="s">
        <v>695</v>
      </c>
      <c r="J388" s="15" t="s">
        <v>1180</v>
      </c>
      <c r="K388" s="9" t="n">
        <v>4</v>
      </c>
      <c r="L388" s="17"/>
      <c r="M388" s="16" t="s">
        <v>105</v>
      </c>
      <c r="N388" s="14"/>
      <c r="O388" s="17" t="s">
        <v>54</v>
      </c>
      <c r="P388" s="15" t="s">
        <v>1580</v>
      </c>
      <c r="Q388" s="17"/>
      <c r="R388" s="18" t="s">
        <v>105</v>
      </c>
      <c r="S388" s="19"/>
      <c r="T388" s="15" t="str">
        <f aca="false">IF(R388="維持",J388,IF(R388="排除","無關新聞事件",IFERROR(INDEX(事件規則!$B$2:$B$53,MATCH(S388,事件規則!$A$2:$A$53,0)),"")))</f>
        <v>監管裁罰</v>
      </c>
      <c r="U388" s="20" t="n">
        <f aca="false">IF(R388="維持",K388,IF(R388="排除",0,IFERROR(INDEX(事件規則!$C$2:$C$53,MATCH(S388,事件規則!$A$2:$A$53,0)),"")))</f>
        <v>4</v>
      </c>
      <c r="V388" s="21"/>
      <c r="W388" s="22"/>
      <c r="X388" s="10" t="str">
        <f aca="false">IF(AND(R388="修改",S388=""),"請選新事件代碼",IF(AND(R388&lt;&gt;"修改",S388&lt;&gt;""),"只有「修改」才需填代碼",""))</f>
        <v/>
      </c>
      <c r="Y388" s="21"/>
      <c r="Z388" s="22"/>
      <c r="AA388" s="12" t="s">
        <v>1609</v>
      </c>
      <c r="AB388" s="12"/>
    </row>
    <row r="389" customFormat="false" ht="29.85" hidden="false" customHeight="false" outlineLevel="0" collapsed="false">
      <c r="A389" s="17" t="n">
        <v>388</v>
      </c>
      <c r="B389" s="9" t="s">
        <v>850</v>
      </c>
      <c r="C389" s="9" t="s">
        <v>254</v>
      </c>
      <c r="D389" s="10" t="s">
        <v>255</v>
      </c>
      <c r="E389" s="11" t="s">
        <v>1607</v>
      </c>
      <c r="F389" s="15"/>
      <c r="G389" s="12" t="s">
        <v>1608</v>
      </c>
      <c r="H389" s="13" t="n">
        <v>0.813</v>
      </c>
      <c r="I389" s="14" t="s">
        <v>695</v>
      </c>
      <c r="J389" s="15" t="s">
        <v>1180</v>
      </c>
      <c r="K389" s="9" t="n">
        <v>4</v>
      </c>
      <c r="L389" s="17"/>
      <c r="M389" s="16" t="s">
        <v>105</v>
      </c>
      <c r="N389" s="14"/>
      <c r="O389" s="17" t="s">
        <v>54</v>
      </c>
      <c r="P389" s="15" t="s">
        <v>1580</v>
      </c>
      <c r="Q389" s="17"/>
      <c r="R389" s="18" t="s">
        <v>105</v>
      </c>
      <c r="S389" s="19"/>
      <c r="T389" s="15" t="str">
        <f aca="false">IF(R389="維持",J389,IF(R389="排除","無關新聞事件",IFERROR(INDEX(事件規則!$B$2:$B$53,MATCH(S389,事件規則!$A$2:$A$53,0)),"")))</f>
        <v>監管裁罰</v>
      </c>
      <c r="U389" s="20" t="n">
        <f aca="false">IF(R389="維持",K389,IF(R389="排除",0,IFERROR(INDEX(事件規則!$C$2:$C$53,MATCH(S389,事件規則!$A$2:$A$53,0)),"")))</f>
        <v>4</v>
      </c>
      <c r="V389" s="21"/>
      <c r="W389" s="22"/>
      <c r="X389" s="10" t="str">
        <f aca="false">IF(AND(R389="修改",S389=""),"請選新事件代碼",IF(AND(R389&lt;&gt;"修改",S389&lt;&gt;""),"只有「修改」才需填代碼",""))</f>
        <v/>
      </c>
      <c r="Y389" s="21"/>
      <c r="Z389" s="22"/>
      <c r="AA389" s="12" t="s">
        <v>1610</v>
      </c>
      <c r="AB389" s="12"/>
    </row>
    <row r="390" customFormat="false" ht="29.85" hidden="false" customHeight="false" outlineLevel="0" collapsed="false">
      <c r="A390" s="17" t="n">
        <v>389</v>
      </c>
      <c r="B390" s="9" t="s">
        <v>1611</v>
      </c>
      <c r="C390" s="9" t="s">
        <v>172</v>
      </c>
      <c r="D390" s="10" t="s">
        <v>173</v>
      </c>
      <c r="E390" s="11" t="s">
        <v>1612</v>
      </c>
      <c r="F390" s="15"/>
      <c r="G390" s="12" t="s">
        <v>1366</v>
      </c>
      <c r="H390" s="13" t="n">
        <v>-0.944</v>
      </c>
      <c r="I390" s="14" t="s">
        <v>695</v>
      </c>
      <c r="J390" s="15" t="s">
        <v>1180</v>
      </c>
      <c r="K390" s="9" t="n">
        <v>4</v>
      </c>
      <c r="L390" s="17"/>
      <c r="M390" s="16" t="s">
        <v>53</v>
      </c>
      <c r="N390" s="14"/>
      <c r="O390" s="17" t="s">
        <v>54</v>
      </c>
      <c r="P390" s="15" t="s">
        <v>1613</v>
      </c>
      <c r="Q390" s="17"/>
      <c r="R390" s="18" t="s">
        <v>53</v>
      </c>
      <c r="S390" s="19"/>
      <c r="T390" s="15" t="str">
        <f aca="false">IF(R390="維持",J390,IF(R390="排除","無關新聞事件",IFERROR(INDEX(事件規則!$B$2:$B$53,MATCH(S390,事件規則!$A$2:$A$53,0)),"")))</f>
        <v>無關新聞事件</v>
      </c>
      <c r="U390" s="20" t="n">
        <f aca="false">IF(R390="維持",K390,IF(R390="排除",0,IFERROR(INDEX(事件規則!$C$2:$C$53,MATCH(S390,事件規則!$A$2:$A$53,0)),"")))</f>
        <v>0</v>
      </c>
      <c r="V390" s="21"/>
      <c r="W390" s="22"/>
      <c r="X390" s="10" t="str">
        <f aca="false">IF(AND(R390="修改",S390=""),"請選新事件代碼",IF(AND(R390&lt;&gt;"修改",S390&lt;&gt;""),"只有「修改」才需填代碼",""))</f>
        <v/>
      </c>
      <c r="Y390" s="21"/>
      <c r="Z390" s="22"/>
      <c r="AA390" s="12" t="s">
        <v>1614</v>
      </c>
      <c r="AB390" s="12"/>
    </row>
    <row r="391" customFormat="false" ht="29.85" hidden="false" customHeight="false" outlineLevel="0" collapsed="false">
      <c r="A391" s="17" t="n">
        <v>390</v>
      </c>
      <c r="B391" s="9" t="s">
        <v>1615</v>
      </c>
      <c r="C391" s="9" t="s">
        <v>254</v>
      </c>
      <c r="D391" s="10" t="s">
        <v>255</v>
      </c>
      <c r="E391" s="11" t="s">
        <v>1616</v>
      </c>
      <c r="F391" s="15"/>
      <c r="G391" s="12" t="s">
        <v>496</v>
      </c>
      <c r="H391" s="13" t="n">
        <v>0.78</v>
      </c>
      <c r="I391" s="14" t="s">
        <v>695</v>
      </c>
      <c r="J391" s="15" t="s">
        <v>1180</v>
      </c>
      <c r="K391" s="9" t="n">
        <v>4</v>
      </c>
      <c r="L391" s="17"/>
      <c r="M391" s="16" t="s">
        <v>105</v>
      </c>
      <c r="N391" s="14"/>
      <c r="O391" s="17" t="s">
        <v>54</v>
      </c>
      <c r="P391" s="15" t="s">
        <v>1580</v>
      </c>
      <c r="Q391" s="17"/>
      <c r="R391" s="18" t="s">
        <v>105</v>
      </c>
      <c r="S391" s="19"/>
      <c r="T391" s="15" t="str">
        <f aca="false">IF(R391="維持",J391,IF(R391="排除","無關新聞事件",IFERROR(INDEX(事件規則!$B$2:$B$53,MATCH(S391,事件規則!$A$2:$A$53,0)),"")))</f>
        <v>監管裁罰</v>
      </c>
      <c r="U391" s="20" t="n">
        <f aca="false">IF(R391="維持",K391,IF(R391="排除",0,IFERROR(INDEX(事件規則!$C$2:$C$53,MATCH(S391,事件規則!$A$2:$A$53,0)),"")))</f>
        <v>4</v>
      </c>
      <c r="V391" s="21"/>
      <c r="W391" s="22"/>
      <c r="X391" s="10" t="str">
        <f aca="false">IF(AND(R391="修改",S391=""),"請選新事件代碼",IF(AND(R391&lt;&gt;"修改",S391&lt;&gt;""),"只有「修改」才需填代碼",""))</f>
        <v/>
      </c>
      <c r="Y391" s="21"/>
      <c r="Z391" s="22"/>
      <c r="AA391" s="12" t="s">
        <v>1617</v>
      </c>
      <c r="AB391" s="12"/>
    </row>
    <row r="392" customFormat="false" ht="29.85" hidden="false" customHeight="false" outlineLevel="0" collapsed="false">
      <c r="A392" s="17" t="n">
        <v>391</v>
      </c>
      <c r="B392" s="9" t="s">
        <v>1615</v>
      </c>
      <c r="C392" s="9" t="s">
        <v>676</v>
      </c>
      <c r="D392" s="10" t="s">
        <v>673</v>
      </c>
      <c r="E392" s="11" t="s">
        <v>1618</v>
      </c>
      <c r="F392" s="15"/>
      <c r="G392" s="12" t="s">
        <v>1619</v>
      </c>
      <c r="H392" s="13" t="n">
        <v>0.884</v>
      </c>
      <c r="I392" s="14" t="s">
        <v>695</v>
      </c>
      <c r="J392" s="15" t="s">
        <v>1180</v>
      </c>
      <c r="K392" s="9" t="n">
        <v>4</v>
      </c>
      <c r="L392" s="17"/>
      <c r="M392" s="16" t="s">
        <v>53</v>
      </c>
      <c r="N392" s="14"/>
      <c r="O392" s="17" t="s">
        <v>54</v>
      </c>
      <c r="P392" s="15" t="s">
        <v>1620</v>
      </c>
      <c r="Q392" s="17"/>
      <c r="R392" s="18" t="s">
        <v>53</v>
      </c>
      <c r="S392" s="19"/>
      <c r="T392" s="15" t="str">
        <f aca="false">IF(R392="維持",J392,IF(R392="排除","無關新聞事件",IFERROR(INDEX(事件規則!$B$2:$B$53,MATCH(S392,事件規則!$A$2:$A$53,0)),"")))</f>
        <v>無關新聞事件</v>
      </c>
      <c r="U392" s="20" t="n">
        <f aca="false">IF(R392="維持",K392,IF(R392="排除",0,IFERROR(INDEX(事件規則!$C$2:$C$53,MATCH(S392,事件規則!$A$2:$A$53,0)),"")))</f>
        <v>0</v>
      </c>
      <c r="V392" s="21"/>
      <c r="W392" s="22"/>
      <c r="X392" s="10" t="str">
        <f aca="false">IF(AND(R392="修改",S392=""),"請選新事件代碼",IF(AND(R392&lt;&gt;"修改",S392&lt;&gt;""),"只有「修改」才需填代碼",""))</f>
        <v/>
      </c>
      <c r="Y392" s="21"/>
      <c r="Z392" s="22"/>
      <c r="AA392" s="12" t="s">
        <v>1621</v>
      </c>
      <c r="AB392" s="12"/>
    </row>
    <row r="393" customFormat="false" ht="29.85" hidden="false" customHeight="false" outlineLevel="0" collapsed="false">
      <c r="A393" s="17" t="n">
        <v>392</v>
      </c>
      <c r="B393" s="9" t="s">
        <v>1615</v>
      </c>
      <c r="C393" s="9" t="s">
        <v>676</v>
      </c>
      <c r="D393" s="10" t="s">
        <v>673</v>
      </c>
      <c r="E393" s="11" t="s">
        <v>1622</v>
      </c>
      <c r="F393" s="15"/>
      <c r="G393" s="12" t="s">
        <v>84</v>
      </c>
      <c r="H393" s="13" t="n">
        <v>-0.308</v>
      </c>
      <c r="I393" s="14" t="s">
        <v>695</v>
      </c>
      <c r="J393" s="15" t="s">
        <v>1180</v>
      </c>
      <c r="K393" s="9" t="n">
        <v>4</v>
      </c>
      <c r="L393" s="17"/>
      <c r="M393" s="16" t="s">
        <v>95</v>
      </c>
      <c r="N393" s="14" t="s">
        <v>96</v>
      </c>
      <c r="O393" s="17" t="s">
        <v>97</v>
      </c>
      <c r="P393" s="15" t="s">
        <v>1623</v>
      </c>
      <c r="Q393" s="17"/>
      <c r="R393" s="18" t="s">
        <v>95</v>
      </c>
      <c r="S393" s="19" t="s">
        <v>96</v>
      </c>
      <c r="T393" s="15" t="str">
        <f aca="false">IF(R393="維持",J393,IF(R393="排除","無關新聞事件",IFERROR(INDEX(事件規則!$B$2:$B$53,MATCH(S393,事件規則!$A$2:$A$53,0)),"")))</f>
        <v>重大訴訟</v>
      </c>
      <c r="U393" s="20" t="n">
        <f aca="false">IF(R393="維持",K393,IF(R393="排除",0,IFERROR(INDEX(事件規則!$C$2:$C$53,MATCH(S393,事件規則!$A$2:$A$53,0)),"")))</f>
        <v>4</v>
      </c>
      <c r="V393" s="21"/>
      <c r="W393" s="22"/>
      <c r="X393" s="10" t="str">
        <f aca="false">IF(AND(R393="修改",S393=""),"請選新事件代碼",IF(AND(R393&lt;&gt;"修改",S393&lt;&gt;""),"只有「修改」才需填代碼",""))</f>
        <v/>
      </c>
      <c r="Y393" s="21"/>
      <c r="Z393" s="22"/>
      <c r="AA393" s="12" t="s">
        <v>1624</v>
      </c>
      <c r="AB393" s="12"/>
    </row>
    <row r="394" customFormat="false" ht="29.85" hidden="false" customHeight="false" outlineLevel="0" collapsed="false">
      <c r="A394" s="17" t="n">
        <v>393</v>
      </c>
      <c r="B394" s="9" t="s">
        <v>1615</v>
      </c>
      <c r="C394" s="9" t="s">
        <v>1625</v>
      </c>
      <c r="D394" s="10" t="s">
        <v>1626</v>
      </c>
      <c r="E394" s="11" t="s">
        <v>1627</v>
      </c>
      <c r="F394" s="15"/>
      <c r="G394" s="12" t="s">
        <v>84</v>
      </c>
      <c r="H394" s="13" t="n">
        <v>0.757</v>
      </c>
      <c r="I394" s="14" t="s">
        <v>695</v>
      </c>
      <c r="J394" s="15" t="s">
        <v>1180</v>
      </c>
      <c r="K394" s="9" t="n">
        <v>4</v>
      </c>
      <c r="L394" s="17"/>
      <c r="M394" s="16" t="s">
        <v>105</v>
      </c>
      <c r="N394" s="14"/>
      <c r="O394" s="17" t="s">
        <v>54</v>
      </c>
      <c r="P394" s="10" t="s">
        <v>1628</v>
      </c>
      <c r="Q394" s="17"/>
      <c r="R394" s="18" t="s">
        <v>105</v>
      </c>
      <c r="S394" s="19"/>
      <c r="T394" s="15" t="str">
        <f aca="false">IF(R394="維持",J394,IF(R394="排除","無關新聞事件",IFERROR(INDEX(事件規則!$B$2:$B$53,MATCH(S394,事件規則!$A$2:$A$53,0)),"")))</f>
        <v>監管裁罰</v>
      </c>
      <c r="U394" s="20" t="n">
        <f aca="false">IF(R394="維持",K394,IF(R394="排除",0,IFERROR(INDEX(事件規則!$C$2:$C$53,MATCH(S394,事件規則!$A$2:$A$53,0)),"")))</f>
        <v>4</v>
      </c>
      <c r="V394" s="21"/>
      <c r="W394" s="22"/>
      <c r="X394" s="10" t="str">
        <f aca="false">IF(AND(R394="修改",S394=""),"請選新事件代碼",IF(AND(R394&lt;&gt;"修改",S394&lt;&gt;""),"只有「修改」才需填代碼",""))</f>
        <v/>
      </c>
      <c r="Y394" s="21"/>
      <c r="Z394" s="22"/>
      <c r="AA394" s="12" t="s">
        <v>1629</v>
      </c>
      <c r="AB394" s="12"/>
    </row>
    <row r="395" customFormat="false" ht="29.85" hidden="false" customHeight="false" outlineLevel="0" collapsed="false">
      <c r="A395" s="17" t="n">
        <v>394</v>
      </c>
      <c r="B395" s="9" t="s">
        <v>1615</v>
      </c>
      <c r="C395" s="9" t="s">
        <v>1625</v>
      </c>
      <c r="D395" s="10" t="s">
        <v>1626</v>
      </c>
      <c r="E395" s="11" t="s">
        <v>1630</v>
      </c>
      <c r="F395" s="15"/>
      <c r="G395" s="12" t="s">
        <v>1631</v>
      </c>
      <c r="H395" s="13" t="n">
        <v>-0.816</v>
      </c>
      <c r="I395" s="14" t="s">
        <v>695</v>
      </c>
      <c r="J395" s="15" t="s">
        <v>1180</v>
      </c>
      <c r="K395" s="9" t="n">
        <v>4</v>
      </c>
      <c r="L395" s="17"/>
      <c r="M395" s="16" t="s">
        <v>105</v>
      </c>
      <c r="N395" s="14"/>
      <c r="O395" s="17" t="s">
        <v>54</v>
      </c>
      <c r="P395" s="10" t="s">
        <v>1628</v>
      </c>
      <c r="Q395" s="17"/>
      <c r="R395" s="18" t="s">
        <v>105</v>
      </c>
      <c r="S395" s="19"/>
      <c r="T395" s="15" t="str">
        <f aca="false">IF(R395="維持",J395,IF(R395="排除","無關新聞事件",IFERROR(INDEX(事件規則!$B$2:$B$53,MATCH(S395,事件規則!$A$2:$A$53,0)),"")))</f>
        <v>監管裁罰</v>
      </c>
      <c r="U395" s="20" t="n">
        <f aca="false">IF(R395="維持",K395,IF(R395="排除",0,IFERROR(INDEX(事件規則!$C$2:$C$53,MATCH(S395,事件規則!$A$2:$A$53,0)),"")))</f>
        <v>4</v>
      </c>
      <c r="V395" s="21"/>
      <c r="W395" s="22"/>
      <c r="X395" s="10" t="str">
        <f aca="false">IF(AND(R395="修改",S395=""),"請選新事件代碼",IF(AND(R395&lt;&gt;"修改",S395&lt;&gt;""),"只有「修改」才需填代碼",""))</f>
        <v/>
      </c>
      <c r="Y395" s="21"/>
      <c r="Z395" s="22"/>
      <c r="AA395" s="12" t="s">
        <v>1632</v>
      </c>
      <c r="AB395" s="12"/>
    </row>
    <row r="396" customFormat="false" ht="29.85" hidden="false" customHeight="false" outlineLevel="0" collapsed="false">
      <c r="A396" s="17" t="n">
        <v>395</v>
      </c>
      <c r="B396" s="9" t="s">
        <v>1615</v>
      </c>
      <c r="C396" s="9" t="s">
        <v>240</v>
      </c>
      <c r="D396" s="10" t="s">
        <v>241</v>
      </c>
      <c r="E396" s="11" t="s">
        <v>1633</v>
      </c>
      <c r="F396" s="15"/>
      <c r="G396" s="12" t="s">
        <v>244</v>
      </c>
      <c r="H396" s="13" t="n">
        <v>-0.008</v>
      </c>
      <c r="I396" s="14" t="s">
        <v>695</v>
      </c>
      <c r="J396" s="15" t="s">
        <v>1180</v>
      </c>
      <c r="K396" s="9" t="n">
        <v>4</v>
      </c>
      <c r="L396" s="17"/>
      <c r="M396" s="16" t="s">
        <v>95</v>
      </c>
      <c r="N396" s="14" t="s">
        <v>236</v>
      </c>
      <c r="O396" s="17" t="s">
        <v>97</v>
      </c>
      <c r="P396" s="15" t="s">
        <v>1634</v>
      </c>
      <c r="Q396" s="17"/>
      <c r="R396" s="18" t="s">
        <v>95</v>
      </c>
      <c r="S396" s="19" t="s">
        <v>236</v>
      </c>
      <c r="T396" s="15" t="str">
        <f aca="false">IF(R396="維持",J396,IF(R396="排除","無關新聞事件",IFERROR(INDEX(事件規則!$B$2:$B$53,MATCH(S396,事件規則!$A$2:$A$53,0)),"")))</f>
        <v>反壟斷調查</v>
      </c>
      <c r="U396" s="20" t="n">
        <f aca="false">IF(R396="維持",K396,IF(R396="排除",0,IFERROR(INDEX(事件規則!$C$2:$C$53,MATCH(S396,事件規則!$A$2:$A$53,0)),"")))</f>
        <v>4</v>
      </c>
      <c r="V396" s="21"/>
      <c r="W396" s="22"/>
      <c r="X396" s="10" t="str">
        <f aca="false">IF(AND(R396="修改",S396=""),"請選新事件代碼",IF(AND(R396&lt;&gt;"修改",S396&lt;&gt;""),"只有「修改」才需填代碼",""))</f>
        <v/>
      </c>
      <c r="Y396" s="21"/>
      <c r="Z396" s="22"/>
      <c r="AA396" s="12" t="s">
        <v>1635</v>
      </c>
      <c r="AB396" s="12"/>
    </row>
    <row r="397" customFormat="false" ht="35.05" hidden="false" customHeight="false" outlineLevel="0" collapsed="false">
      <c r="A397" s="17" t="n">
        <v>396</v>
      </c>
      <c r="B397" s="9" t="s">
        <v>855</v>
      </c>
      <c r="C397" s="9" t="s">
        <v>1636</v>
      </c>
      <c r="D397" s="10" t="s">
        <v>1637</v>
      </c>
      <c r="E397" s="11" t="s">
        <v>1638</v>
      </c>
      <c r="F397" s="15"/>
      <c r="G397" s="12" t="s">
        <v>496</v>
      </c>
      <c r="H397" s="13" t="n">
        <v>-0.543</v>
      </c>
      <c r="I397" s="14" t="s">
        <v>695</v>
      </c>
      <c r="J397" s="15" t="s">
        <v>1180</v>
      </c>
      <c r="K397" s="9" t="n">
        <v>4</v>
      </c>
      <c r="L397" s="17"/>
      <c r="M397" s="16" t="s">
        <v>95</v>
      </c>
      <c r="N397" s="14" t="s">
        <v>96</v>
      </c>
      <c r="O397" s="17" t="s">
        <v>97</v>
      </c>
      <c r="P397" s="10" t="s">
        <v>1639</v>
      </c>
      <c r="Q397" s="17"/>
      <c r="R397" s="18" t="s">
        <v>95</v>
      </c>
      <c r="S397" s="19" t="s">
        <v>96</v>
      </c>
      <c r="T397" s="15" t="str">
        <f aca="false">IF(R397="維持",J397,IF(R397="排除","無關新聞事件",IFERROR(INDEX(事件規則!$B$2:$B$53,MATCH(S397,事件規則!$A$2:$A$53,0)),"")))</f>
        <v>重大訴訟</v>
      </c>
      <c r="U397" s="20" t="n">
        <f aca="false">IF(R397="維持",K397,IF(R397="排除",0,IFERROR(INDEX(事件規則!$C$2:$C$53,MATCH(S397,事件規則!$A$2:$A$53,0)),"")))</f>
        <v>4</v>
      </c>
      <c r="V397" s="21"/>
      <c r="W397" s="22"/>
      <c r="X397" s="10" t="str">
        <f aca="false">IF(AND(R397="修改",S397=""),"請選新事件代碼",IF(AND(R397&lt;&gt;"修改",S397&lt;&gt;""),"只有「修改」才需填代碼",""))</f>
        <v/>
      </c>
      <c r="Y397" s="21"/>
      <c r="Z397" s="22"/>
      <c r="AA397" s="12" t="s">
        <v>1640</v>
      </c>
      <c r="AB397" s="12"/>
    </row>
    <row r="398" customFormat="false" ht="23.85" hidden="false" customHeight="false" outlineLevel="0" collapsed="false">
      <c r="A398" s="17" t="n">
        <v>397</v>
      </c>
      <c r="B398" s="9" t="s">
        <v>286</v>
      </c>
      <c r="C398" s="9" t="s">
        <v>1641</v>
      </c>
      <c r="D398" s="10" t="s">
        <v>1642</v>
      </c>
      <c r="E398" s="11" t="s">
        <v>1643</v>
      </c>
      <c r="F398" s="15"/>
      <c r="G398" s="12" t="s">
        <v>1644</v>
      </c>
      <c r="H398" s="13" t="n">
        <v>-0.081</v>
      </c>
      <c r="I398" s="14" t="s">
        <v>695</v>
      </c>
      <c r="J398" s="15" t="s">
        <v>1180</v>
      </c>
      <c r="K398" s="9" t="n">
        <v>4</v>
      </c>
      <c r="L398" s="17"/>
      <c r="M398" s="16" t="s">
        <v>53</v>
      </c>
      <c r="N398" s="14"/>
      <c r="O398" s="17" t="s">
        <v>97</v>
      </c>
      <c r="P398" s="10" t="s">
        <v>1645</v>
      </c>
      <c r="Q398" s="17"/>
      <c r="R398" s="18" t="s">
        <v>53</v>
      </c>
      <c r="S398" s="19"/>
      <c r="T398" s="15" t="str">
        <f aca="false">IF(R398="維持",J398,IF(R398="排除","無關新聞事件",IFERROR(INDEX(事件規則!$B$2:$B$53,MATCH(S398,事件規則!$A$2:$A$53,0)),"")))</f>
        <v>無關新聞事件</v>
      </c>
      <c r="U398" s="20" t="n">
        <f aca="false">IF(R398="維持",K398,IF(R398="排除",0,IFERROR(INDEX(事件規則!$C$2:$C$53,MATCH(S398,事件規則!$A$2:$A$53,0)),"")))</f>
        <v>0</v>
      </c>
      <c r="V398" s="21"/>
      <c r="W398" s="22"/>
      <c r="X398" s="10" t="str">
        <f aca="false">IF(AND(R398="修改",S398=""),"請選新事件代碼",IF(AND(R398&lt;&gt;"修改",S398&lt;&gt;""),"只有「修改」才需填代碼",""))</f>
        <v/>
      </c>
      <c r="Y398" s="21"/>
      <c r="Z398" s="22"/>
      <c r="AA398" s="12" t="s">
        <v>1646</v>
      </c>
      <c r="AB398" s="12"/>
    </row>
    <row r="399" customFormat="false" ht="29.85" hidden="false" customHeight="false" outlineLevel="0" collapsed="false">
      <c r="A399" s="17" t="n">
        <v>398</v>
      </c>
      <c r="B399" s="9" t="s">
        <v>286</v>
      </c>
      <c r="C399" s="9" t="s">
        <v>150</v>
      </c>
      <c r="D399" s="10" t="s">
        <v>151</v>
      </c>
      <c r="E399" s="11" t="s">
        <v>1647</v>
      </c>
      <c r="F399" s="15"/>
      <c r="G399" s="12" t="s">
        <v>1167</v>
      </c>
      <c r="H399" s="13" t="n">
        <v>0.418</v>
      </c>
      <c r="I399" s="14" t="s">
        <v>695</v>
      </c>
      <c r="J399" s="15" t="s">
        <v>1180</v>
      </c>
      <c r="K399" s="9" t="n">
        <v>4</v>
      </c>
      <c r="L399" s="17"/>
      <c r="M399" s="16" t="s">
        <v>53</v>
      </c>
      <c r="N399" s="14"/>
      <c r="O399" s="17" t="s">
        <v>97</v>
      </c>
      <c r="P399" s="10" t="s">
        <v>1648</v>
      </c>
      <c r="Q399" s="17"/>
      <c r="R399" s="18" t="s">
        <v>53</v>
      </c>
      <c r="S399" s="19"/>
      <c r="T399" s="15" t="str">
        <f aca="false">IF(R399="維持",J399,IF(R399="排除","無關新聞事件",IFERROR(INDEX(事件規則!$B$2:$B$53,MATCH(S399,事件規則!$A$2:$A$53,0)),"")))</f>
        <v>無關新聞事件</v>
      </c>
      <c r="U399" s="20" t="n">
        <f aca="false">IF(R399="維持",K399,IF(R399="排除",0,IFERROR(INDEX(事件規則!$C$2:$C$53,MATCH(S399,事件規則!$A$2:$A$53,0)),"")))</f>
        <v>0</v>
      </c>
      <c r="V399" s="21"/>
      <c r="W399" s="22"/>
      <c r="X399" s="10" t="str">
        <f aca="false">IF(AND(R399="修改",S399=""),"請選新事件代碼",IF(AND(R399&lt;&gt;"修改",S399&lt;&gt;""),"只有「修改」才需填代碼",""))</f>
        <v/>
      </c>
      <c r="Y399" s="21"/>
      <c r="Z399" s="22"/>
      <c r="AA399" s="12" t="s">
        <v>1649</v>
      </c>
      <c r="AB399" s="12"/>
    </row>
    <row r="400" customFormat="false" ht="35.05" hidden="false" customHeight="false" outlineLevel="0" collapsed="false">
      <c r="A400" s="17" t="n">
        <v>399</v>
      </c>
      <c r="B400" s="9" t="s">
        <v>286</v>
      </c>
      <c r="C400" s="9" t="s">
        <v>1636</v>
      </c>
      <c r="D400" s="10" t="s">
        <v>1637</v>
      </c>
      <c r="E400" s="11" t="s">
        <v>1650</v>
      </c>
      <c r="F400" s="15"/>
      <c r="G400" s="12" t="s">
        <v>1651</v>
      </c>
      <c r="H400" s="13" t="n">
        <v>0.006</v>
      </c>
      <c r="I400" s="14" t="s">
        <v>695</v>
      </c>
      <c r="J400" s="15" t="s">
        <v>1180</v>
      </c>
      <c r="K400" s="9" t="n">
        <v>4</v>
      </c>
      <c r="L400" s="17"/>
      <c r="M400" s="16" t="s">
        <v>53</v>
      </c>
      <c r="N400" s="14"/>
      <c r="O400" s="17" t="s">
        <v>97</v>
      </c>
      <c r="P400" s="10" t="s">
        <v>1652</v>
      </c>
      <c r="Q400" s="17"/>
      <c r="R400" s="18" t="s">
        <v>53</v>
      </c>
      <c r="S400" s="19"/>
      <c r="T400" s="15" t="str">
        <f aca="false">IF(R400="維持",J400,IF(R400="排除","無關新聞事件",IFERROR(INDEX(事件規則!$B$2:$B$53,MATCH(S400,事件規則!$A$2:$A$53,0)),"")))</f>
        <v>無關新聞事件</v>
      </c>
      <c r="U400" s="20" t="n">
        <f aca="false">IF(R400="維持",K400,IF(R400="排除",0,IFERROR(INDEX(事件規則!$C$2:$C$53,MATCH(S400,事件規則!$A$2:$A$53,0)),"")))</f>
        <v>0</v>
      </c>
      <c r="V400" s="21"/>
      <c r="W400" s="22"/>
      <c r="X400" s="10" t="str">
        <f aca="false">IF(AND(R400="修改",S400=""),"請選新事件代碼",IF(AND(R400&lt;&gt;"修改",S400&lt;&gt;""),"只有「修改」才需填代碼",""))</f>
        <v/>
      </c>
      <c r="Y400" s="21"/>
      <c r="Z400" s="22"/>
      <c r="AA400" s="12" t="s">
        <v>1653</v>
      </c>
      <c r="AB400" s="12"/>
    </row>
    <row r="401" customFormat="false" ht="29.85" hidden="false" customHeight="false" outlineLevel="0" collapsed="false">
      <c r="A401" s="17" t="n">
        <v>400</v>
      </c>
      <c r="B401" s="9" t="s">
        <v>295</v>
      </c>
      <c r="C401" s="9" t="s">
        <v>150</v>
      </c>
      <c r="D401" s="10" t="s">
        <v>151</v>
      </c>
      <c r="E401" s="11" t="s">
        <v>1654</v>
      </c>
      <c r="F401" s="15"/>
      <c r="G401" s="12" t="s">
        <v>1655</v>
      </c>
      <c r="H401" s="13" t="n">
        <v>0.899</v>
      </c>
      <c r="I401" s="14" t="s">
        <v>695</v>
      </c>
      <c r="J401" s="15" t="s">
        <v>1180</v>
      </c>
      <c r="K401" s="9" t="n">
        <v>4</v>
      </c>
      <c r="L401" s="17"/>
      <c r="M401" s="16" t="s">
        <v>53</v>
      </c>
      <c r="N401" s="14"/>
      <c r="O401" s="17" t="s">
        <v>97</v>
      </c>
      <c r="P401" s="10" t="s">
        <v>1648</v>
      </c>
      <c r="Q401" s="17"/>
      <c r="R401" s="18" t="s">
        <v>53</v>
      </c>
      <c r="S401" s="19"/>
      <c r="T401" s="15" t="str">
        <f aca="false">IF(R401="維持",J401,IF(R401="排除","無關新聞事件",IFERROR(INDEX(事件規則!$B$2:$B$53,MATCH(S401,事件規則!$A$2:$A$53,0)),"")))</f>
        <v>無關新聞事件</v>
      </c>
      <c r="U401" s="20" t="n">
        <f aca="false">IF(R401="維持",K401,IF(R401="排除",0,IFERROR(INDEX(事件規則!$C$2:$C$53,MATCH(S401,事件規則!$A$2:$A$53,0)),"")))</f>
        <v>0</v>
      </c>
      <c r="V401" s="21"/>
      <c r="W401" s="22"/>
      <c r="X401" s="10" t="str">
        <f aca="false">IF(AND(R401="修改",S401=""),"請選新事件代碼",IF(AND(R401&lt;&gt;"修改",S401&lt;&gt;""),"只有「修改」才需填代碼",""))</f>
        <v/>
      </c>
      <c r="Y401" s="21"/>
      <c r="Z401" s="22"/>
      <c r="AA401" s="12" t="s">
        <v>1656</v>
      </c>
      <c r="AB401" s="12"/>
    </row>
    <row r="402" customFormat="false" ht="29.85" hidden="false" customHeight="false" outlineLevel="0" collapsed="false">
      <c r="A402" s="17" t="n">
        <v>401</v>
      </c>
      <c r="B402" s="9" t="s">
        <v>295</v>
      </c>
      <c r="C402" s="9" t="s">
        <v>150</v>
      </c>
      <c r="D402" s="10" t="s">
        <v>151</v>
      </c>
      <c r="E402" s="11" t="s">
        <v>1657</v>
      </c>
      <c r="F402" s="15"/>
      <c r="G402" s="12" t="s">
        <v>1658</v>
      </c>
      <c r="H402" s="13" t="n">
        <v>0.933</v>
      </c>
      <c r="I402" s="14" t="s">
        <v>695</v>
      </c>
      <c r="J402" s="15" t="s">
        <v>1180</v>
      </c>
      <c r="K402" s="9" t="n">
        <v>4</v>
      </c>
      <c r="L402" s="17"/>
      <c r="M402" s="16" t="s">
        <v>53</v>
      </c>
      <c r="N402" s="14"/>
      <c r="O402" s="17" t="s">
        <v>97</v>
      </c>
      <c r="P402" s="10" t="s">
        <v>1648</v>
      </c>
      <c r="Q402" s="17"/>
      <c r="R402" s="18" t="s">
        <v>53</v>
      </c>
      <c r="S402" s="19"/>
      <c r="T402" s="15" t="str">
        <f aca="false">IF(R402="維持",J402,IF(R402="排除","無關新聞事件",IFERROR(INDEX(事件規則!$B$2:$B$53,MATCH(S402,事件規則!$A$2:$A$53,0)),"")))</f>
        <v>無關新聞事件</v>
      </c>
      <c r="U402" s="20" t="n">
        <f aca="false">IF(R402="維持",K402,IF(R402="排除",0,IFERROR(INDEX(事件規則!$C$2:$C$53,MATCH(S402,事件規則!$A$2:$A$53,0)),"")))</f>
        <v>0</v>
      </c>
      <c r="V402" s="21"/>
      <c r="W402" s="22"/>
      <c r="X402" s="10" t="str">
        <f aca="false">IF(AND(R402="修改",S402=""),"請選新事件代碼",IF(AND(R402&lt;&gt;"修改",S402&lt;&gt;""),"只有「修改」才需填代碼",""))</f>
        <v/>
      </c>
      <c r="Y402" s="21"/>
      <c r="Z402" s="22"/>
      <c r="AA402" s="12" t="s">
        <v>1659</v>
      </c>
      <c r="AB402" s="12"/>
    </row>
    <row r="403" customFormat="false" ht="35.05" hidden="false" customHeight="false" outlineLevel="0" collapsed="false">
      <c r="A403" s="17" t="n">
        <v>402</v>
      </c>
      <c r="B403" s="9" t="s">
        <v>295</v>
      </c>
      <c r="C403" s="9" t="s">
        <v>1636</v>
      </c>
      <c r="D403" s="10" t="s">
        <v>1637</v>
      </c>
      <c r="E403" s="11" t="s">
        <v>1660</v>
      </c>
      <c r="F403" s="15"/>
      <c r="G403" s="12" t="s">
        <v>1661</v>
      </c>
      <c r="H403" s="13" t="n">
        <v>0.578</v>
      </c>
      <c r="I403" s="14" t="s">
        <v>695</v>
      </c>
      <c r="J403" s="15" t="s">
        <v>1180</v>
      </c>
      <c r="K403" s="9" t="n">
        <v>4</v>
      </c>
      <c r="L403" s="17"/>
      <c r="M403" s="16" t="s">
        <v>95</v>
      </c>
      <c r="N403" s="14" t="s">
        <v>96</v>
      </c>
      <c r="O403" s="17" t="s">
        <v>97</v>
      </c>
      <c r="P403" s="10" t="s">
        <v>1639</v>
      </c>
      <c r="Q403" s="17"/>
      <c r="R403" s="18" t="s">
        <v>95</v>
      </c>
      <c r="S403" s="19" t="s">
        <v>96</v>
      </c>
      <c r="T403" s="15" t="str">
        <f aca="false">IF(R403="維持",J403,IF(R403="排除","無關新聞事件",IFERROR(INDEX(事件規則!$B$2:$B$53,MATCH(S403,事件規則!$A$2:$A$53,0)),"")))</f>
        <v>重大訴訟</v>
      </c>
      <c r="U403" s="20" t="n">
        <f aca="false">IF(R403="維持",K403,IF(R403="排除",0,IFERROR(INDEX(事件規則!$C$2:$C$53,MATCH(S403,事件規則!$A$2:$A$53,0)),"")))</f>
        <v>4</v>
      </c>
      <c r="V403" s="21"/>
      <c r="W403" s="22"/>
      <c r="X403" s="10" t="str">
        <f aca="false">IF(AND(R403="修改",S403=""),"請選新事件代碼",IF(AND(R403&lt;&gt;"修改",S403&lt;&gt;""),"只有「修改」才需填代碼",""))</f>
        <v/>
      </c>
      <c r="Y403" s="21"/>
      <c r="Z403" s="22"/>
      <c r="AA403" s="12" t="s">
        <v>1662</v>
      </c>
      <c r="AB403" s="12"/>
    </row>
    <row r="404" customFormat="false" ht="23.85" hidden="false" customHeight="false" outlineLevel="0" collapsed="false">
      <c r="A404" s="17" t="n">
        <v>403</v>
      </c>
      <c r="B404" s="9" t="s">
        <v>295</v>
      </c>
      <c r="C404" s="9" t="s">
        <v>1663</v>
      </c>
      <c r="D404" s="10" t="s">
        <v>1664</v>
      </c>
      <c r="E404" s="11" t="s">
        <v>1665</v>
      </c>
      <c r="F404" s="15"/>
      <c r="G404" s="12" t="s">
        <v>1666</v>
      </c>
      <c r="H404" s="13" t="n">
        <v>-0.921</v>
      </c>
      <c r="I404" s="14" t="s">
        <v>695</v>
      </c>
      <c r="J404" s="15" t="s">
        <v>1180</v>
      </c>
      <c r="K404" s="9" t="n">
        <v>4</v>
      </c>
      <c r="L404" s="17"/>
      <c r="M404" s="16" t="s">
        <v>53</v>
      </c>
      <c r="N404" s="14"/>
      <c r="O404" s="17" t="s">
        <v>97</v>
      </c>
      <c r="P404" s="10" t="s">
        <v>1667</v>
      </c>
      <c r="Q404" s="17"/>
      <c r="R404" s="18" t="s">
        <v>53</v>
      </c>
      <c r="S404" s="19"/>
      <c r="T404" s="15" t="str">
        <f aca="false">IF(R404="維持",J404,IF(R404="排除","無關新聞事件",IFERROR(INDEX(事件規則!$B$2:$B$53,MATCH(S404,事件規則!$A$2:$A$53,0)),"")))</f>
        <v>無關新聞事件</v>
      </c>
      <c r="U404" s="20" t="n">
        <f aca="false">IF(R404="維持",K404,IF(R404="排除",0,IFERROR(INDEX(事件規則!$C$2:$C$53,MATCH(S404,事件規則!$A$2:$A$53,0)),"")))</f>
        <v>0</v>
      </c>
      <c r="V404" s="21"/>
      <c r="W404" s="22"/>
      <c r="X404" s="10" t="str">
        <f aca="false">IF(AND(R404="修改",S404=""),"請選新事件代碼",IF(AND(R404&lt;&gt;"修改",S404&lt;&gt;""),"只有「修改」才需填代碼",""))</f>
        <v/>
      </c>
      <c r="Y404" s="21"/>
      <c r="Z404" s="22"/>
      <c r="AA404" s="12" t="s">
        <v>1668</v>
      </c>
      <c r="AB404" s="12"/>
    </row>
    <row r="405" customFormat="false" ht="35.05" hidden="false" customHeight="false" outlineLevel="0" collapsed="false">
      <c r="A405" s="17" t="n">
        <v>404</v>
      </c>
      <c r="B405" s="9" t="s">
        <v>295</v>
      </c>
      <c r="C405" s="9" t="s">
        <v>1636</v>
      </c>
      <c r="D405" s="10" t="s">
        <v>1637</v>
      </c>
      <c r="E405" s="11" t="s">
        <v>1669</v>
      </c>
      <c r="F405" s="15"/>
      <c r="G405" s="12" t="s">
        <v>84</v>
      </c>
      <c r="H405" s="13" t="n">
        <v>-0.486</v>
      </c>
      <c r="I405" s="14" t="s">
        <v>695</v>
      </c>
      <c r="J405" s="15" t="s">
        <v>1180</v>
      </c>
      <c r="K405" s="9" t="n">
        <v>4</v>
      </c>
      <c r="L405" s="17"/>
      <c r="M405" s="16" t="s">
        <v>53</v>
      </c>
      <c r="N405" s="14"/>
      <c r="O405" s="17" t="s">
        <v>97</v>
      </c>
      <c r="P405" s="10" t="s">
        <v>1652</v>
      </c>
      <c r="Q405" s="17"/>
      <c r="R405" s="18" t="s">
        <v>53</v>
      </c>
      <c r="S405" s="19"/>
      <c r="T405" s="15" t="str">
        <f aca="false">IF(R405="維持",J405,IF(R405="排除","無關新聞事件",IFERROR(INDEX(事件規則!$B$2:$B$53,MATCH(S405,事件規則!$A$2:$A$53,0)),"")))</f>
        <v>無關新聞事件</v>
      </c>
      <c r="U405" s="20" t="n">
        <f aca="false">IF(R405="維持",K405,IF(R405="排除",0,IFERROR(INDEX(事件規則!$C$2:$C$53,MATCH(S405,事件規則!$A$2:$A$53,0)),"")))</f>
        <v>0</v>
      </c>
      <c r="V405" s="21"/>
      <c r="W405" s="22"/>
      <c r="X405" s="10" t="str">
        <f aca="false">IF(AND(R405="修改",S405=""),"請選新事件代碼",IF(AND(R405&lt;&gt;"修改",S405&lt;&gt;""),"只有「修改」才需填代碼",""))</f>
        <v/>
      </c>
      <c r="Y405" s="21"/>
      <c r="Z405" s="22"/>
      <c r="AA405" s="12" t="s">
        <v>1670</v>
      </c>
      <c r="AB405" s="12"/>
    </row>
    <row r="406" customFormat="false" ht="29.85" hidden="false" customHeight="false" outlineLevel="0" collapsed="false">
      <c r="A406" s="17" t="n">
        <v>405</v>
      </c>
      <c r="B406" s="9" t="s">
        <v>295</v>
      </c>
      <c r="C406" s="9" t="s">
        <v>150</v>
      </c>
      <c r="D406" s="10" t="s">
        <v>151</v>
      </c>
      <c r="E406" s="11" t="s">
        <v>1671</v>
      </c>
      <c r="F406" s="15"/>
      <c r="G406" s="12" t="s">
        <v>1672</v>
      </c>
      <c r="H406" s="13" t="n">
        <v>0.057</v>
      </c>
      <c r="I406" s="14" t="s">
        <v>695</v>
      </c>
      <c r="J406" s="15" t="s">
        <v>1180</v>
      </c>
      <c r="K406" s="9" t="n">
        <v>4</v>
      </c>
      <c r="L406" s="17"/>
      <c r="M406" s="16" t="s">
        <v>53</v>
      </c>
      <c r="N406" s="14"/>
      <c r="O406" s="17" t="s">
        <v>97</v>
      </c>
      <c r="P406" s="10" t="s">
        <v>1648</v>
      </c>
      <c r="Q406" s="17"/>
      <c r="R406" s="18" t="s">
        <v>53</v>
      </c>
      <c r="S406" s="19"/>
      <c r="T406" s="15" t="str">
        <f aca="false">IF(R406="維持",J406,IF(R406="排除","無關新聞事件",IFERROR(INDEX(事件規則!$B$2:$B$53,MATCH(S406,事件規則!$A$2:$A$53,0)),"")))</f>
        <v>無關新聞事件</v>
      </c>
      <c r="U406" s="20" t="n">
        <f aca="false">IF(R406="維持",K406,IF(R406="排除",0,IFERROR(INDEX(事件規則!$C$2:$C$53,MATCH(S406,事件規則!$A$2:$A$53,0)),"")))</f>
        <v>0</v>
      </c>
      <c r="V406" s="21"/>
      <c r="W406" s="22"/>
      <c r="X406" s="10" t="str">
        <f aca="false">IF(AND(R406="修改",S406=""),"請選新事件代碼",IF(AND(R406&lt;&gt;"修改",S406&lt;&gt;""),"只有「修改」才需填代碼",""))</f>
        <v/>
      </c>
      <c r="Y406" s="21"/>
      <c r="Z406" s="22"/>
      <c r="AA406" s="12" t="s">
        <v>1673</v>
      </c>
      <c r="AB406" s="12"/>
    </row>
    <row r="407" customFormat="false" ht="29.85" hidden="false" customHeight="false" outlineLevel="0" collapsed="false">
      <c r="A407" s="17" t="n">
        <v>406</v>
      </c>
      <c r="B407" s="9" t="s">
        <v>295</v>
      </c>
      <c r="C407" s="9" t="s">
        <v>150</v>
      </c>
      <c r="D407" s="10" t="s">
        <v>151</v>
      </c>
      <c r="E407" s="11" t="s">
        <v>1674</v>
      </c>
      <c r="F407" s="15"/>
      <c r="G407" s="12" t="s">
        <v>1675</v>
      </c>
      <c r="H407" s="13" t="n">
        <v>0.07</v>
      </c>
      <c r="I407" s="14" t="s">
        <v>695</v>
      </c>
      <c r="J407" s="15" t="s">
        <v>1180</v>
      </c>
      <c r="K407" s="9" t="n">
        <v>4</v>
      </c>
      <c r="L407" s="17"/>
      <c r="M407" s="16" t="s">
        <v>53</v>
      </c>
      <c r="N407" s="14"/>
      <c r="O407" s="17" t="s">
        <v>97</v>
      </c>
      <c r="P407" s="10" t="s">
        <v>1648</v>
      </c>
      <c r="Q407" s="17"/>
      <c r="R407" s="18" t="s">
        <v>53</v>
      </c>
      <c r="S407" s="19"/>
      <c r="T407" s="15" t="str">
        <f aca="false">IF(R407="維持",J407,IF(R407="排除","無關新聞事件",IFERROR(INDEX(事件規則!$B$2:$B$53,MATCH(S407,事件規則!$A$2:$A$53,0)),"")))</f>
        <v>無關新聞事件</v>
      </c>
      <c r="U407" s="20" t="n">
        <f aca="false">IF(R407="維持",K407,IF(R407="排除",0,IFERROR(INDEX(事件規則!$C$2:$C$53,MATCH(S407,事件規則!$A$2:$A$53,0)),"")))</f>
        <v>0</v>
      </c>
      <c r="V407" s="21"/>
      <c r="W407" s="22"/>
      <c r="X407" s="10" t="str">
        <f aca="false">IF(AND(R407="修改",S407=""),"請選新事件代碼",IF(AND(R407&lt;&gt;"修改",S407&lt;&gt;""),"只有「修改」才需填代碼",""))</f>
        <v/>
      </c>
      <c r="Y407" s="21"/>
      <c r="Z407" s="22"/>
      <c r="AA407" s="12" t="s">
        <v>1676</v>
      </c>
      <c r="AB407" s="12"/>
    </row>
    <row r="408" customFormat="false" ht="29.85" hidden="false" customHeight="false" outlineLevel="0" collapsed="false">
      <c r="A408" s="17" t="n">
        <v>407</v>
      </c>
      <c r="B408" s="9" t="s">
        <v>295</v>
      </c>
      <c r="C408" s="9" t="s">
        <v>150</v>
      </c>
      <c r="D408" s="10" t="s">
        <v>151</v>
      </c>
      <c r="E408" s="11" t="s">
        <v>1677</v>
      </c>
      <c r="F408" s="15"/>
      <c r="G408" s="12" t="s">
        <v>1678</v>
      </c>
      <c r="H408" s="13" t="n">
        <v>0.097</v>
      </c>
      <c r="I408" s="14" t="s">
        <v>695</v>
      </c>
      <c r="J408" s="15" t="s">
        <v>1180</v>
      </c>
      <c r="K408" s="9" t="n">
        <v>4</v>
      </c>
      <c r="L408" s="17"/>
      <c r="M408" s="16" t="s">
        <v>53</v>
      </c>
      <c r="N408" s="14"/>
      <c r="O408" s="17" t="s">
        <v>97</v>
      </c>
      <c r="P408" s="10" t="s">
        <v>1648</v>
      </c>
      <c r="Q408" s="17"/>
      <c r="R408" s="18" t="s">
        <v>53</v>
      </c>
      <c r="S408" s="19"/>
      <c r="T408" s="15" t="str">
        <f aca="false">IF(R408="維持",J408,IF(R408="排除","無關新聞事件",IFERROR(INDEX(事件規則!$B$2:$B$53,MATCH(S408,事件規則!$A$2:$A$53,0)),"")))</f>
        <v>無關新聞事件</v>
      </c>
      <c r="U408" s="20" t="n">
        <f aca="false">IF(R408="維持",K408,IF(R408="排除",0,IFERROR(INDEX(事件規則!$C$2:$C$53,MATCH(S408,事件規則!$A$2:$A$53,0)),"")))</f>
        <v>0</v>
      </c>
      <c r="V408" s="21"/>
      <c r="W408" s="22"/>
      <c r="X408" s="10" t="str">
        <f aca="false">IF(AND(R408="修改",S408=""),"請選新事件代碼",IF(AND(R408&lt;&gt;"修改",S408&lt;&gt;""),"只有「修改」才需填代碼",""))</f>
        <v/>
      </c>
      <c r="Y408" s="21"/>
      <c r="Z408" s="22"/>
      <c r="AA408" s="12" t="s">
        <v>1679</v>
      </c>
      <c r="AB408" s="12"/>
    </row>
    <row r="409" customFormat="false" ht="23.85" hidden="false" customHeight="false" outlineLevel="0" collapsed="false">
      <c r="A409" s="17" t="n">
        <v>408</v>
      </c>
      <c r="B409" s="9" t="s">
        <v>295</v>
      </c>
      <c r="C409" s="9" t="s">
        <v>676</v>
      </c>
      <c r="D409" s="10" t="s">
        <v>673</v>
      </c>
      <c r="E409" s="11" t="s">
        <v>1680</v>
      </c>
      <c r="F409" s="15"/>
      <c r="G409" s="12" t="s">
        <v>340</v>
      </c>
      <c r="H409" s="13" t="n">
        <v>0.049</v>
      </c>
      <c r="I409" s="14" t="s">
        <v>695</v>
      </c>
      <c r="J409" s="15" t="s">
        <v>1180</v>
      </c>
      <c r="K409" s="9" t="n">
        <v>4</v>
      </c>
      <c r="L409" s="17"/>
      <c r="M409" s="16" t="s">
        <v>53</v>
      </c>
      <c r="N409" s="14"/>
      <c r="O409" s="17" t="s">
        <v>97</v>
      </c>
      <c r="P409" s="15" t="s">
        <v>1681</v>
      </c>
      <c r="Q409" s="17"/>
      <c r="R409" s="18" t="s">
        <v>53</v>
      </c>
      <c r="S409" s="19"/>
      <c r="T409" s="15" t="str">
        <f aca="false">IF(R409="維持",J409,IF(R409="排除","無關新聞事件",IFERROR(INDEX(事件規則!$B$2:$B$53,MATCH(S409,事件規則!$A$2:$A$53,0)),"")))</f>
        <v>無關新聞事件</v>
      </c>
      <c r="U409" s="20" t="n">
        <f aca="false">IF(R409="維持",K409,IF(R409="排除",0,IFERROR(INDEX(事件規則!$C$2:$C$53,MATCH(S409,事件規則!$A$2:$A$53,0)),"")))</f>
        <v>0</v>
      </c>
      <c r="V409" s="21"/>
      <c r="W409" s="22"/>
      <c r="X409" s="10" t="str">
        <f aca="false">IF(AND(R409="修改",S409=""),"請選新事件代碼",IF(AND(R409&lt;&gt;"修改",S409&lt;&gt;""),"只有「修改」才需填代碼",""))</f>
        <v/>
      </c>
      <c r="Y409" s="21"/>
      <c r="Z409" s="22"/>
      <c r="AA409" s="12" t="s">
        <v>1682</v>
      </c>
      <c r="AB409" s="12"/>
    </row>
    <row r="410" customFormat="false" ht="29.85" hidden="false" customHeight="false" outlineLevel="0" collapsed="false">
      <c r="A410" s="17" t="n">
        <v>409</v>
      </c>
      <c r="B410" s="9" t="s">
        <v>310</v>
      </c>
      <c r="C410" s="9" t="s">
        <v>240</v>
      </c>
      <c r="D410" s="10" t="s">
        <v>241</v>
      </c>
      <c r="E410" s="11" t="s">
        <v>1683</v>
      </c>
      <c r="F410" s="15"/>
      <c r="G410" s="12" t="s">
        <v>1684</v>
      </c>
      <c r="H410" s="13" t="n">
        <v>0.902</v>
      </c>
      <c r="I410" s="14" t="s">
        <v>695</v>
      </c>
      <c r="J410" s="15" t="s">
        <v>1180</v>
      </c>
      <c r="K410" s="9" t="n">
        <v>4</v>
      </c>
      <c r="L410" s="17"/>
      <c r="M410" s="16" t="s">
        <v>95</v>
      </c>
      <c r="N410" s="14" t="s">
        <v>236</v>
      </c>
      <c r="O410" s="17" t="s">
        <v>97</v>
      </c>
      <c r="P410" s="15" t="s">
        <v>1634</v>
      </c>
      <c r="Q410" s="17"/>
      <c r="R410" s="18" t="s">
        <v>95</v>
      </c>
      <c r="S410" s="19" t="s">
        <v>236</v>
      </c>
      <c r="T410" s="15" t="str">
        <f aca="false">IF(R410="維持",J410,IF(R410="排除","無關新聞事件",IFERROR(INDEX(事件規則!$B$2:$B$53,MATCH(S410,事件規則!$A$2:$A$53,0)),"")))</f>
        <v>反壟斷調查</v>
      </c>
      <c r="U410" s="20" t="n">
        <f aca="false">IF(R410="維持",K410,IF(R410="排除",0,IFERROR(INDEX(事件規則!$C$2:$C$53,MATCH(S410,事件規則!$A$2:$A$53,0)),"")))</f>
        <v>4</v>
      </c>
      <c r="V410" s="21"/>
      <c r="W410" s="22"/>
      <c r="X410" s="10" t="str">
        <f aca="false">IF(AND(R410="修改",S410=""),"請選新事件代碼",IF(AND(R410&lt;&gt;"修改",S410&lt;&gt;""),"只有「修改」才需填代碼",""))</f>
        <v/>
      </c>
      <c r="Y410" s="21"/>
      <c r="Z410" s="22"/>
      <c r="AA410" s="12" t="s">
        <v>1685</v>
      </c>
      <c r="AB410" s="12"/>
    </row>
    <row r="411" customFormat="false" ht="29.85" hidden="false" customHeight="false" outlineLevel="0" collapsed="false">
      <c r="A411" s="17" t="n">
        <v>410</v>
      </c>
      <c r="B411" s="9" t="s">
        <v>310</v>
      </c>
      <c r="C411" s="9" t="s">
        <v>240</v>
      </c>
      <c r="D411" s="10" t="s">
        <v>241</v>
      </c>
      <c r="E411" s="11" t="s">
        <v>1686</v>
      </c>
      <c r="F411" s="15"/>
      <c r="G411" s="12" t="s">
        <v>244</v>
      </c>
      <c r="H411" s="13" t="n">
        <v>0.039</v>
      </c>
      <c r="I411" s="14" t="s">
        <v>695</v>
      </c>
      <c r="J411" s="15" t="s">
        <v>1180</v>
      </c>
      <c r="K411" s="9" t="n">
        <v>4</v>
      </c>
      <c r="L411" s="17"/>
      <c r="M411" s="16" t="s">
        <v>95</v>
      </c>
      <c r="N411" s="14" t="s">
        <v>236</v>
      </c>
      <c r="O411" s="17" t="s">
        <v>97</v>
      </c>
      <c r="P411" s="15" t="s">
        <v>1634</v>
      </c>
      <c r="Q411" s="17"/>
      <c r="R411" s="18" t="s">
        <v>95</v>
      </c>
      <c r="S411" s="19" t="s">
        <v>236</v>
      </c>
      <c r="T411" s="15" t="str">
        <f aca="false">IF(R411="維持",J411,IF(R411="排除","無關新聞事件",IFERROR(INDEX(事件規則!$B$2:$B$53,MATCH(S411,事件規則!$A$2:$A$53,0)),"")))</f>
        <v>反壟斷調查</v>
      </c>
      <c r="U411" s="20" t="n">
        <f aca="false">IF(R411="維持",K411,IF(R411="排除",0,IFERROR(INDEX(事件規則!$C$2:$C$53,MATCH(S411,事件規則!$A$2:$A$53,0)),"")))</f>
        <v>4</v>
      </c>
      <c r="V411" s="21"/>
      <c r="W411" s="22"/>
      <c r="X411" s="10" t="str">
        <f aca="false">IF(AND(R411="修改",S411=""),"請選新事件代碼",IF(AND(R411&lt;&gt;"修改",S411&lt;&gt;""),"只有「修改」才需填代碼",""))</f>
        <v/>
      </c>
      <c r="Y411" s="21"/>
      <c r="Z411" s="22"/>
      <c r="AA411" s="12" t="s">
        <v>1687</v>
      </c>
      <c r="AB411" s="12"/>
    </row>
    <row r="412" customFormat="false" ht="29.85" hidden="false" customHeight="false" outlineLevel="0" collapsed="false">
      <c r="A412" s="17" t="n">
        <v>411</v>
      </c>
      <c r="B412" s="9" t="s">
        <v>310</v>
      </c>
      <c r="C412" s="9" t="s">
        <v>240</v>
      </c>
      <c r="D412" s="10" t="s">
        <v>241</v>
      </c>
      <c r="E412" s="11" t="s">
        <v>1688</v>
      </c>
      <c r="F412" s="15"/>
      <c r="G412" s="12" t="s">
        <v>1689</v>
      </c>
      <c r="H412" s="13" t="n">
        <v>0.147</v>
      </c>
      <c r="I412" s="14" t="s">
        <v>695</v>
      </c>
      <c r="J412" s="15" t="s">
        <v>1180</v>
      </c>
      <c r="K412" s="9" t="n">
        <v>4</v>
      </c>
      <c r="L412" s="17"/>
      <c r="M412" s="16" t="s">
        <v>95</v>
      </c>
      <c r="N412" s="14" t="s">
        <v>236</v>
      </c>
      <c r="O412" s="17" t="s">
        <v>97</v>
      </c>
      <c r="P412" s="15" t="s">
        <v>1634</v>
      </c>
      <c r="Q412" s="17"/>
      <c r="R412" s="18" t="s">
        <v>95</v>
      </c>
      <c r="S412" s="19" t="s">
        <v>236</v>
      </c>
      <c r="T412" s="15" t="str">
        <f aca="false">IF(R412="維持",J412,IF(R412="排除","無關新聞事件",IFERROR(INDEX(事件規則!$B$2:$B$53,MATCH(S412,事件規則!$A$2:$A$53,0)),"")))</f>
        <v>反壟斷調查</v>
      </c>
      <c r="U412" s="20" t="n">
        <f aca="false">IF(R412="維持",K412,IF(R412="排除",0,IFERROR(INDEX(事件規則!$C$2:$C$53,MATCH(S412,事件規則!$A$2:$A$53,0)),"")))</f>
        <v>4</v>
      </c>
      <c r="V412" s="21"/>
      <c r="W412" s="22"/>
      <c r="X412" s="10" t="str">
        <f aca="false">IF(AND(R412="修改",S412=""),"請選新事件代碼",IF(AND(R412&lt;&gt;"修改",S412&lt;&gt;""),"只有「修改」才需填代碼",""))</f>
        <v/>
      </c>
      <c r="Y412" s="21"/>
      <c r="Z412" s="22"/>
      <c r="AA412" s="12" t="s">
        <v>1690</v>
      </c>
      <c r="AB412" s="12"/>
    </row>
    <row r="413" customFormat="false" ht="29.85" hidden="false" customHeight="false" outlineLevel="0" collapsed="false">
      <c r="A413" s="17" t="n">
        <v>412</v>
      </c>
      <c r="B413" s="9" t="s">
        <v>310</v>
      </c>
      <c r="C413" s="9" t="s">
        <v>240</v>
      </c>
      <c r="D413" s="10" t="s">
        <v>241</v>
      </c>
      <c r="E413" s="11" t="s">
        <v>1691</v>
      </c>
      <c r="F413" s="15"/>
      <c r="G413" s="12" t="s">
        <v>244</v>
      </c>
      <c r="H413" s="13" t="n">
        <v>0.068</v>
      </c>
      <c r="I413" s="14" t="s">
        <v>695</v>
      </c>
      <c r="J413" s="15" t="s">
        <v>1180</v>
      </c>
      <c r="K413" s="9" t="n">
        <v>4</v>
      </c>
      <c r="L413" s="17"/>
      <c r="M413" s="16" t="s">
        <v>95</v>
      </c>
      <c r="N413" s="14" t="s">
        <v>236</v>
      </c>
      <c r="O413" s="17" t="s">
        <v>97</v>
      </c>
      <c r="P413" s="15" t="s">
        <v>1634</v>
      </c>
      <c r="Q413" s="17"/>
      <c r="R413" s="18" t="s">
        <v>95</v>
      </c>
      <c r="S413" s="19" t="s">
        <v>236</v>
      </c>
      <c r="T413" s="15" t="str">
        <f aca="false">IF(R413="維持",J413,IF(R413="排除","無關新聞事件",IFERROR(INDEX(事件規則!$B$2:$B$53,MATCH(S413,事件規則!$A$2:$A$53,0)),"")))</f>
        <v>反壟斷調查</v>
      </c>
      <c r="U413" s="20" t="n">
        <f aca="false">IF(R413="維持",K413,IF(R413="排除",0,IFERROR(INDEX(事件規則!$C$2:$C$53,MATCH(S413,事件規則!$A$2:$A$53,0)),"")))</f>
        <v>4</v>
      </c>
      <c r="V413" s="21"/>
      <c r="W413" s="22"/>
      <c r="X413" s="10" t="str">
        <f aca="false">IF(AND(R413="修改",S413=""),"請選新事件代碼",IF(AND(R413&lt;&gt;"修改",S413&lt;&gt;""),"只有「修改」才需填代碼",""))</f>
        <v/>
      </c>
      <c r="Y413" s="21"/>
      <c r="Z413" s="22"/>
      <c r="AA413" s="12" t="s">
        <v>1692</v>
      </c>
      <c r="AB413" s="12"/>
    </row>
    <row r="414" customFormat="false" ht="29.85" hidden="false" customHeight="false" outlineLevel="0" collapsed="false">
      <c r="A414" s="17" t="n">
        <v>413</v>
      </c>
      <c r="B414" s="9" t="s">
        <v>1693</v>
      </c>
      <c r="C414" s="9" t="s">
        <v>1694</v>
      </c>
      <c r="D414" s="10" t="s">
        <v>1695</v>
      </c>
      <c r="E414" s="11" t="s">
        <v>1696</v>
      </c>
      <c r="F414" s="15"/>
      <c r="G414" s="12" t="s">
        <v>1697</v>
      </c>
      <c r="H414" s="13" t="n">
        <v>0.383</v>
      </c>
      <c r="I414" s="14" t="s">
        <v>695</v>
      </c>
      <c r="J414" s="15" t="s">
        <v>1180</v>
      </c>
      <c r="K414" s="9" t="n">
        <v>4</v>
      </c>
      <c r="L414" s="17"/>
      <c r="M414" s="16" t="s">
        <v>105</v>
      </c>
      <c r="N414" s="14"/>
      <c r="O414" s="17" t="s">
        <v>97</v>
      </c>
      <c r="P414" s="10" t="s">
        <v>1698</v>
      </c>
      <c r="Q414" s="17"/>
      <c r="R414" s="18" t="s">
        <v>105</v>
      </c>
      <c r="S414" s="19"/>
      <c r="T414" s="15" t="str">
        <f aca="false">IF(R414="維持",J414,IF(R414="排除","無關新聞事件",IFERROR(INDEX(事件規則!$B$2:$B$53,MATCH(S414,事件規則!$A$2:$A$53,0)),"")))</f>
        <v>監管裁罰</v>
      </c>
      <c r="U414" s="20" t="n">
        <f aca="false">IF(R414="維持",K414,IF(R414="排除",0,IFERROR(INDEX(事件規則!$C$2:$C$53,MATCH(S414,事件規則!$A$2:$A$53,0)),"")))</f>
        <v>4</v>
      </c>
      <c r="V414" s="21"/>
      <c r="W414" s="22"/>
      <c r="X414" s="10" t="str">
        <f aca="false">IF(AND(R414="修改",S414=""),"請選新事件代碼",IF(AND(R414&lt;&gt;"修改",S414&lt;&gt;""),"只有「修改」才需填代碼",""))</f>
        <v/>
      </c>
      <c r="Y414" s="21"/>
      <c r="Z414" s="22"/>
      <c r="AA414" s="12" t="s">
        <v>1699</v>
      </c>
      <c r="AB414" s="12"/>
    </row>
    <row r="415" customFormat="false" ht="29.85" hidden="false" customHeight="false" outlineLevel="0" collapsed="false">
      <c r="A415" s="17" t="n">
        <v>414</v>
      </c>
      <c r="B415" s="9" t="s">
        <v>1693</v>
      </c>
      <c r="C415" s="9" t="s">
        <v>1694</v>
      </c>
      <c r="D415" s="10" t="s">
        <v>1695</v>
      </c>
      <c r="E415" s="11" t="s">
        <v>1700</v>
      </c>
      <c r="F415" s="15"/>
      <c r="G415" s="12" t="s">
        <v>1701</v>
      </c>
      <c r="H415" s="13" t="n">
        <v>0.042</v>
      </c>
      <c r="I415" s="14" t="s">
        <v>695</v>
      </c>
      <c r="J415" s="15" t="s">
        <v>1180</v>
      </c>
      <c r="K415" s="9" t="n">
        <v>4</v>
      </c>
      <c r="L415" s="17"/>
      <c r="M415" s="16" t="s">
        <v>105</v>
      </c>
      <c r="N415" s="14"/>
      <c r="O415" s="17" t="s">
        <v>97</v>
      </c>
      <c r="P415" s="10" t="s">
        <v>1698</v>
      </c>
      <c r="Q415" s="17"/>
      <c r="R415" s="18" t="s">
        <v>105</v>
      </c>
      <c r="S415" s="19"/>
      <c r="T415" s="15" t="str">
        <f aca="false">IF(R415="維持",J415,IF(R415="排除","無關新聞事件",IFERROR(INDEX(事件規則!$B$2:$B$53,MATCH(S415,事件規則!$A$2:$A$53,0)),"")))</f>
        <v>監管裁罰</v>
      </c>
      <c r="U415" s="20" t="n">
        <f aca="false">IF(R415="維持",K415,IF(R415="排除",0,IFERROR(INDEX(事件規則!$C$2:$C$53,MATCH(S415,事件規則!$A$2:$A$53,0)),"")))</f>
        <v>4</v>
      </c>
      <c r="V415" s="21"/>
      <c r="W415" s="22"/>
      <c r="X415" s="10" t="str">
        <f aca="false">IF(AND(R415="修改",S415=""),"請選新事件代碼",IF(AND(R415&lt;&gt;"修改",S415&lt;&gt;""),"只有「修改」才需填代碼",""))</f>
        <v/>
      </c>
      <c r="Y415" s="21"/>
      <c r="Z415" s="22"/>
      <c r="AA415" s="12" t="s">
        <v>1702</v>
      </c>
      <c r="AB415" s="12"/>
    </row>
    <row r="416" customFormat="false" ht="29.85" hidden="false" customHeight="false" outlineLevel="0" collapsed="false">
      <c r="A416" s="17" t="n">
        <v>415</v>
      </c>
      <c r="B416" s="9" t="s">
        <v>1693</v>
      </c>
      <c r="C416" s="9" t="s">
        <v>240</v>
      </c>
      <c r="D416" s="10" t="s">
        <v>241</v>
      </c>
      <c r="E416" s="11" t="s">
        <v>1703</v>
      </c>
      <c r="F416" s="15"/>
      <c r="G416" s="12" t="s">
        <v>244</v>
      </c>
      <c r="H416" s="13" t="n">
        <v>0.89</v>
      </c>
      <c r="I416" s="14" t="s">
        <v>695</v>
      </c>
      <c r="J416" s="15" t="s">
        <v>1180</v>
      </c>
      <c r="K416" s="9" t="n">
        <v>4</v>
      </c>
      <c r="L416" s="17"/>
      <c r="M416" s="16" t="s">
        <v>95</v>
      </c>
      <c r="N416" s="14" t="s">
        <v>236</v>
      </c>
      <c r="O416" s="17" t="s">
        <v>97</v>
      </c>
      <c r="P416" s="15" t="s">
        <v>1634</v>
      </c>
      <c r="Q416" s="17"/>
      <c r="R416" s="18" t="s">
        <v>95</v>
      </c>
      <c r="S416" s="19" t="s">
        <v>236</v>
      </c>
      <c r="T416" s="15" t="str">
        <f aca="false">IF(R416="維持",J416,IF(R416="排除","無關新聞事件",IFERROR(INDEX(事件規則!$B$2:$B$53,MATCH(S416,事件規則!$A$2:$A$53,0)),"")))</f>
        <v>反壟斷調查</v>
      </c>
      <c r="U416" s="20" t="n">
        <f aca="false">IF(R416="維持",K416,IF(R416="排除",0,IFERROR(INDEX(事件規則!$C$2:$C$53,MATCH(S416,事件規則!$A$2:$A$53,0)),"")))</f>
        <v>4</v>
      </c>
      <c r="V416" s="21"/>
      <c r="W416" s="22"/>
      <c r="X416" s="10" t="str">
        <f aca="false">IF(AND(R416="修改",S416=""),"請選新事件代碼",IF(AND(R416&lt;&gt;"修改",S416&lt;&gt;""),"只有「修改」才需填代碼",""))</f>
        <v/>
      </c>
      <c r="Y416" s="21"/>
      <c r="Z416" s="22"/>
      <c r="AA416" s="12" t="s">
        <v>1704</v>
      </c>
      <c r="AB416" s="12"/>
    </row>
    <row r="417" customFormat="false" ht="29.85" hidden="false" customHeight="false" outlineLevel="0" collapsed="false">
      <c r="A417" s="17" t="n">
        <v>416</v>
      </c>
      <c r="B417" s="9" t="s">
        <v>1693</v>
      </c>
      <c r="C417" s="9" t="s">
        <v>1694</v>
      </c>
      <c r="D417" s="10" t="s">
        <v>1695</v>
      </c>
      <c r="E417" s="11" t="s">
        <v>1705</v>
      </c>
      <c r="F417" s="15"/>
      <c r="G417" s="12" t="s">
        <v>651</v>
      </c>
      <c r="H417" s="13" t="n">
        <v>-0.835</v>
      </c>
      <c r="I417" s="14" t="s">
        <v>695</v>
      </c>
      <c r="J417" s="15" t="s">
        <v>1180</v>
      </c>
      <c r="K417" s="9" t="n">
        <v>4</v>
      </c>
      <c r="L417" s="17"/>
      <c r="M417" s="16" t="s">
        <v>105</v>
      </c>
      <c r="N417" s="14"/>
      <c r="O417" s="17" t="s">
        <v>97</v>
      </c>
      <c r="P417" s="10" t="s">
        <v>1698</v>
      </c>
      <c r="Q417" s="17"/>
      <c r="R417" s="18" t="s">
        <v>105</v>
      </c>
      <c r="S417" s="19"/>
      <c r="T417" s="15" t="str">
        <f aca="false">IF(R417="維持",J417,IF(R417="排除","無關新聞事件",IFERROR(INDEX(事件規則!$B$2:$B$53,MATCH(S417,事件規則!$A$2:$A$53,0)),"")))</f>
        <v>監管裁罰</v>
      </c>
      <c r="U417" s="20" t="n">
        <f aca="false">IF(R417="維持",K417,IF(R417="排除",0,IFERROR(INDEX(事件規則!$C$2:$C$53,MATCH(S417,事件規則!$A$2:$A$53,0)),"")))</f>
        <v>4</v>
      </c>
      <c r="V417" s="21"/>
      <c r="W417" s="22"/>
      <c r="X417" s="10" t="str">
        <f aca="false">IF(AND(R417="修改",S417=""),"請選新事件代碼",IF(AND(R417&lt;&gt;"修改",S417&lt;&gt;""),"只有「修改」才需填代碼",""))</f>
        <v/>
      </c>
      <c r="Y417" s="21"/>
      <c r="Z417" s="22"/>
      <c r="AA417" s="12" t="s">
        <v>1706</v>
      </c>
      <c r="AB417" s="12"/>
    </row>
    <row r="418" customFormat="false" ht="29.85" hidden="false" customHeight="false" outlineLevel="0" collapsed="false">
      <c r="A418" s="17" t="n">
        <v>417</v>
      </c>
      <c r="B418" s="9" t="s">
        <v>1693</v>
      </c>
      <c r="C418" s="9" t="s">
        <v>1694</v>
      </c>
      <c r="D418" s="10" t="s">
        <v>1695</v>
      </c>
      <c r="E418" s="11" t="s">
        <v>1707</v>
      </c>
      <c r="F418" s="15"/>
      <c r="G418" s="12" t="s">
        <v>123</v>
      </c>
      <c r="H418" s="13" t="n">
        <v>-0.471</v>
      </c>
      <c r="I418" s="14" t="s">
        <v>695</v>
      </c>
      <c r="J418" s="15" t="s">
        <v>1180</v>
      </c>
      <c r="K418" s="9" t="n">
        <v>4</v>
      </c>
      <c r="L418" s="17"/>
      <c r="M418" s="16" t="s">
        <v>105</v>
      </c>
      <c r="N418" s="14"/>
      <c r="O418" s="17" t="s">
        <v>97</v>
      </c>
      <c r="P418" s="10" t="s">
        <v>1698</v>
      </c>
      <c r="Q418" s="17"/>
      <c r="R418" s="18" t="s">
        <v>105</v>
      </c>
      <c r="S418" s="19"/>
      <c r="T418" s="15" t="str">
        <f aca="false">IF(R418="維持",J418,IF(R418="排除","無關新聞事件",IFERROR(INDEX(事件規則!$B$2:$B$53,MATCH(S418,事件規則!$A$2:$A$53,0)),"")))</f>
        <v>監管裁罰</v>
      </c>
      <c r="U418" s="20" t="n">
        <f aca="false">IF(R418="維持",K418,IF(R418="排除",0,IFERROR(INDEX(事件規則!$C$2:$C$53,MATCH(S418,事件規則!$A$2:$A$53,0)),"")))</f>
        <v>4</v>
      </c>
      <c r="V418" s="21"/>
      <c r="W418" s="22"/>
      <c r="X418" s="10" t="str">
        <f aca="false">IF(AND(R418="修改",S418=""),"請選新事件代碼",IF(AND(R418&lt;&gt;"修改",S418&lt;&gt;""),"只有「修改」才需填代碼",""))</f>
        <v/>
      </c>
      <c r="Y418" s="21"/>
      <c r="Z418" s="22"/>
      <c r="AA418" s="12" t="s">
        <v>1708</v>
      </c>
      <c r="AB418" s="12"/>
    </row>
    <row r="419" customFormat="false" ht="29.85" hidden="false" customHeight="false" outlineLevel="0" collapsed="false">
      <c r="A419" s="17" t="n">
        <v>418</v>
      </c>
      <c r="B419" s="9" t="s">
        <v>1693</v>
      </c>
      <c r="C419" s="9" t="s">
        <v>240</v>
      </c>
      <c r="D419" s="10" t="s">
        <v>241</v>
      </c>
      <c r="E419" s="11" t="s">
        <v>1709</v>
      </c>
      <c r="F419" s="15"/>
      <c r="G419" s="12" t="s">
        <v>244</v>
      </c>
      <c r="H419" s="13" t="n">
        <v>-0.079</v>
      </c>
      <c r="I419" s="14" t="s">
        <v>695</v>
      </c>
      <c r="J419" s="15" t="s">
        <v>1180</v>
      </c>
      <c r="K419" s="9" t="n">
        <v>4</v>
      </c>
      <c r="L419" s="17"/>
      <c r="M419" s="16" t="s">
        <v>95</v>
      </c>
      <c r="N419" s="14" t="s">
        <v>236</v>
      </c>
      <c r="O419" s="17" t="s">
        <v>97</v>
      </c>
      <c r="P419" s="15" t="s">
        <v>1634</v>
      </c>
      <c r="Q419" s="17"/>
      <c r="R419" s="18" t="s">
        <v>95</v>
      </c>
      <c r="S419" s="19" t="s">
        <v>236</v>
      </c>
      <c r="T419" s="15" t="str">
        <f aca="false">IF(R419="維持",J419,IF(R419="排除","無關新聞事件",IFERROR(INDEX(事件規則!$B$2:$B$53,MATCH(S419,事件規則!$A$2:$A$53,0)),"")))</f>
        <v>反壟斷調查</v>
      </c>
      <c r="U419" s="20" t="n">
        <f aca="false">IF(R419="維持",K419,IF(R419="排除",0,IFERROR(INDEX(事件規則!$C$2:$C$53,MATCH(S419,事件規則!$A$2:$A$53,0)),"")))</f>
        <v>4</v>
      </c>
      <c r="V419" s="21"/>
      <c r="W419" s="22"/>
      <c r="X419" s="10" t="str">
        <f aca="false">IF(AND(R419="修改",S419=""),"請選新事件代碼",IF(AND(R419&lt;&gt;"修改",S419&lt;&gt;""),"只有「修改」才需填代碼",""))</f>
        <v/>
      </c>
      <c r="Y419" s="21"/>
      <c r="Z419" s="22"/>
      <c r="AA419" s="12" t="s">
        <v>1710</v>
      </c>
      <c r="AB419" s="12"/>
    </row>
    <row r="420" customFormat="false" ht="35.05" hidden="false" customHeight="false" outlineLevel="0" collapsed="false">
      <c r="A420" s="17" t="n">
        <v>419</v>
      </c>
      <c r="B420" s="9" t="s">
        <v>1693</v>
      </c>
      <c r="C420" s="9" t="s">
        <v>1636</v>
      </c>
      <c r="D420" s="10" t="s">
        <v>1637</v>
      </c>
      <c r="E420" s="11" t="s">
        <v>1711</v>
      </c>
      <c r="F420" s="15"/>
      <c r="G420" s="12" t="s">
        <v>1712</v>
      </c>
      <c r="H420" s="13" t="n">
        <v>0.547</v>
      </c>
      <c r="I420" s="14" t="s">
        <v>695</v>
      </c>
      <c r="J420" s="15" t="s">
        <v>1180</v>
      </c>
      <c r="K420" s="9" t="n">
        <v>4</v>
      </c>
      <c r="L420" s="17"/>
      <c r="M420" s="16" t="s">
        <v>53</v>
      </c>
      <c r="N420" s="14"/>
      <c r="O420" s="17" t="s">
        <v>54</v>
      </c>
      <c r="P420" s="10" t="s">
        <v>1713</v>
      </c>
      <c r="Q420" s="17"/>
      <c r="R420" s="18" t="s">
        <v>53</v>
      </c>
      <c r="S420" s="19"/>
      <c r="T420" s="15" t="str">
        <f aca="false">IF(R420="維持",J420,IF(R420="排除","無關新聞事件",IFERROR(INDEX(事件規則!$B$2:$B$53,MATCH(S420,事件規則!$A$2:$A$53,0)),"")))</f>
        <v>無關新聞事件</v>
      </c>
      <c r="U420" s="20" t="n">
        <f aca="false">IF(R420="維持",K420,IF(R420="排除",0,IFERROR(INDEX(事件規則!$C$2:$C$53,MATCH(S420,事件規則!$A$2:$A$53,0)),"")))</f>
        <v>0</v>
      </c>
      <c r="V420" s="21"/>
      <c r="W420" s="22"/>
      <c r="X420" s="10" t="str">
        <f aca="false">IF(AND(R420="修改",S420=""),"請選新事件代碼",IF(AND(R420&lt;&gt;"修改",S420&lt;&gt;""),"只有「修改」才需填代碼",""))</f>
        <v/>
      </c>
      <c r="Y420" s="21"/>
      <c r="Z420" s="22"/>
      <c r="AA420" s="12" t="s">
        <v>1714</v>
      </c>
      <c r="AB420" s="12"/>
    </row>
    <row r="421" customFormat="false" ht="29.85" hidden="false" customHeight="false" outlineLevel="0" collapsed="false">
      <c r="A421" s="17" t="n">
        <v>420</v>
      </c>
      <c r="B421" s="9" t="s">
        <v>1693</v>
      </c>
      <c r="C421" s="9" t="s">
        <v>1694</v>
      </c>
      <c r="D421" s="10" t="s">
        <v>1695</v>
      </c>
      <c r="E421" s="11" t="s">
        <v>1715</v>
      </c>
      <c r="F421" s="15"/>
      <c r="G421" s="12" t="s">
        <v>175</v>
      </c>
      <c r="H421" s="13" t="n">
        <v>-0.017</v>
      </c>
      <c r="I421" s="14" t="s">
        <v>695</v>
      </c>
      <c r="J421" s="15" t="s">
        <v>1180</v>
      </c>
      <c r="K421" s="9" t="n">
        <v>4</v>
      </c>
      <c r="L421" s="17"/>
      <c r="M421" s="16" t="s">
        <v>105</v>
      </c>
      <c r="N421" s="14"/>
      <c r="O421" s="17" t="s">
        <v>97</v>
      </c>
      <c r="P421" s="10" t="s">
        <v>1698</v>
      </c>
      <c r="Q421" s="17"/>
      <c r="R421" s="18" t="s">
        <v>105</v>
      </c>
      <c r="S421" s="19"/>
      <c r="T421" s="15" t="str">
        <f aca="false">IF(R421="維持",J421,IF(R421="排除","無關新聞事件",IFERROR(INDEX(事件規則!$B$2:$B$53,MATCH(S421,事件規則!$A$2:$A$53,0)),"")))</f>
        <v>監管裁罰</v>
      </c>
      <c r="U421" s="20" t="n">
        <f aca="false">IF(R421="維持",K421,IF(R421="排除",0,IFERROR(INDEX(事件規則!$C$2:$C$53,MATCH(S421,事件規則!$A$2:$A$53,0)),"")))</f>
        <v>4</v>
      </c>
      <c r="V421" s="21"/>
      <c r="W421" s="22"/>
      <c r="X421" s="10" t="str">
        <f aca="false">IF(AND(R421="修改",S421=""),"請選新事件代碼",IF(AND(R421&lt;&gt;"修改",S421&lt;&gt;""),"只有「修改」才需填代碼",""))</f>
        <v/>
      </c>
      <c r="Y421" s="21"/>
      <c r="Z421" s="22"/>
      <c r="AA421" s="12" t="s">
        <v>1716</v>
      </c>
      <c r="AB421" s="12"/>
    </row>
    <row r="422" customFormat="false" ht="35.05" hidden="false" customHeight="false" outlineLevel="0" collapsed="false">
      <c r="A422" s="17" t="n">
        <v>421</v>
      </c>
      <c r="B422" s="9" t="s">
        <v>1717</v>
      </c>
      <c r="C422" s="9" t="s">
        <v>113</v>
      </c>
      <c r="D422" s="10" t="s">
        <v>114</v>
      </c>
      <c r="E422" s="11" t="s">
        <v>1718</v>
      </c>
      <c r="F422" s="15"/>
      <c r="G422" s="12" t="s">
        <v>84</v>
      </c>
      <c r="H422" s="13" t="n">
        <v>0.859</v>
      </c>
      <c r="I422" s="14" t="s">
        <v>695</v>
      </c>
      <c r="J422" s="15" t="s">
        <v>1180</v>
      </c>
      <c r="K422" s="9" t="n">
        <v>4</v>
      </c>
      <c r="L422" s="17"/>
      <c r="M422" s="16" t="s">
        <v>53</v>
      </c>
      <c r="N422" s="14"/>
      <c r="O422" s="17" t="s">
        <v>97</v>
      </c>
      <c r="P422" s="10" t="s">
        <v>1719</v>
      </c>
      <c r="Q422" s="17"/>
      <c r="R422" s="18" t="s">
        <v>53</v>
      </c>
      <c r="S422" s="19"/>
      <c r="T422" s="15" t="str">
        <f aca="false">IF(R422="維持",J422,IF(R422="排除","無關新聞事件",IFERROR(INDEX(事件規則!$B$2:$B$53,MATCH(S422,事件規則!$A$2:$A$53,0)),"")))</f>
        <v>無關新聞事件</v>
      </c>
      <c r="U422" s="20" t="n">
        <f aca="false">IF(R422="維持",K422,IF(R422="排除",0,IFERROR(INDEX(事件規則!$C$2:$C$53,MATCH(S422,事件規則!$A$2:$A$53,0)),"")))</f>
        <v>0</v>
      </c>
      <c r="V422" s="21"/>
      <c r="W422" s="22"/>
      <c r="X422" s="10" t="str">
        <f aca="false">IF(AND(R422="修改",S422=""),"請選新事件代碼",IF(AND(R422&lt;&gt;"修改",S422&lt;&gt;""),"只有「修改」才需填代碼",""))</f>
        <v/>
      </c>
      <c r="Y422" s="21"/>
      <c r="Z422" s="22"/>
      <c r="AA422" s="12" t="s">
        <v>1720</v>
      </c>
      <c r="AB422" s="12"/>
    </row>
    <row r="423" customFormat="false" ht="29.85" hidden="false" customHeight="false" outlineLevel="0" collapsed="false">
      <c r="A423" s="17" t="n">
        <v>422</v>
      </c>
      <c r="B423" s="9" t="s">
        <v>1717</v>
      </c>
      <c r="C423" s="9" t="s">
        <v>240</v>
      </c>
      <c r="D423" s="10" t="s">
        <v>241</v>
      </c>
      <c r="E423" s="11" t="s">
        <v>1721</v>
      </c>
      <c r="F423" s="15"/>
      <c r="G423" s="12" t="s">
        <v>244</v>
      </c>
      <c r="H423" s="13" t="n">
        <v>0.842</v>
      </c>
      <c r="I423" s="14" t="s">
        <v>695</v>
      </c>
      <c r="J423" s="15" t="s">
        <v>1180</v>
      </c>
      <c r="K423" s="9" t="n">
        <v>4</v>
      </c>
      <c r="L423" s="17"/>
      <c r="M423" s="16" t="s">
        <v>95</v>
      </c>
      <c r="N423" s="14" t="s">
        <v>236</v>
      </c>
      <c r="O423" s="17" t="s">
        <v>97</v>
      </c>
      <c r="P423" s="15" t="s">
        <v>1634</v>
      </c>
      <c r="Q423" s="17"/>
      <c r="R423" s="18" t="s">
        <v>95</v>
      </c>
      <c r="S423" s="19" t="s">
        <v>236</v>
      </c>
      <c r="T423" s="15" t="str">
        <f aca="false">IF(R423="維持",J423,IF(R423="排除","無關新聞事件",IFERROR(INDEX(事件規則!$B$2:$B$53,MATCH(S423,事件規則!$A$2:$A$53,0)),"")))</f>
        <v>反壟斷調查</v>
      </c>
      <c r="U423" s="20" t="n">
        <f aca="false">IF(R423="維持",K423,IF(R423="排除",0,IFERROR(INDEX(事件規則!$C$2:$C$53,MATCH(S423,事件規則!$A$2:$A$53,0)),"")))</f>
        <v>4</v>
      </c>
      <c r="V423" s="21"/>
      <c r="W423" s="22"/>
      <c r="X423" s="10" t="str">
        <f aca="false">IF(AND(R423="修改",S423=""),"請選新事件代碼",IF(AND(R423&lt;&gt;"修改",S423&lt;&gt;""),"只有「修改」才需填代碼",""))</f>
        <v/>
      </c>
      <c r="Y423" s="21"/>
      <c r="Z423" s="22"/>
      <c r="AA423" s="12" t="s">
        <v>1722</v>
      </c>
      <c r="AB423" s="12"/>
    </row>
    <row r="424" customFormat="false" ht="35.05" hidden="false" customHeight="false" outlineLevel="0" collapsed="false">
      <c r="A424" s="17" t="n">
        <v>423</v>
      </c>
      <c r="B424" s="9" t="s">
        <v>1717</v>
      </c>
      <c r="C424" s="9" t="s">
        <v>1636</v>
      </c>
      <c r="D424" s="10" t="s">
        <v>1637</v>
      </c>
      <c r="E424" s="11" t="s">
        <v>1723</v>
      </c>
      <c r="F424" s="15"/>
      <c r="G424" s="12" t="s">
        <v>140</v>
      </c>
      <c r="H424" s="13" t="n">
        <v>0.076</v>
      </c>
      <c r="I424" s="14" t="s">
        <v>695</v>
      </c>
      <c r="J424" s="15" t="s">
        <v>1180</v>
      </c>
      <c r="K424" s="9" t="n">
        <v>4</v>
      </c>
      <c r="L424" s="17"/>
      <c r="M424" s="16" t="s">
        <v>53</v>
      </c>
      <c r="N424" s="14"/>
      <c r="O424" s="17" t="s">
        <v>97</v>
      </c>
      <c r="P424" s="10" t="s">
        <v>1652</v>
      </c>
      <c r="Q424" s="17"/>
      <c r="R424" s="18" t="s">
        <v>53</v>
      </c>
      <c r="S424" s="19"/>
      <c r="T424" s="15" t="str">
        <f aca="false">IF(R424="維持",J424,IF(R424="排除","無關新聞事件",IFERROR(INDEX(事件規則!$B$2:$B$53,MATCH(S424,事件規則!$A$2:$A$53,0)),"")))</f>
        <v>無關新聞事件</v>
      </c>
      <c r="U424" s="20" t="n">
        <f aca="false">IF(R424="維持",K424,IF(R424="排除",0,IFERROR(INDEX(事件規則!$C$2:$C$53,MATCH(S424,事件規則!$A$2:$A$53,0)),"")))</f>
        <v>0</v>
      </c>
      <c r="V424" s="21"/>
      <c r="W424" s="22"/>
      <c r="X424" s="10" t="str">
        <f aca="false">IF(AND(R424="修改",S424=""),"請選新事件代碼",IF(AND(R424&lt;&gt;"修改",S424&lt;&gt;""),"只有「修改」才需填代碼",""))</f>
        <v/>
      </c>
      <c r="Y424" s="21"/>
      <c r="Z424" s="22"/>
      <c r="AA424" s="12" t="s">
        <v>1724</v>
      </c>
      <c r="AB424" s="12"/>
    </row>
    <row r="425" customFormat="false" ht="23.85" hidden="false" customHeight="false" outlineLevel="0" collapsed="false">
      <c r="A425" s="17" t="n">
        <v>424</v>
      </c>
      <c r="B425" s="9" t="s">
        <v>1717</v>
      </c>
      <c r="C425" s="9" t="s">
        <v>1725</v>
      </c>
      <c r="D425" s="10" t="s">
        <v>1726</v>
      </c>
      <c r="E425" s="11" t="s">
        <v>1727</v>
      </c>
      <c r="F425" s="15"/>
      <c r="G425" s="12" t="s">
        <v>833</v>
      </c>
      <c r="H425" s="13" t="n">
        <v>-0.025</v>
      </c>
      <c r="I425" s="14" t="s">
        <v>695</v>
      </c>
      <c r="J425" s="15" t="s">
        <v>1180</v>
      </c>
      <c r="K425" s="9" t="n">
        <v>4</v>
      </c>
      <c r="L425" s="17"/>
      <c r="M425" s="16" t="s">
        <v>53</v>
      </c>
      <c r="N425" s="14"/>
      <c r="O425" s="17" t="s">
        <v>97</v>
      </c>
      <c r="P425" s="10" t="s">
        <v>1728</v>
      </c>
      <c r="Q425" s="17"/>
      <c r="R425" s="18" t="s">
        <v>53</v>
      </c>
      <c r="S425" s="19"/>
      <c r="T425" s="15" t="str">
        <f aca="false">IF(R425="維持",J425,IF(R425="排除","無關新聞事件",IFERROR(INDEX(事件規則!$B$2:$B$53,MATCH(S425,事件規則!$A$2:$A$53,0)),"")))</f>
        <v>無關新聞事件</v>
      </c>
      <c r="U425" s="20" t="n">
        <f aca="false">IF(R425="維持",K425,IF(R425="排除",0,IFERROR(INDEX(事件規則!$C$2:$C$53,MATCH(S425,事件規則!$A$2:$A$53,0)),"")))</f>
        <v>0</v>
      </c>
      <c r="V425" s="21"/>
      <c r="W425" s="22"/>
      <c r="X425" s="10" t="str">
        <f aca="false">IF(AND(R425="修改",S425=""),"請選新事件代碼",IF(AND(R425&lt;&gt;"修改",S425&lt;&gt;""),"只有「修改」才需填代碼",""))</f>
        <v/>
      </c>
      <c r="Y425" s="21"/>
      <c r="Z425" s="22"/>
      <c r="AA425" s="12" t="s">
        <v>1729</v>
      </c>
      <c r="AB425" s="12"/>
    </row>
    <row r="426" customFormat="false" ht="35.05" hidden="false" customHeight="false" outlineLevel="0" collapsed="false">
      <c r="A426" s="17" t="n">
        <v>425</v>
      </c>
      <c r="B426" s="9" t="s">
        <v>862</v>
      </c>
      <c r="C426" s="9" t="s">
        <v>1636</v>
      </c>
      <c r="D426" s="10" t="s">
        <v>1637</v>
      </c>
      <c r="E426" s="11" t="s">
        <v>1730</v>
      </c>
      <c r="F426" s="15"/>
      <c r="G426" s="12" t="s">
        <v>84</v>
      </c>
      <c r="H426" s="13" t="n">
        <v>-0.936</v>
      </c>
      <c r="I426" s="14" t="s">
        <v>695</v>
      </c>
      <c r="J426" s="15" t="s">
        <v>1180</v>
      </c>
      <c r="K426" s="9" t="n">
        <v>4</v>
      </c>
      <c r="L426" s="17"/>
      <c r="M426" s="16" t="s">
        <v>53</v>
      </c>
      <c r="N426" s="14"/>
      <c r="O426" s="17" t="s">
        <v>54</v>
      </c>
      <c r="P426" s="10" t="s">
        <v>1713</v>
      </c>
      <c r="Q426" s="17"/>
      <c r="R426" s="18" t="s">
        <v>53</v>
      </c>
      <c r="S426" s="19"/>
      <c r="T426" s="15" t="str">
        <f aca="false">IF(R426="維持",J426,IF(R426="排除","無關新聞事件",IFERROR(INDEX(事件規則!$B$2:$B$53,MATCH(S426,事件規則!$A$2:$A$53,0)),"")))</f>
        <v>無關新聞事件</v>
      </c>
      <c r="U426" s="20" t="n">
        <f aca="false">IF(R426="維持",K426,IF(R426="排除",0,IFERROR(INDEX(事件規則!$C$2:$C$53,MATCH(S426,事件規則!$A$2:$A$53,0)),"")))</f>
        <v>0</v>
      </c>
      <c r="V426" s="21"/>
      <c r="W426" s="22"/>
      <c r="X426" s="10" t="str">
        <f aca="false">IF(AND(R426="修改",S426=""),"請選新事件代碼",IF(AND(R426&lt;&gt;"修改",S426&lt;&gt;""),"只有「修改」才需填代碼",""))</f>
        <v/>
      </c>
      <c r="Y426" s="21"/>
      <c r="Z426" s="22"/>
      <c r="AA426" s="12" t="s">
        <v>1731</v>
      </c>
      <c r="AB426" s="12"/>
    </row>
    <row r="427" customFormat="false" ht="29.85" hidden="false" customHeight="false" outlineLevel="0" collapsed="false">
      <c r="A427" s="17" t="n">
        <v>426</v>
      </c>
      <c r="B427" s="9" t="s">
        <v>862</v>
      </c>
      <c r="C427" s="9" t="s">
        <v>796</v>
      </c>
      <c r="D427" s="10" t="s">
        <v>795</v>
      </c>
      <c r="E427" s="11" t="s">
        <v>1732</v>
      </c>
      <c r="F427" s="15"/>
      <c r="G427" s="12" t="s">
        <v>84</v>
      </c>
      <c r="H427" s="13" t="n">
        <v>0.146</v>
      </c>
      <c r="I427" s="14" t="s">
        <v>695</v>
      </c>
      <c r="J427" s="15" t="s">
        <v>1180</v>
      </c>
      <c r="K427" s="9" t="n">
        <v>4</v>
      </c>
      <c r="L427" s="17"/>
      <c r="M427" s="16" t="s">
        <v>95</v>
      </c>
      <c r="N427" s="14" t="s">
        <v>96</v>
      </c>
      <c r="O427" s="17" t="s">
        <v>97</v>
      </c>
      <c r="P427" s="10" t="s">
        <v>1733</v>
      </c>
      <c r="Q427" s="17"/>
      <c r="R427" s="18" t="s">
        <v>95</v>
      </c>
      <c r="S427" s="19" t="s">
        <v>96</v>
      </c>
      <c r="T427" s="15" t="str">
        <f aca="false">IF(R427="維持",J427,IF(R427="排除","無關新聞事件",IFERROR(INDEX(事件規則!$B$2:$B$53,MATCH(S427,事件規則!$A$2:$A$53,0)),"")))</f>
        <v>重大訴訟</v>
      </c>
      <c r="U427" s="20" t="n">
        <f aca="false">IF(R427="維持",K427,IF(R427="排除",0,IFERROR(INDEX(事件規則!$C$2:$C$53,MATCH(S427,事件規則!$A$2:$A$53,0)),"")))</f>
        <v>4</v>
      </c>
      <c r="V427" s="21"/>
      <c r="W427" s="22"/>
      <c r="X427" s="10" t="str">
        <f aca="false">IF(AND(R427="修改",S427=""),"請選新事件代碼",IF(AND(R427&lt;&gt;"修改",S427&lt;&gt;""),"只有「修改」才需填代碼",""))</f>
        <v/>
      </c>
      <c r="Y427" s="21"/>
      <c r="Z427" s="22"/>
      <c r="AA427" s="12" t="s">
        <v>1734</v>
      </c>
      <c r="AB427" s="12"/>
    </row>
    <row r="428" customFormat="false" ht="23.85" hidden="false" customHeight="false" outlineLevel="0" collapsed="false">
      <c r="A428" s="17" t="n">
        <v>427</v>
      </c>
      <c r="B428" s="9" t="s">
        <v>862</v>
      </c>
      <c r="C428" s="9" t="s">
        <v>665</v>
      </c>
      <c r="D428" s="10" t="s">
        <v>666</v>
      </c>
      <c r="E428" s="11" t="s">
        <v>1735</v>
      </c>
      <c r="F428" s="15"/>
      <c r="G428" s="12" t="s">
        <v>833</v>
      </c>
      <c r="H428" s="13" t="n">
        <v>0.146</v>
      </c>
      <c r="I428" s="14" t="s">
        <v>695</v>
      </c>
      <c r="J428" s="15" t="s">
        <v>1180</v>
      </c>
      <c r="K428" s="9" t="n">
        <v>4</v>
      </c>
      <c r="L428" s="17"/>
      <c r="M428" s="16" t="s">
        <v>53</v>
      </c>
      <c r="N428" s="14"/>
      <c r="O428" s="17" t="s">
        <v>97</v>
      </c>
      <c r="P428" s="10" t="s">
        <v>1736</v>
      </c>
      <c r="Q428" s="17"/>
      <c r="R428" s="18" t="s">
        <v>53</v>
      </c>
      <c r="S428" s="19"/>
      <c r="T428" s="15" t="str">
        <f aca="false">IF(R428="維持",J428,IF(R428="排除","無關新聞事件",IFERROR(INDEX(事件規則!$B$2:$B$53,MATCH(S428,事件規則!$A$2:$A$53,0)),"")))</f>
        <v>無關新聞事件</v>
      </c>
      <c r="U428" s="20" t="n">
        <f aca="false">IF(R428="維持",K428,IF(R428="排除",0,IFERROR(INDEX(事件規則!$C$2:$C$53,MATCH(S428,事件規則!$A$2:$A$53,0)),"")))</f>
        <v>0</v>
      </c>
      <c r="V428" s="21"/>
      <c r="W428" s="22"/>
      <c r="X428" s="10" t="str">
        <f aca="false">IF(AND(R428="修改",S428=""),"請選新事件代碼",IF(AND(R428&lt;&gt;"修改",S428&lt;&gt;""),"只有「修改」才需填代碼",""))</f>
        <v/>
      </c>
      <c r="Y428" s="21"/>
      <c r="Z428" s="22"/>
      <c r="AA428" s="12" t="s">
        <v>1737</v>
      </c>
      <c r="AB428" s="12"/>
    </row>
    <row r="429" customFormat="false" ht="35.05" hidden="false" customHeight="false" outlineLevel="0" collapsed="false">
      <c r="A429" s="17" t="n">
        <v>428</v>
      </c>
      <c r="B429" s="9" t="s">
        <v>862</v>
      </c>
      <c r="C429" s="9" t="s">
        <v>1636</v>
      </c>
      <c r="D429" s="10" t="s">
        <v>1637</v>
      </c>
      <c r="E429" s="11" t="s">
        <v>1738</v>
      </c>
      <c r="F429" s="15"/>
      <c r="G429" s="12" t="s">
        <v>84</v>
      </c>
      <c r="H429" s="13" t="n">
        <v>0.508</v>
      </c>
      <c r="I429" s="14" t="s">
        <v>695</v>
      </c>
      <c r="J429" s="15" t="s">
        <v>1180</v>
      </c>
      <c r="K429" s="9" t="n">
        <v>4</v>
      </c>
      <c r="L429" s="17"/>
      <c r="M429" s="16" t="s">
        <v>53</v>
      </c>
      <c r="N429" s="14"/>
      <c r="O429" s="17" t="s">
        <v>54</v>
      </c>
      <c r="P429" s="10" t="s">
        <v>1713</v>
      </c>
      <c r="Q429" s="17"/>
      <c r="R429" s="18" t="s">
        <v>53</v>
      </c>
      <c r="S429" s="19"/>
      <c r="T429" s="15" t="str">
        <f aca="false">IF(R429="維持",J429,IF(R429="排除","無關新聞事件",IFERROR(INDEX(事件規則!$B$2:$B$53,MATCH(S429,事件規則!$A$2:$A$53,0)),"")))</f>
        <v>無關新聞事件</v>
      </c>
      <c r="U429" s="20" t="n">
        <f aca="false">IF(R429="維持",K429,IF(R429="排除",0,IFERROR(INDEX(事件規則!$C$2:$C$53,MATCH(S429,事件規則!$A$2:$A$53,0)),"")))</f>
        <v>0</v>
      </c>
      <c r="V429" s="21"/>
      <c r="W429" s="22"/>
      <c r="X429" s="10" t="str">
        <f aca="false">IF(AND(R429="修改",S429=""),"請選新事件代碼",IF(AND(R429&lt;&gt;"修改",S429&lt;&gt;""),"只有「修改」才需填代碼",""))</f>
        <v/>
      </c>
      <c r="Y429" s="21"/>
      <c r="Z429" s="22"/>
      <c r="AA429" s="12" t="s">
        <v>1739</v>
      </c>
      <c r="AB429" s="12"/>
    </row>
    <row r="430" customFormat="false" ht="35.05" hidden="false" customHeight="false" outlineLevel="0" collapsed="false">
      <c r="A430" s="17" t="n">
        <v>429</v>
      </c>
      <c r="B430" s="9" t="s">
        <v>1740</v>
      </c>
      <c r="C430" s="9" t="s">
        <v>1636</v>
      </c>
      <c r="D430" s="10" t="s">
        <v>1637</v>
      </c>
      <c r="E430" s="11" t="s">
        <v>1741</v>
      </c>
      <c r="F430" s="15"/>
      <c r="G430" s="12" t="s">
        <v>1742</v>
      </c>
      <c r="H430" s="13" t="n">
        <v>0.685</v>
      </c>
      <c r="I430" s="14" t="s">
        <v>695</v>
      </c>
      <c r="J430" s="15" t="s">
        <v>1180</v>
      </c>
      <c r="K430" s="9" t="n">
        <v>4</v>
      </c>
      <c r="L430" s="17"/>
      <c r="M430" s="16" t="s">
        <v>53</v>
      </c>
      <c r="N430" s="14"/>
      <c r="O430" s="17" t="s">
        <v>97</v>
      </c>
      <c r="P430" s="10" t="s">
        <v>1652</v>
      </c>
      <c r="Q430" s="17"/>
      <c r="R430" s="18" t="s">
        <v>53</v>
      </c>
      <c r="S430" s="19"/>
      <c r="T430" s="15" t="str">
        <f aca="false">IF(R430="維持",J430,IF(R430="排除","無關新聞事件",IFERROR(INDEX(事件規則!$B$2:$B$53,MATCH(S430,事件規則!$A$2:$A$53,0)),"")))</f>
        <v>無關新聞事件</v>
      </c>
      <c r="U430" s="20" t="n">
        <f aca="false">IF(R430="維持",K430,IF(R430="排除",0,IFERROR(INDEX(事件規則!$C$2:$C$53,MATCH(S430,事件規則!$A$2:$A$53,0)),"")))</f>
        <v>0</v>
      </c>
      <c r="V430" s="21"/>
      <c r="W430" s="22"/>
      <c r="X430" s="10" t="str">
        <f aca="false">IF(AND(R430="修改",S430=""),"請選新事件代碼",IF(AND(R430&lt;&gt;"修改",S430&lt;&gt;""),"只有「修改」才需填代碼",""))</f>
        <v/>
      </c>
      <c r="Y430" s="21"/>
      <c r="Z430" s="22"/>
      <c r="AA430" s="12" t="s">
        <v>1743</v>
      </c>
      <c r="AB430" s="12"/>
    </row>
    <row r="431" customFormat="false" ht="29.85" hidden="false" customHeight="false" outlineLevel="0" collapsed="false">
      <c r="A431" s="17" t="n">
        <v>430</v>
      </c>
      <c r="B431" s="9" t="s">
        <v>865</v>
      </c>
      <c r="C431" s="9" t="s">
        <v>1744</v>
      </c>
      <c r="D431" s="10" t="s">
        <v>1745</v>
      </c>
      <c r="E431" s="11" t="s">
        <v>1746</v>
      </c>
      <c r="F431" s="15"/>
      <c r="G431" s="12" t="s">
        <v>1747</v>
      </c>
      <c r="H431" s="13" t="n">
        <v>-0.948</v>
      </c>
      <c r="I431" s="14" t="s">
        <v>695</v>
      </c>
      <c r="J431" s="15" t="s">
        <v>1180</v>
      </c>
      <c r="K431" s="9" t="n">
        <v>4</v>
      </c>
      <c r="L431" s="17"/>
      <c r="M431" s="16" t="s">
        <v>95</v>
      </c>
      <c r="N431" s="14" t="s">
        <v>516</v>
      </c>
      <c r="O431" s="17" t="s">
        <v>97</v>
      </c>
      <c r="P431" s="10" t="s">
        <v>1748</v>
      </c>
      <c r="Q431" s="17"/>
      <c r="R431" s="18" t="s">
        <v>95</v>
      </c>
      <c r="S431" s="19" t="s">
        <v>516</v>
      </c>
      <c r="T431" s="15" t="str">
        <f aca="false">IF(R431="維持",J431,IF(R431="排除","無關新聞事件",IFERROR(INDEX(事件規則!$B$2:$B$53,MATCH(S431,事件規則!$A$2:$A$53,0)),"")))</f>
        <v>資料外洩</v>
      </c>
      <c r="U431" s="20" t="n">
        <f aca="false">IF(R431="維持",K431,IF(R431="排除",0,IFERROR(INDEX(事件規則!$C$2:$C$53,MATCH(S431,事件規則!$A$2:$A$53,0)),"")))</f>
        <v>3</v>
      </c>
      <c r="V431" s="21"/>
      <c r="W431" s="22"/>
      <c r="X431" s="10" t="str">
        <f aca="false">IF(AND(R431="修改",S431=""),"請選新事件代碼",IF(AND(R431&lt;&gt;"修改",S431&lt;&gt;""),"只有「修改」才需填代碼",""))</f>
        <v/>
      </c>
      <c r="Y431" s="21"/>
      <c r="Z431" s="22"/>
      <c r="AA431" s="12" t="s">
        <v>1749</v>
      </c>
      <c r="AB431" s="12"/>
    </row>
    <row r="432" customFormat="false" ht="23.85" hidden="false" customHeight="false" outlineLevel="0" collapsed="false">
      <c r="A432" s="17" t="n">
        <v>431</v>
      </c>
      <c r="B432" s="9" t="s">
        <v>871</v>
      </c>
      <c r="C432" s="9" t="s">
        <v>254</v>
      </c>
      <c r="D432" s="10" t="s">
        <v>255</v>
      </c>
      <c r="E432" s="11" t="s">
        <v>1750</v>
      </c>
      <c r="F432" s="15"/>
      <c r="G432" s="12" t="s">
        <v>84</v>
      </c>
      <c r="H432" s="13" t="n">
        <v>-0.335</v>
      </c>
      <c r="I432" s="14" t="s">
        <v>695</v>
      </c>
      <c r="J432" s="15" t="s">
        <v>1180</v>
      </c>
      <c r="K432" s="9" t="n">
        <v>4</v>
      </c>
      <c r="L432" s="17"/>
      <c r="M432" s="16" t="s">
        <v>53</v>
      </c>
      <c r="N432" s="14"/>
      <c r="O432" s="17" t="s">
        <v>97</v>
      </c>
      <c r="P432" s="15" t="s">
        <v>1751</v>
      </c>
      <c r="Q432" s="17"/>
      <c r="R432" s="18" t="s">
        <v>53</v>
      </c>
      <c r="S432" s="19"/>
      <c r="T432" s="15" t="str">
        <f aca="false">IF(R432="維持",J432,IF(R432="排除","無關新聞事件",IFERROR(INDEX(事件規則!$B$2:$B$53,MATCH(S432,事件規則!$A$2:$A$53,0)),"")))</f>
        <v>無關新聞事件</v>
      </c>
      <c r="U432" s="20" t="n">
        <f aca="false">IF(R432="維持",K432,IF(R432="排除",0,IFERROR(INDEX(事件規則!$C$2:$C$53,MATCH(S432,事件規則!$A$2:$A$53,0)),"")))</f>
        <v>0</v>
      </c>
      <c r="V432" s="21"/>
      <c r="W432" s="22"/>
      <c r="X432" s="10" t="str">
        <f aca="false">IF(AND(R432="修改",S432=""),"請選新事件代碼",IF(AND(R432&lt;&gt;"修改",S432&lt;&gt;""),"只有「修改」才需填代碼",""))</f>
        <v/>
      </c>
      <c r="Y432" s="21"/>
      <c r="Z432" s="22"/>
      <c r="AA432" s="12" t="s">
        <v>1752</v>
      </c>
      <c r="AB432" s="12"/>
    </row>
    <row r="433" customFormat="false" ht="29.85" hidden="false" customHeight="false" outlineLevel="0" collapsed="false">
      <c r="A433" s="17" t="n">
        <v>432</v>
      </c>
      <c r="B433" s="9" t="s">
        <v>871</v>
      </c>
      <c r="C433" s="9" t="s">
        <v>254</v>
      </c>
      <c r="D433" s="10" t="s">
        <v>255</v>
      </c>
      <c r="E433" s="11" t="s">
        <v>1753</v>
      </c>
      <c r="F433" s="15"/>
      <c r="G433" s="12" t="s">
        <v>1754</v>
      </c>
      <c r="H433" s="13" t="n">
        <v>-0.341</v>
      </c>
      <c r="I433" s="14" t="s">
        <v>695</v>
      </c>
      <c r="J433" s="15" t="s">
        <v>1180</v>
      </c>
      <c r="K433" s="9" t="n">
        <v>4</v>
      </c>
      <c r="L433" s="17"/>
      <c r="M433" s="16" t="s">
        <v>105</v>
      </c>
      <c r="N433" s="14"/>
      <c r="O433" s="17" t="s">
        <v>54</v>
      </c>
      <c r="P433" s="15" t="s">
        <v>1755</v>
      </c>
      <c r="Q433" s="17"/>
      <c r="R433" s="18" t="s">
        <v>105</v>
      </c>
      <c r="S433" s="19"/>
      <c r="T433" s="15" t="str">
        <f aca="false">IF(R433="維持",J433,IF(R433="排除","無關新聞事件",IFERROR(INDEX(事件規則!$B$2:$B$53,MATCH(S433,事件規則!$A$2:$A$53,0)),"")))</f>
        <v>監管裁罰</v>
      </c>
      <c r="U433" s="20" t="n">
        <f aca="false">IF(R433="維持",K433,IF(R433="排除",0,IFERROR(INDEX(事件規則!$C$2:$C$53,MATCH(S433,事件規則!$A$2:$A$53,0)),"")))</f>
        <v>4</v>
      </c>
      <c r="V433" s="21"/>
      <c r="W433" s="22"/>
      <c r="X433" s="10" t="str">
        <f aca="false">IF(AND(R433="修改",S433=""),"請選新事件代碼",IF(AND(R433&lt;&gt;"修改",S433&lt;&gt;""),"只有「修改」才需填代碼",""))</f>
        <v/>
      </c>
      <c r="Y433" s="21"/>
      <c r="Z433" s="22"/>
      <c r="AA433" s="12" t="s">
        <v>1756</v>
      </c>
      <c r="AB433" s="12"/>
    </row>
    <row r="434" customFormat="false" ht="29.85" hidden="false" customHeight="false" outlineLevel="0" collapsed="false">
      <c r="A434" s="17" t="n">
        <v>433</v>
      </c>
      <c r="B434" s="9" t="s">
        <v>871</v>
      </c>
      <c r="C434" s="9" t="s">
        <v>254</v>
      </c>
      <c r="D434" s="10" t="s">
        <v>255</v>
      </c>
      <c r="E434" s="11" t="s">
        <v>1757</v>
      </c>
      <c r="F434" s="15"/>
      <c r="G434" s="12" t="s">
        <v>84</v>
      </c>
      <c r="H434" s="13" t="n">
        <v>-0.303</v>
      </c>
      <c r="I434" s="14" t="s">
        <v>695</v>
      </c>
      <c r="J434" s="15" t="s">
        <v>1180</v>
      </c>
      <c r="K434" s="9" t="n">
        <v>4</v>
      </c>
      <c r="L434" s="17"/>
      <c r="M434" s="16" t="s">
        <v>105</v>
      </c>
      <c r="N434" s="14"/>
      <c r="O434" s="17" t="s">
        <v>54</v>
      </c>
      <c r="P434" s="15" t="s">
        <v>1755</v>
      </c>
      <c r="Q434" s="17"/>
      <c r="R434" s="18" t="s">
        <v>105</v>
      </c>
      <c r="S434" s="19"/>
      <c r="T434" s="15" t="str">
        <f aca="false">IF(R434="維持",J434,IF(R434="排除","無關新聞事件",IFERROR(INDEX(事件規則!$B$2:$B$53,MATCH(S434,事件規則!$A$2:$A$53,0)),"")))</f>
        <v>監管裁罰</v>
      </c>
      <c r="U434" s="20" t="n">
        <f aca="false">IF(R434="維持",K434,IF(R434="排除",0,IFERROR(INDEX(事件規則!$C$2:$C$53,MATCH(S434,事件規則!$A$2:$A$53,0)),"")))</f>
        <v>4</v>
      </c>
      <c r="V434" s="21"/>
      <c r="W434" s="22"/>
      <c r="X434" s="10" t="str">
        <f aca="false">IF(AND(R434="修改",S434=""),"請選新事件代碼",IF(AND(R434&lt;&gt;"修改",S434&lt;&gt;""),"只有「修改」才需填代碼",""))</f>
        <v/>
      </c>
      <c r="Y434" s="21"/>
      <c r="Z434" s="22"/>
      <c r="AA434" s="12" t="s">
        <v>1758</v>
      </c>
      <c r="AB434" s="12"/>
    </row>
    <row r="435" customFormat="false" ht="29.85" hidden="false" customHeight="false" outlineLevel="0" collapsed="false">
      <c r="A435" s="17" t="n">
        <v>434</v>
      </c>
      <c r="B435" s="9" t="s">
        <v>871</v>
      </c>
      <c r="C435" s="9" t="s">
        <v>254</v>
      </c>
      <c r="D435" s="10" t="s">
        <v>255</v>
      </c>
      <c r="E435" s="11" t="s">
        <v>1759</v>
      </c>
      <c r="F435" s="15"/>
      <c r="G435" s="12" t="s">
        <v>1121</v>
      </c>
      <c r="H435" s="13" t="n">
        <v>0.86</v>
      </c>
      <c r="I435" s="14" t="s">
        <v>695</v>
      </c>
      <c r="J435" s="15" t="s">
        <v>1180</v>
      </c>
      <c r="K435" s="9" t="n">
        <v>4</v>
      </c>
      <c r="L435" s="17"/>
      <c r="M435" s="16" t="s">
        <v>105</v>
      </c>
      <c r="N435" s="14"/>
      <c r="O435" s="17" t="s">
        <v>54</v>
      </c>
      <c r="P435" s="15" t="s">
        <v>1755</v>
      </c>
      <c r="Q435" s="17"/>
      <c r="R435" s="18" t="s">
        <v>105</v>
      </c>
      <c r="S435" s="19"/>
      <c r="T435" s="15" t="str">
        <f aca="false">IF(R435="維持",J435,IF(R435="排除","無關新聞事件",IFERROR(INDEX(事件規則!$B$2:$B$53,MATCH(S435,事件規則!$A$2:$A$53,0)),"")))</f>
        <v>監管裁罰</v>
      </c>
      <c r="U435" s="20" t="n">
        <f aca="false">IF(R435="維持",K435,IF(R435="排除",0,IFERROR(INDEX(事件規則!$C$2:$C$53,MATCH(S435,事件規則!$A$2:$A$53,0)),"")))</f>
        <v>4</v>
      </c>
      <c r="V435" s="21"/>
      <c r="W435" s="22"/>
      <c r="X435" s="10" t="str">
        <f aca="false">IF(AND(R435="修改",S435=""),"請選新事件代碼",IF(AND(R435&lt;&gt;"修改",S435&lt;&gt;""),"只有「修改」才需填代碼",""))</f>
        <v/>
      </c>
      <c r="Y435" s="21"/>
      <c r="Z435" s="22"/>
      <c r="AA435" s="12" t="s">
        <v>1760</v>
      </c>
      <c r="AB435" s="12"/>
    </row>
    <row r="436" customFormat="false" ht="29.85" hidden="false" customHeight="false" outlineLevel="0" collapsed="false">
      <c r="A436" s="17" t="n">
        <v>435</v>
      </c>
      <c r="B436" s="9" t="s">
        <v>871</v>
      </c>
      <c r="C436" s="9" t="s">
        <v>240</v>
      </c>
      <c r="D436" s="10" t="s">
        <v>241</v>
      </c>
      <c r="E436" s="11" t="s">
        <v>1761</v>
      </c>
      <c r="F436" s="15"/>
      <c r="G436" s="12" t="s">
        <v>244</v>
      </c>
      <c r="H436" s="13" t="n">
        <v>0.739</v>
      </c>
      <c r="I436" s="14" t="s">
        <v>695</v>
      </c>
      <c r="J436" s="15" t="s">
        <v>1180</v>
      </c>
      <c r="K436" s="9" t="n">
        <v>4</v>
      </c>
      <c r="L436" s="17"/>
      <c r="M436" s="16" t="s">
        <v>53</v>
      </c>
      <c r="N436" s="14"/>
      <c r="O436" s="17" t="s">
        <v>97</v>
      </c>
      <c r="P436" s="15" t="s">
        <v>1762</v>
      </c>
      <c r="Q436" s="17"/>
      <c r="R436" s="18" t="s">
        <v>53</v>
      </c>
      <c r="S436" s="19"/>
      <c r="T436" s="15" t="str">
        <f aca="false">IF(R436="維持",J436,IF(R436="排除","無關新聞事件",IFERROR(INDEX(事件規則!$B$2:$B$53,MATCH(S436,事件規則!$A$2:$A$53,0)),"")))</f>
        <v>無關新聞事件</v>
      </c>
      <c r="U436" s="20" t="n">
        <f aca="false">IF(R436="維持",K436,IF(R436="排除",0,IFERROR(INDEX(事件規則!$C$2:$C$53,MATCH(S436,事件規則!$A$2:$A$53,0)),"")))</f>
        <v>0</v>
      </c>
      <c r="V436" s="21"/>
      <c r="W436" s="22"/>
      <c r="X436" s="10" t="str">
        <f aca="false">IF(AND(R436="修改",S436=""),"請選新事件代碼",IF(AND(R436&lt;&gt;"修改",S436&lt;&gt;""),"只有「修改」才需填代碼",""))</f>
        <v/>
      </c>
      <c r="Y436" s="21"/>
      <c r="Z436" s="22"/>
      <c r="AA436" s="12" t="s">
        <v>1763</v>
      </c>
      <c r="AB436" s="12"/>
    </row>
    <row r="437" customFormat="false" ht="29.85" hidden="false" customHeight="false" outlineLevel="0" collapsed="false">
      <c r="A437" s="17" t="n">
        <v>436</v>
      </c>
      <c r="B437" s="9" t="s">
        <v>871</v>
      </c>
      <c r="C437" s="9" t="s">
        <v>254</v>
      </c>
      <c r="D437" s="10" t="s">
        <v>255</v>
      </c>
      <c r="E437" s="11" t="s">
        <v>1764</v>
      </c>
      <c r="F437" s="15"/>
      <c r="G437" s="12" t="s">
        <v>1765</v>
      </c>
      <c r="H437" s="13" t="n">
        <v>0.53</v>
      </c>
      <c r="I437" s="14" t="s">
        <v>695</v>
      </c>
      <c r="J437" s="15" t="s">
        <v>1180</v>
      </c>
      <c r="K437" s="9" t="n">
        <v>4</v>
      </c>
      <c r="L437" s="17"/>
      <c r="M437" s="16" t="s">
        <v>105</v>
      </c>
      <c r="N437" s="14"/>
      <c r="O437" s="17" t="s">
        <v>54</v>
      </c>
      <c r="P437" s="15" t="s">
        <v>1755</v>
      </c>
      <c r="Q437" s="17"/>
      <c r="R437" s="18" t="s">
        <v>105</v>
      </c>
      <c r="S437" s="19"/>
      <c r="T437" s="15" t="str">
        <f aca="false">IF(R437="維持",J437,IF(R437="排除","無關新聞事件",IFERROR(INDEX(事件規則!$B$2:$B$53,MATCH(S437,事件規則!$A$2:$A$53,0)),"")))</f>
        <v>監管裁罰</v>
      </c>
      <c r="U437" s="20" t="n">
        <f aca="false">IF(R437="維持",K437,IF(R437="排除",0,IFERROR(INDEX(事件規則!$C$2:$C$53,MATCH(S437,事件規則!$A$2:$A$53,0)),"")))</f>
        <v>4</v>
      </c>
      <c r="V437" s="21"/>
      <c r="W437" s="22"/>
      <c r="X437" s="10" t="str">
        <f aca="false">IF(AND(R437="修改",S437=""),"請選新事件代碼",IF(AND(R437&lt;&gt;"修改",S437&lt;&gt;""),"只有「修改」才需填代碼",""))</f>
        <v/>
      </c>
      <c r="Y437" s="21"/>
      <c r="Z437" s="22"/>
      <c r="AA437" s="12" t="s">
        <v>1766</v>
      </c>
      <c r="AB437" s="12"/>
    </row>
    <row r="438" customFormat="false" ht="23.85" hidden="false" customHeight="false" outlineLevel="0" collapsed="false">
      <c r="A438" s="17" t="n">
        <v>437</v>
      </c>
      <c r="B438" s="9" t="s">
        <v>871</v>
      </c>
      <c r="C438" s="9" t="s">
        <v>254</v>
      </c>
      <c r="D438" s="10" t="s">
        <v>255</v>
      </c>
      <c r="E438" s="11" t="s">
        <v>1767</v>
      </c>
      <c r="F438" s="15"/>
      <c r="G438" s="12" t="s">
        <v>416</v>
      </c>
      <c r="H438" s="13" t="n">
        <v>0.457</v>
      </c>
      <c r="I438" s="14" t="s">
        <v>695</v>
      </c>
      <c r="J438" s="15" t="s">
        <v>1180</v>
      </c>
      <c r="K438" s="9" t="n">
        <v>4</v>
      </c>
      <c r="L438" s="17"/>
      <c r="M438" s="16" t="s">
        <v>53</v>
      </c>
      <c r="N438" s="14"/>
      <c r="O438" s="17" t="s">
        <v>97</v>
      </c>
      <c r="P438" s="15" t="s">
        <v>1751</v>
      </c>
      <c r="Q438" s="17"/>
      <c r="R438" s="18" t="s">
        <v>53</v>
      </c>
      <c r="S438" s="19"/>
      <c r="T438" s="15" t="str">
        <f aca="false">IF(R438="維持",J438,IF(R438="排除","無關新聞事件",IFERROR(INDEX(事件規則!$B$2:$B$53,MATCH(S438,事件規則!$A$2:$A$53,0)),"")))</f>
        <v>無關新聞事件</v>
      </c>
      <c r="U438" s="20" t="n">
        <f aca="false">IF(R438="維持",K438,IF(R438="排除",0,IFERROR(INDEX(事件規則!$C$2:$C$53,MATCH(S438,事件規則!$A$2:$A$53,0)),"")))</f>
        <v>0</v>
      </c>
      <c r="V438" s="21"/>
      <c r="W438" s="22"/>
      <c r="X438" s="10" t="str">
        <f aca="false">IF(AND(R438="修改",S438=""),"請選新事件代碼",IF(AND(R438&lt;&gt;"修改",S438&lt;&gt;""),"只有「修改」才需填代碼",""))</f>
        <v/>
      </c>
      <c r="Y438" s="21"/>
      <c r="Z438" s="22"/>
      <c r="AA438" s="12" t="s">
        <v>1768</v>
      </c>
      <c r="AB438" s="12"/>
    </row>
    <row r="439" customFormat="false" ht="35.05" hidden="false" customHeight="false" outlineLevel="0" collapsed="false">
      <c r="A439" s="17" t="n">
        <v>438</v>
      </c>
      <c r="B439" s="9" t="s">
        <v>871</v>
      </c>
      <c r="C439" s="9" t="s">
        <v>113</v>
      </c>
      <c r="D439" s="10" t="s">
        <v>114</v>
      </c>
      <c r="E439" s="11" t="s">
        <v>1769</v>
      </c>
      <c r="F439" s="15"/>
      <c r="G439" s="12" t="s">
        <v>1770</v>
      </c>
      <c r="H439" s="13" t="n">
        <v>-0.067</v>
      </c>
      <c r="I439" s="14" t="s">
        <v>695</v>
      </c>
      <c r="J439" s="15" t="s">
        <v>1180</v>
      </c>
      <c r="K439" s="9" t="n">
        <v>4</v>
      </c>
      <c r="L439" s="17"/>
      <c r="M439" s="16" t="s">
        <v>53</v>
      </c>
      <c r="N439" s="14"/>
      <c r="O439" s="17" t="s">
        <v>97</v>
      </c>
      <c r="P439" s="10" t="s">
        <v>1719</v>
      </c>
      <c r="Q439" s="17"/>
      <c r="R439" s="18" t="s">
        <v>53</v>
      </c>
      <c r="S439" s="19"/>
      <c r="T439" s="15" t="str">
        <f aca="false">IF(R439="維持",J439,IF(R439="排除","無關新聞事件",IFERROR(INDEX(事件規則!$B$2:$B$53,MATCH(S439,事件規則!$A$2:$A$53,0)),"")))</f>
        <v>無關新聞事件</v>
      </c>
      <c r="U439" s="20" t="n">
        <f aca="false">IF(R439="維持",K439,IF(R439="排除",0,IFERROR(INDEX(事件規則!$C$2:$C$53,MATCH(S439,事件規則!$A$2:$A$53,0)),"")))</f>
        <v>0</v>
      </c>
      <c r="V439" s="21"/>
      <c r="W439" s="22"/>
      <c r="X439" s="10" t="str">
        <f aca="false">IF(AND(R439="修改",S439=""),"請選新事件代碼",IF(AND(R439&lt;&gt;"修改",S439&lt;&gt;""),"只有「修改」才需填代碼",""))</f>
        <v/>
      </c>
      <c r="Y439" s="21"/>
      <c r="Z439" s="22"/>
      <c r="AA439" s="12" t="s">
        <v>1771</v>
      </c>
      <c r="AB439" s="12"/>
    </row>
    <row r="440" customFormat="false" ht="35.05" hidden="false" customHeight="false" outlineLevel="0" collapsed="false">
      <c r="A440" s="17" t="n">
        <v>439</v>
      </c>
      <c r="B440" s="9" t="s">
        <v>385</v>
      </c>
      <c r="C440" s="9" t="s">
        <v>113</v>
      </c>
      <c r="D440" s="10" t="s">
        <v>114</v>
      </c>
      <c r="E440" s="11" t="s">
        <v>1772</v>
      </c>
      <c r="F440" s="15"/>
      <c r="G440" s="12" t="s">
        <v>1773</v>
      </c>
      <c r="H440" s="13" t="n">
        <v>0.018</v>
      </c>
      <c r="I440" s="14" t="s">
        <v>695</v>
      </c>
      <c r="J440" s="15" t="s">
        <v>1180</v>
      </c>
      <c r="K440" s="9" t="n">
        <v>4</v>
      </c>
      <c r="L440" s="17"/>
      <c r="M440" s="16" t="s">
        <v>53</v>
      </c>
      <c r="N440" s="14"/>
      <c r="O440" s="17" t="s">
        <v>97</v>
      </c>
      <c r="P440" s="10" t="s">
        <v>1719</v>
      </c>
      <c r="Q440" s="17"/>
      <c r="R440" s="18" t="s">
        <v>53</v>
      </c>
      <c r="S440" s="19"/>
      <c r="T440" s="15" t="str">
        <f aca="false">IF(R440="維持",J440,IF(R440="排除","無關新聞事件",IFERROR(INDEX(事件規則!$B$2:$B$53,MATCH(S440,事件規則!$A$2:$A$53,0)),"")))</f>
        <v>無關新聞事件</v>
      </c>
      <c r="U440" s="20" t="n">
        <f aca="false">IF(R440="維持",K440,IF(R440="排除",0,IFERROR(INDEX(事件規則!$C$2:$C$53,MATCH(S440,事件規則!$A$2:$A$53,0)),"")))</f>
        <v>0</v>
      </c>
      <c r="V440" s="21"/>
      <c r="W440" s="22"/>
      <c r="X440" s="10" t="str">
        <f aca="false">IF(AND(R440="修改",S440=""),"請選新事件代碼",IF(AND(R440&lt;&gt;"修改",S440&lt;&gt;""),"只有「修改」才需填代碼",""))</f>
        <v/>
      </c>
      <c r="Y440" s="21"/>
      <c r="Z440" s="22"/>
      <c r="AA440" s="12" t="s">
        <v>1774</v>
      </c>
      <c r="AB440" s="12"/>
    </row>
    <row r="441" customFormat="false" ht="23.85" hidden="false" customHeight="false" outlineLevel="0" collapsed="false">
      <c r="A441" s="17" t="n">
        <v>440</v>
      </c>
      <c r="B441" s="9" t="s">
        <v>385</v>
      </c>
      <c r="C441" s="9" t="s">
        <v>665</v>
      </c>
      <c r="D441" s="10" t="s">
        <v>666</v>
      </c>
      <c r="E441" s="11" t="s">
        <v>1775</v>
      </c>
      <c r="F441" s="15"/>
      <c r="G441" s="12" t="s">
        <v>833</v>
      </c>
      <c r="H441" s="13" t="n">
        <v>0.001</v>
      </c>
      <c r="I441" s="14" t="s">
        <v>695</v>
      </c>
      <c r="J441" s="15" t="s">
        <v>1180</v>
      </c>
      <c r="K441" s="9" t="n">
        <v>4</v>
      </c>
      <c r="L441" s="17"/>
      <c r="M441" s="16" t="s">
        <v>53</v>
      </c>
      <c r="N441" s="14"/>
      <c r="O441" s="17" t="s">
        <v>97</v>
      </c>
      <c r="P441" s="10" t="s">
        <v>1776</v>
      </c>
      <c r="Q441" s="17"/>
      <c r="R441" s="18" t="s">
        <v>53</v>
      </c>
      <c r="S441" s="19"/>
      <c r="T441" s="15" t="str">
        <f aca="false">IF(R441="維持",J441,IF(R441="排除","無關新聞事件",IFERROR(INDEX(事件規則!$B$2:$B$53,MATCH(S441,事件規則!$A$2:$A$53,0)),"")))</f>
        <v>無關新聞事件</v>
      </c>
      <c r="U441" s="20" t="n">
        <f aca="false">IF(R441="維持",K441,IF(R441="排除",0,IFERROR(INDEX(事件規則!$C$2:$C$53,MATCH(S441,事件規則!$A$2:$A$53,0)),"")))</f>
        <v>0</v>
      </c>
      <c r="V441" s="21"/>
      <c r="W441" s="22"/>
      <c r="X441" s="10" t="str">
        <f aca="false">IF(AND(R441="修改",S441=""),"請選新事件代碼",IF(AND(R441&lt;&gt;"修改",S441&lt;&gt;""),"只有「修改」才需填代碼",""))</f>
        <v/>
      </c>
      <c r="Y441" s="21"/>
      <c r="Z441" s="22"/>
      <c r="AA441" s="12" t="s">
        <v>1777</v>
      </c>
      <c r="AB441" s="12"/>
    </row>
    <row r="442" customFormat="false" ht="29.85" hidden="false" customHeight="false" outlineLevel="0" collapsed="false">
      <c r="A442" s="17" t="n">
        <v>441</v>
      </c>
      <c r="B442" s="9" t="s">
        <v>385</v>
      </c>
      <c r="C442" s="9" t="s">
        <v>254</v>
      </c>
      <c r="D442" s="10" t="s">
        <v>255</v>
      </c>
      <c r="E442" s="11" t="s">
        <v>1778</v>
      </c>
      <c r="F442" s="15"/>
      <c r="G442" s="12" t="s">
        <v>1779</v>
      </c>
      <c r="H442" s="13" t="n">
        <v>0.215</v>
      </c>
      <c r="I442" s="14" t="s">
        <v>695</v>
      </c>
      <c r="J442" s="15" t="s">
        <v>1180</v>
      </c>
      <c r="K442" s="9" t="n">
        <v>4</v>
      </c>
      <c r="L442" s="17"/>
      <c r="M442" s="16" t="s">
        <v>105</v>
      </c>
      <c r="N442" s="14"/>
      <c r="O442" s="17" t="s">
        <v>54</v>
      </c>
      <c r="P442" s="15" t="s">
        <v>1755</v>
      </c>
      <c r="Q442" s="17"/>
      <c r="R442" s="18" t="s">
        <v>105</v>
      </c>
      <c r="S442" s="19"/>
      <c r="T442" s="15" t="str">
        <f aca="false">IF(R442="維持",J442,IF(R442="排除","無關新聞事件",IFERROR(INDEX(事件規則!$B$2:$B$53,MATCH(S442,事件規則!$A$2:$A$53,0)),"")))</f>
        <v>監管裁罰</v>
      </c>
      <c r="U442" s="20" t="n">
        <f aca="false">IF(R442="維持",K442,IF(R442="排除",0,IFERROR(INDEX(事件規則!$C$2:$C$53,MATCH(S442,事件規則!$A$2:$A$53,0)),"")))</f>
        <v>4</v>
      </c>
      <c r="V442" s="21"/>
      <c r="W442" s="22"/>
      <c r="X442" s="10" t="str">
        <f aca="false">IF(AND(R442="修改",S442=""),"請選新事件代碼",IF(AND(R442&lt;&gt;"修改",S442&lt;&gt;""),"只有「修改」才需填代碼",""))</f>
        <v/>
      </c>
      <c r="Y442" s="21"/>
      <c r="Z442" s="22"/>
      <c r="AA442" s="12" t="s">
        <v>1780</v>
      </c>
      <c r="AB442" s="12"/>
    </row>
    <row r="443" customFormat="false" ht="23.85" hidden="false" customHeight="false" outlineLevel="0" collapsed="false">
      <c r="A443" s="17" t="n">
        <v>442</v>
      </c>
      <c r="B443" s="9" t="s">
        <v>882</v>
      </c>
      <c r="C443" s="9" t="s">
        <v>665</v>
      </c>
      <c r="D443" s="10" t="s">
        <v>666</v>
      </c>
      <c r="E443" s="11" t="s">
        <v>1781</v>
      </c>
      <c r="F443" s="15"/>
      <c r="G443" s="12" t="s">
        <v>1782</v>
      </c>
      <c r="H443" s="13" t="n">
        <v>0.32</v>
      </c>
      <c r="I443" s="14" t="s">
        <v>695</v>
      </c>
      <c r="J443" s="15" t="s">
        <v>1180</v>
      </c>
      <c r="K443" s="9" t="n">
        <v>4</v>
      </c>
      <c r="L443" s="17"/>
      <c r="M443" s="16" t="s">
        <v>53</v>
      </c>
      <c r="N443" s="14"/>
      <c r="O443" s="17" t="s">
        <v>97</v>
      </c>
      <c r="P443" s="10" t="s">
        <v>1776</v>
      </c>
      <c r="Q443" s="17"/>
      <c r="R443" s="18" t="s">
        <v>53</v>
      </c>
      <c r="S443" s="19"/>
      <c r="T443" s="15" t="str">
        <f aca="false">IF(R443="維持",J443,IF(R443="排除","無關新聞事件",IFERROR(INDEX(事件規則!$B$2:$B$53,MATCH(S443,事件規則!$A$2:$A$53,0)),"")))</f>
        <v>無關新聞事件</v>
      </c>
      <c r="U443" s="20" t="n">
        <f aca="false">IF(R443="維持",K443,IF(R443="排除",0,IFERROR(INDEX(事件規則!$C$2:$C$53,MATCH(S443,事件規則!$A$2:$A$53,0)),"")))</f>
        <v>0</v>
      </c>
      <c r="V443" s="21"/>
      <c r="W443" s="22"/>
      <c r="X443" s="10" t="str">
        <f aca="false">IF(AND(R443="修改",S443=""),"請選新事件代碼",IF(AND(R443&lt;&gt;"修改",S443&lt;&gt;""),"只有「修改」才需填代碼",""))</f>
        <v/>
      </c>
      <c r="Y443" s="21"/>
      <c r="Z443" s="22"/>
      <c r="AA443" s="12" t="s">
        <v>1783</v>
      </c>
      <c r="AB443" s="12"/>
    </row>
    <row r="444" customFormat="false" ht="29.85" hidden="false" customHeight="false" outlineLevel="0" collapsed="false">
      <c r="A444" s="17" t="n">
        <v>443</v>
      </c>
      <c r="B444" s="9" t="s">
        <v>882</v>
      </c>
      <c r="C444" s="9" t="s">
        <v>150</v>
      </c>
      <c r="D444" s="10" t="s">
        <v>151</v>
      </c>
      <c r="E444" s="11" t="s">
        <v>1784</v>
      </c>
      <c r="F444" s="15"/>
      <c r="G444" s="12" t="s">
        <v>1785</v>
      </c>
      <c r="H444" s="13" t="n">
        <v>0.753</v>
      </c>
      <c r="I444" s="14" t="s">
        <v>695</v>
      </c>
      <c r="J444" s="15" t="s">
        <v>1180</v>
      </c>
      <c r="K444" s="9" t="n">
        <v>4</v>
      </c>
      <c r="L444" s="17"/>
      <c r="M444" s="16" t="s">
        <v>53</v>
      </c>
      <c r="N444" s="14"/>
      <c r="O444" s="17" t="s">
        <v>97</v>
      </c>
      <c r="P444" s="10" t="s">
        <v>1648</v>
      </c>
      <c r="Q444" s="17"/>
      <c r="R444" s="18" t="s">
        <v>53</v>
      </c>
      <c r="S444" s="19"/>
      <c r="T444" s="15" t="str">
        <f aca="false">IF(R444="維持",J444,IF(R444="排除","無關新聞事件",IFERROR(INDEX(事件規則!$B$2:$B$53,MATCH(S444,事件規則!$A$2:$A$53,0)),"")))</f>
        <v>無關新聞事件</v>
      </c>
      <c r="U444" s="20" t="n">
        <f aca="false">IF(R444="維持",K444,IF(R444="排除",0,IFERROR(INDEX(事件規則!$C$2:$C$53,MATCH(S444,事件規則!$A$2:$A$53,0)),"")))</f>
        <v>0</v>
      </c>
      <c r="V444" s="21"/>
      <c r="W444" s="22"/>
      <c r="X444" s="10" t="str">
        <f aca="false">IF(AND(R444="修改",S444=""),"請選新事件代碼",IF(AND(R444&lt;&gt;"修改",S444&lt;&gt;""),"只有「修改」才需填代碼",""))</f>
        <v/>
      </c>
      <c r="Y444" s="21"/>
      <c r="Z444" s="22"/>
      <c r="AA444" s="12" t="s">
        <v>1786</v>
      </c>
      <c r="AB444" s="12"/>
    </row>
    <row r="445" customFormat="false" ht="23.85" hidden="false" customHeight="false" outlineLevel="0" collapsed="false">
      <c r="A445" s="17" t="n">
        <v>444</v>
      </c>
      <c r="B445" s="9" t="s">
        <v>1787</v>
      </c>
      <c r="C445" s="9" t="s">
        <v>665</v>
      </c>
      <c r="D445" s="10" t="s">
        <v>666</v>
      </c>
      <c r="E445" s="11" t="s">
        <v>1788</v>
      </c>
      <c r="F445" s="15"/>
      <c r="G445" s="12" t="s">
        <v>496</v>
      </c>
      <c r="H445" s="13" t="n">
        <v>-0.75</v>
      </c>
      <c r="I445" s="14" t="s">
        <v>695</v>
      </c>
      <c r="J445" s="15" t="s">
        <v>1180</v>
      </c>
      <c r="K445" s="9" t="n">
        <v>4</v>
      </c>
      <c r="L445" s="17"/>
      <c r="M445" s="16" t="s">
        <v>53</v>
      </c>
      <c r="N445" s="14"/>
      <c r="O445" s="17" t="s">
        <v>97</v>
      </c>
      <c r="P445" s="10" t="s">
        <v>1736</v>
      </c>
      <c r="Q445" s="17"/>
      <c r="R445" s="18" t="s">
        <v>53</v>
      </c>
      <c r="S445" s="19"/>
      <c r="T445" s="15" t="str">
        <f aca="false">IF(R445="維持",J445,IF(R445="排除","無關新聞事件",IFERROR(INDEX(事件規則!$B$2:$B$53,MATCH(S445,事件規則!$A$2:$A$53,0)),"")))</f>
        <v>無關新聞事件</v>
      </c>
      <c r="U445" s="20" t="n">
        <f aca="false">IF(R445="維持",K445,IF(R445="排除",0,IFERROR(INDEX(事件規則!$C$2:$C$53,MATCH(S445,事件規則!$A$2:$A$53,0)),"")))</f>
        <v>0</v>
      </c>
      <c r="V445" s="21"/>
      <c r="W445" s="22"/>
      <c r="X445" s="10" t="str">
        <f aca="false">IF(AND(R445="修改",S445=""),"請選新事件代碼",IF(AND(R445&lt;&gt;"修改",S445&lt;&gt;""),"只有「修改」才需填代碼",""))</f>
        <v/>
      </c>
      <c r="Y445" s="21"/>
      <c r="Z445" s="22"/>
      <c r="AA445" s="12" t="s">
        <v>1789</v>
      </c>
      <c r="AB445" s="12"/>
    </row>
    <row r="446" customFormat="false" ht="23.85" hidden="false" customHeight="false" outlineLevel="0" collapsed="false">
      <c r="A446" s="17" t="n">
        <v>445</v>
      </c>
      <c r="B446" s="9" t="s">
        <v>163</v>
      </c>
      <c r="C446" s="9" t="s">
        <v>665</v>
      </c>
      <c r="D446" s="10" t="s">
        <v>666</v>
      </c>
      <c r="E446" s="11" t="s">
        <v>1790</v>
      </c>
      <c r="F446" s="15"/>
      <c r="G446" s="12" t="s">
        <v>1791</v>
      </c>
      <c r="H446" s="13" t="n">
        <v>-0.106</v>
      </c>
      <c r="I446" s="14" t="s">
        <v>695</v>
      </c>
      <c r="J446" s="15" t="s">
        <v>1180</v>
      </c>
      <c r="K446" s="9" t="n">
        <v>4</v>
      </c>
      <c r="L446" s="17"/>
      <c r="M446" s="16" t="s">
        <v>53</v>
      </c>
      <c r="N446" s="14"/>
      <c r="O446" s="17" t="s">
        <v>97</v>
      </c>
      <c r="P446" s="10" t="s">
        <v>1776</v>
      </c>
      <c r="Q446" s="17"/>
      <c r="R446" s="18" t="s">
        <v>53</v>
      </c>
      <c r="S446" s="19"/>
      <c r="T446" s="15" t="str">
        <f aca="false">IF(R446="維持",J446,IF(R446="排除","無關新聞事件",IFERROR(INDEX(事件規則!$B$2:$B$53,MATCH(S446,事件規則!$A$2:$A$53,0)),"")))</f>
        <v>無關新聞事件</v>
      </c>
      <c r="U446" s="20" t="n">
        <f aca="false">IF(R446="維持",K446,IF(R446="排除",0,IFERROR(INDEX(事件規則!$C$2:$C$53,MATCH(S446,事件規則!$A$2:$A$53,0)),"")))</f>
        <v>0</v>
      </c>
      <c r="V446" s="21"/>
      <c r="W446" s="22"/>
      <c r="X446" s="10" t="str">
        <f aca="false">IF(AND(R446="修改",S446=""),"請選新事件代碼",IF(AND(R446&lt;&gt;"修改",S446&lt;&gt;""),"只有「修改」才需填代碼",""))</f>
        <v/>
      </c>
      <c r="Y446" s="21"/>
      <c r="Z446" s="22"/>
      <c r="AA446" s="12" t="s">
        <v>1792</v>
      </c>
      <c r="AB446" s="12"/>
    </row>
    <row r="447" customFormat="false" ht="35.05" hidden="false" customHeight="false" outlineLevel="0" collapsed="false">
      <c r="A447" s="17" t="n">
        <v>446</v>
      </c>
      <c r="B447" s="9" t="s">
        <v>163</v>
      </c>
      <c r="C447" s="9" t="s">
        <v>1793</v>
      </c>
      <c r="D447" s="10" t="s">
        <v>1794</v>
      </c>
      <c r="E447" s="11" t="s">
        <v>1795</v>
      </c>
      <c r="F447" s="15"/>
      <c r="G447" s="12" t="s">
        <v>1796</v>
      </c>
      <c r="H447" s="13" t="n">
        <v>0.068</v>
      </c>
      <c r="I447" s="14" t="s">
        <v>695</v>
      </c>
      <c r="J447" s="15" t="s">
        <v>1180</v>
      </c>
      <c r="K447" s="9" t="n">
        <v>4</v>
      </c>
      <c r="L447" s="17"/>
      <c r="M447" s="16" t="s">
        <v>53</v>
      </c>
      <c r="N447" s="14"/>
      <c r="O447" s="17" t="s">
        <v>54</v>
      </c>
      <c r="P447" s="15" t="s">
        <v>1613</v>
      </c>
      <c r="Q447" s="17"/>
      <c r="R447" s="18" t="s">
        <v>53</v>
      </c>
      <c r="S447" s="19"/>
      <c r="T447" s="15" t="str">
        <f aca="false">IF(R447="維持",J447,IF(R447="排除","無關新聞事件",IFERROR(INDEX(事件規則!$B$2:$B$53,MATCH(S447,事件規則!$A$2:$A$53,0)),"")))</f>
        <v>無關新聞事件</v>
      </c>
      <c r="U447" s="20" t="n">
        <f aca="false">IF(R447="維持",K447,IF(R447="排除",0,IFERROR(INDEX(事件規則!$C$2:$C$53,MATCH(S447,事件規則!$A$2:$A$53,0)),"")))</f>
        <v>0</v>
      </c>
      <c r="V447" s="21"/>
      <c r="W447" s="22"/>
      <c r="X447" s="10" t="str">
        <f aca="false">IF(AND(R447="修改",S447=""),"請選新事件代碼",IF(AND(R447&lt;&gt;"修改",S447&lt;&gt;""),"只有「修改」才需填代碼",""))</f>
        <v/>
      </c>
      <c r="Y447" s="21"/>
      <c r="Z447" s="22"/>
      <c r="AA447" s="12" t="s">
        <v>1797</v>
      </c>
      <c r="AB447" s="12"/>
    </row>
    <row r="448" customFormat="false" ht="29.85" hidden="false" customHeight="false" outlineLevel="0" collapsed="false">
      <c r="A448" s="17" t="n">
        <v>447</v>
      </c>
      <c r="B448" s="9" t="s">
        <v>171</v>
      </c>
      <c r="C448" s="9" t="s">
        <v>665</v>
      </c>
      <c r="D448" s="10" t="s">
        <v>666</v>
      </c>
      <c r="E448" s="11" t="s">
        <v>1798</v>
      </c>
      <c r="F448" s="15"/>
      <c r="G448" s="12" t="s">
        <v>1799</v>
      </c>
      <c r="H448" s="13" t="n">
        <v>-0.745</v>
      </c>
      <c r="I448" s="14" t="s">
        <v>695</v>
      </c>
      <c r="J448" s="15" t="s">
        <v>1180</v>
      </c>
      <c r="K448" s="9" t="n">
        <v>4</v>
      </c>
      <c r="L448" s="17"/>
      <c r="M448" s="16" t="s">
        <v>95</v>
      </c>
      <c r="N448" s="14" t="s">
        <v>96</v>
      </c>
      <c r="O448" s="17" t="s">
        <v>97</v>
      </c>
      <c r="P448" s="10" t="s">
        <v>1800</v>
      </c>
      <c r="Q448" s="17"/>
      <c r="R448" s="18" t="s">
        <v>95</v>
      </c>
      <c r="S448" s="19" t="s">
        <v>96</v>
      </c>
      <c r="T448" s="15" t="str">
        <f aca="false">IF(R448="維持",J448,IF(R448="排除","無關新聞事件",IFERROR(INDEX(事件規則!$B$2:$B$53,MATCH(S448,事件規則!$A$2:$A$53,0)),"")))</f>
        <v>重大訴訟</v>
      </c>
      <c r="U448" s="20" t="n">
        <f aca="false">IF(R448="維持",K448,IF(R448="排除",0,IFERROR(INDEX(事件規則!$C$2:$C$53,MATCH(S448,事件規則!$A$2:$A$53,0)),"")))</f>
        <v>4</v>
      </c>
      <c r="V448" s="21"/>
      <c r="W448" s="22"/>
      <c r="X448" s="10" t="str">
        <f aca="false">IF(AND(R448="修改",S448=""),"請選新事件代碼",IF(AND(R448&lt;&gt;"修改",S448&lt;&gt;""),"只有「修改」才需填代碼",""))</f>
        <v/>
      </c>
      <c r="Y448" s="21"/>
      <c r="Z448" s="22"/>
      <c r="AA448" s="12" t="s">
        <v>1801</v>
      </c>
      <c r="AB448" s="12"/>
    </row>
    <row r="449" customFormat="false" ht="29.85" hidden="false" customHeight="false" outlineLevel="0" collapsed="false">
      <c r="A449" s="17" t="n">
        <v>448</v>
      </c>
      <c r="B449" s="9" t="s">
        <v>171</v>
      </c>
      <c r="C449" s="9" t="s">
        <v>665</v>
      </c>
      <c r="D449" s="10" t="s">
        <v>666</v>
      </c>
      <c r="E449" s="11" t="s">
        <v>1802</v>
      </c>
      <c r="F449" s="15"/>
      <c r="G449" s="12" t="s">
        <v>1672</v>
      </c>
      <c r="H449" s="13" t="n">
        <v>0.752</v>
      </c>
      <c r="I449" s="14" t="s">
        <v>695</v>
      </c>
      <c r="J449" s="15" t="s">
        <v>1180</v>
      </c>
      <c r="K449" s="9" t="n">
        <v>4</v>
      </c>
      <c r="L449" s="17"/>
      <c r="M449" s="16" t="s">
        <v>95</v>
      </c>
      <c r="N449" s="14" t="s">
        <v>96</v>
      </c>
      <c r="O449" s="17" t="s">
        <v>97</v>
      </c>
      <c r="P449" s="10" t="s">
        <v>1800</v>
      </c>
      <c r="Q449" s="17"/>
      <c r="R449" s="18" t="s">
        <v>95</v>
      </c>
      <c r="S449" s="19" t="s">
        <v>96</v>
      </c>
      <c r="T449" s="15" t="str">
        <f aca="false">IF(R449="維持",J449,IF(R449="排除","無關新聞事件",IFERROR(INDEX(事件規則!$B$2:$B$53,MATCH(S449,事件規則!$A$2:$A$53,0)),"")))</f>
        <v>重大訴訟</v>
      </c>
      <c r="U449" s="20" t="n">
        <f aca="false">IF(R449="維持",K449,IF(R449="排除",0,IFERROR(INDEX(事件規則!$C$2:$C$53,MATCH(S449,事件規則!$A$2:$A$53,0)),"")))</f>
        <v>4</v>
      </c>
      <c r="V449" s="21"/>
      <c r="W449" s="22"/>
      <c r="X449" s="10" t="str">
        <f aca="false">IF(AND(R449="修改",S449=""),"請選新事件代碼",IF(AND(R449&lt;&gt;"修改",S449&lt;&gt;""),"只有「修改」才需填代碼",""))</f>
        <v/>
      </c>
      <c r="Y449" s="21"/>
      <c r="Z449" s="22"/>
      <c r="AA449" s="12" t="s">
        <v>1803</v>
      </c>
      <c r="AB449" s="12"/>
    </row>
    <row r="450" customFormat="false" ht="29.85" hidden="false" customHeight="false" outlineLevel="0" collapsed="false">
      <c r="A450" s="17" t="n">
        <v>449</v>
      </c>
      <c r="B450" s="9" t="s">
        <v>171</v>
      </c>
      <c r="C450" s="9" t="s">
        <v>665</v>
      </c>
      <c r="D450" s="10" t="s">
        <v>666</v>
      </c>
      <c r="E450" s="11" t="s">
        <v>1804</v>
      </c>
      <c r="F450" s="15"/>
      <c r="G450" s="12" t="s">
        <v>1805</v>
      </c>
      <c r="H450" s="13" t="n">
        <v>0.207</v>
      </c>
      <c r="I450" s="14" t="s">
        <v>695</v>
      </c>
      <c r="J450" s="15" t="s">
        <v>1180</v>
      </c>
      <c r="K450" s="9" t="n">
        <v>4</v>
      </c>
      <c r="L450" s="17"/>
      <c r="M450" s="16" t="s">
        <v>95</v>
      </c>
      <c r="N450" s="14" t="s">
        <v>96</v>
      </c>
      <c r="O450" s="17" t="s">
        <v>97</v>
      </c>
      <c r="P450" s="10" t="s">
        <v>1800</v>
      </c>
      <c r="Q450" s="17"/>
      <c r="R450" s="18" t="s">
        <v>95</v>
      </c>
      <c r="S450" s="19" t="s">
        <v>96</v>
      </c>
      <c r="T450" s="15" t="str">
        <f aca="false">IF(R450="維持",J450,IF(R450="排除","無關新聞事件",IFERROR(INDEX(事件規則!$B$2:$B$53,MATCH(S450,事件規則!$A$2:$A$53,0)),"")))</f>
        <v>重大訴訟</v>
      </c>
      <c r="U450" s="20" t="n">
        <f aca="false">IF(R450="維持",K450,IF(R450="排除",0,IFERROR(INDEX(事件規則!$C$2:$C$53,MATCH(S450,事件規則!$A$2:$A$53,0)),"")))</f>
        <v>4</v>
      </c>
      <c r="V450" s="21"/>
      <c r="W450" s="22"/>
      <c r="X450" s="10" t="str">
        <f aca="false">IF(AND(R450="修改",S450=""),"請選新事件代碼",IF(AND(R450&lt;&gt;"修改",S450&lt;&gt;""),"只有「修改」才需填代碼",""))</f>
        <v/>
      </c>
      <c r="Y450" s="21"/>
      <c r="Z450" s="22"/>
      <c r="AA450" s="12" t="s">
        <v>1806</v>
      </c>
      <c r="AB450" s="12"/>
    </row>
    <row r="451" customFormat="false" ht="23.85" hidden="false" customHeight="false" outlineLevel="0" collapsed="false">
      <c r="A451" s="17" t="n">
        <v>450</v>
      </c>
      <c r="B451" s="9" t="s">
        <v>1807</v>
      </c>
      <c r="C451" s="9" t="s">
        <v>665</v>
      </c>
      <c r="D451" s="10" t="s">
        <v>666</v>
      </c>
      <c r="E451" s="11" t="s">
        <v>1808</v>
      </c>
      <c r="F451" s="15"/>
      <c r="G451" s="12" t="s">
        <v>1809</v>
      </c>
      <c r="H451" s="13" t="n">
        <v>-0.089</v>
      </c>
      <c r="I451" s="14" t="s">
        <v>695</v>
      </c>
      <c r="J451" s="15" t="s">
        <v>1180</v>
      </c>
      <c r="K451" s="9" t="n">
        <v>4</v>
      </c>
      <c r="L451" s="17"/>
      <c r="M451" s="16" t="s">
        <v>53</v>
      </c>
      <c r="N451" s="14"/>
      <c r="O451" s="17" t="s">
        <v>97</v>
      </c>
      <c r="P451" s="10" t="s">
        <v>1776</v>
      </c>
      <c r="Q451" s="17"/>
      <c r="R451" s="18" t="s">
        <v>53</v>
      </c>
      <c r="S451" s="19"/>
      <c r="T451" s="15" t="str">
        <f aca="false">IF(R451="維持",J451,IF(R451="排除","無關新聞事件",IFERROR(INDEX(事件規則!$B$2:$B$53,MATCH(S451,事件規則!$A$2:$A$53,0)),"")))</f>
        <v>無關新聞事件</v>
      </c>
      <c r="U451" s="20" t="n">
        <f aca="false">IF(R451="維持",K451,IF(R451="排除",0,IFERROR(INDEX(事件規則!$C$2:$C$53,MATCH(S451,事件規則!$A$2:$A$53,0)),"")))</f>
        <v>0</v>
      </c>
      <c r="V451" s="21"/>
      <c r="W451" s="22"/>
      <c r="X451" s="10" t="str">
        <f aca="false">IF(AND(R451="修改",S451=""),"請選新事件代碼",IF(AND(R451&lt;&gt;"修改",S451&lt;&gt;""),"只有「修改」才需填代碼",""))</f>
        <v/>
      </c>
      <c r="Y451" s="21"/>
      <c r="Z451" s="22"/>
      <c r="AA451" s="12" t="s">
        <v>1810</v>
      </c>
      <c r="AB451" s="12"/>
    </row>
    <row r="452" customFormat="false" ht="23.85" hidden="false" customHeight="false" outlineLevel="0" collapsed="false">
      <c r="A452" s="17" t="n">
        <v>451</v>
      </c>
      <c r="B452" s="9" t="s">
        <v>1807</v>
      </c>
      <c r="C452" s="9" t="s">
        <v>665</v>
      </c>
      <c r="D452" s="10" t="s">
        <v>666</v>
      </c>
      <c r="E452" s="11" t="s">
        <v>1811</v>
      </c>
      <c r="F452" s="15"/>
      <c r="G452" s="12" t="s">
        <v>1812</v>
      </c>
      <c r="H452" s="13" t="n">
        <v>0.655</v>
      </c>
      <c r="I452" s="14" t="s">
        <v>695</v>
      </c>
      <c r="J452" s="15" t="s">
        <v>1180</v>
      </c>
      <c r="K452" s="9" t="n">
        <v>4</v>
      </c>
      <c r="L452" s="17"/>
      <c r="M452" s="16" t="s">
        <v>53</v>
      </c>
      <c r="N452" s="14"/>
      <c r="O452" s="17" t="s">
        <v>97</v>
      </c>
      <c r="P452" s="10" t="s">
        <v>1776</v>
      </c>
      <c r="Q452" s="17"/>
      <c r="R452" s="18" t="s">
        <v>53</v>
      </c>
      <c r="S452" s="19"/>
      <c r="T452" s="15" t="str">
        <f aca="false">IF(R452="維持",J452,IF(R452="排除","無關新聞事件",IFERROR(INDEX(事件規則!$B$2:$B$53,MATCH(S452,事件規則!$A$2:$A$53,0)),"")))</f>
        <v>無關新聞事件</v>
      </c>
      <c r="U452" s="20" t="n">
        <f aca="false">IF(R452="維持",K452,IF(R452="排除",0,IFERROR(INDEX(事件規則!$C$2:$C$53,MATCH(S452,事件規則!$A$2:$A$53,0)),"")))</f>
        <v>0</v>
      </c>
      <c r="V452" s="21"/>
      <c r="W452" s="22"/>
      <c r="X452" s="10" t="str">
        <f aca="false">IF(AND(R452="修改",S452=""),"請選新事件代碼",IF(AND(R452&lt;&gt;"修改",S452&lt;&gt;""),"只有「修改」才需填代碼",""))</f>
        <v/>
      </c>
      <c r="Y452" s="21"/>
      <c r="Z452" s="22"/>
      <c r="AA452" s="12" t="s">
        <v>1813</v>
      </c>
      <c r="AB452" s="12"/>
    </row>
    <row r="453" customFormat="false" ht="23.85" hidden="false" customHeight="false" outlineLevel="0" collapsed="false">
      <c r="A453" s="17" t="n">
        <v>452</v>
      </c>
      <c r="B453" s="9" t="s">
        <v>897</v>
      </c>
      <c r="C453" s="9" t="s">
        <v>1814</v>
      </c>
      <c r="D453" s="10" t="s">
        <v>1815</v>
      </c>
      <c r="E453" s="11" t="s">
        <v>1816</v>
      </c>
      <c r="F453" s="15"/>
      <c r="G453" s="12" t="s">
        <v>1785</v>
      </c>
      <c r="H453" s="13" t="n">
        <v>0.055</v>
      </c>
      <c r="I453" s="14" t="s">
        <v>695</v>
      </c>
      <c r="J453" s="15" t="s">
        <v>1180</v>
      </c>
      <c r="K453" s="9" t="n">
        <v>4</v>
      </c>
      <c r="L453" s="17"/>
      <c r="M453" s="16" t="s">
        <v>53</v>
      </c>
      <c r="N453" s="14"/>
      <c r="O453" s="17" t="s">
        <v>97</v>
      </c>
      <c r="P453" s="10" t="s">
        <v>1817</v>
      </c>
      <c r="Q453" s="17"/>
      <c r="R453" s="18" t="s">
        <v>53</v>
      </c>
      <c r="S453" s="19"/>
      <c r="T453" s="15" t="str">
        <f aca="false">IF(R453="維持",J453,IF(R453="排除","無關新聞事件",IFERROR(INDEX(事件規則!$B$2:$B$53,MATCH(S453,事件規則!$A$2:$A$53,0)),"")))</f>
        <v>無關新聞事件</v>
      </c>
      <c r="U453" s="20" t="n">
        <f aca="false">IF(R453="維持",K453,IF(R453="排除",0,IFERROR(INDEX(事件規則!$C$2:$C$53,MATCH(S453,事件規則!$A$2:$A$53,0)),"")))</f>
        <v>0</v>
      </c>
      <c r="V453" s="21"/>
      <c r="W453" s="22"/>
      <c r="X453" s="10" t="str">
        <f aca="false">IF(AND(R453="修改",S453=""),"請選新事件代碼",IF(AND(R453&lt;&gt;"修改",S453&lt;&gt;""),"只有「修改」才需填代碼",""))</f>
        <v/>
      </c>
      <c r="Y453" s="21"/>
      <c r="Z453" s="22"/>
      <c r="AA453" s="12" t="s">
        <v>1818</v>
      </c>
      <c r="AB453" s="12"/>
    </row>
    <row r="454" customFormat="false" ht="29.85" hidden="false" customHeight="false" outlineLevel="0" collapsed="false">
      <c r="A454" s="17" t="n">
        <v>453</v>
      </c>
      <c r="B454" s="9" t="s">
        <v>897</v>
      </c>
      <c r="C454" s="9" t="s">
        <v>552</v>
      </c>
      <c r="D454" s="10" t="s">
        <v>553</v>
      </c>
      <c r="E454" s="11" t="s">
        <v>1819</v>
      </c>
      <c r="F454" s="15"/>
      <c r="G454" s="12" t="s">
        <v>84</v>
      </c>
      <c r="H454" s="13" t="n">
        <v>-0.904</v>
      </c>
      <c r="I454" s="14" t="s">
        <v>695</v>
      </c>
      <c r="J454" s="15" t="s">
        <v>1180</v>
      </c>
      <c r="K454" s="9" t="n">
        <v>4</v>
      </c>
      <c r="L454" s="17"/>
      <c r="M454" s="16" t="s">
        <v>53</v>
      </c>
      <c r="N454" s="14"/>
      <c r="O454" s="17" t="s">
        <v>54</v>
      </c>
      <c r="P454" s="10" t="s">
        <v>1820</v>
      </c>
      <c r="Q454" s="17"/>
      <c r="R454" s="18" t="s">
        <v>53</v>
      </c>
      <c r="S454" s="19"/>
      <c r="T454" s="15" t="str">
        <f aca="false">IF(R454="維持",J454,IF(R454="排除","無關新聞事件",IFERROR(INDEX(事件規則!$B$2:$B$53,MATCH(S454,事件規則!$A$2:$A$53,0)),"")))</f>
        <v>無關新聞事件</v>
      </c>
      <c r="U454" s="20" t="n">
        <f aca="false">IF(R454="維持",K454,IF(R454="排除",0,IFERROR(INDEX(事件規則!$C$2:$C$53,MATCH(S454,事件規則!$A$2:$A$53,0)),"")))</f>
        <v>0</v>
      </c>
      <c r="V454" s="21"/>
      <c r="W454" s="22"/>
      <c r="X454" s="10" t="str">
        <f aca="false">IF(AND(R454="修改",S454=""),"請選新事件代碼",IF(AND(R454&lt;&gt;"修改",S454&lt;&gt;""),"只有「修改」才需填代碼",""))</f>
        <v/>
      </c>
      <c r="Y454" s="21"/>
      <c r="Z454" s="22"/>
      <c r="AA454" s="12" t="s">
        <v>1821</v>
      </c>
      <c r="AB454" s="12"/>
    </row>
    <row r="455" customFormat="false" ht="35.05" hidden="false" customHeight="false" outlineLevel="0" collapsed="false">
      <c r="A455" s="17" t="n">
        <v>454</v>
      </c>
      <c r="B455" s="9" t="s">
        <v>897</v>
      </c>
      <c r="C455" s="9" t="s">
        <v>1170</v>
      </c>
      <c r="D455" s="10" t="s">
        <v>1171</v>
      </c>
      <c r="E455" s="11" t="s">
        <v>1822</v>
      </c>
      <c r="F455" s="15"/>
      <c r="G455" s="12" t="s">
        <v>1823</v>
      </c>
      <c r="H455" s="13" t="n">
        <v>-0.484</v>
      </c>
      <c r="I455" s="14" t="s">
        <v>695</v>
      </c>
      <c r="J455" s="15" t="s">
        <v>1180</v>
      </c>
      <c r="K455" s="9" t="n">
        <v>4</v>
      </c>
      <c r="L455" s="17"/>
      <c r="M455" s="16" t="s">
        <v>53</v>
      </c>
      <c r="N455" s="14"/>
      <c r="O455" s="17" t="s">
        <v>54</v>
      </c>
      <c r="P455" s="10" t="s">
        <v>1175</v>
      </c>
      <c r="Q455" s="17"/>
      <c r="R455" s="18" t="s">
        <v>53</v>
      </c>
      <c r="S455" s="19"/>
      <c r="T455" s="15" t="str">
        <f aca="false">IF(R455="維持",J455,IF(R455="排除","無關新聞事件",IFERROR(INDEX(事件規則!$B$2:$B$53,MATCH(S455,事件規則!$A$2:$A$53,0)),"")))</f>
        <v>無關新聞事件</v>
      </c>
      <c r="U455" s="20" t="n">
        <f aca="false">IF(R455="維持",K455,IF(R455="排除",0,IFERROR(INDEX(事件規則!$C$2:$C$53,MATCH(S455,事件規則!$A$2:$A$53,0)),"")))</f>
        <v>0</v>
      </c>
      <c r="V455" s="21"/>
      <c r="W455" s="22"/>
      <c r="X455" s="10" t="str">
        <f aca="false">IF(AND(R455="修改",S455=""),"請選新事件代碼",IF(AND(R455&lt;&gt;"修改",S455&lt;&gt;""),"只有「修改」才需填代碼",""))</f>
        <v/>
      </c>
      <c r="Y455" s="21"/>
      <c r="Z455" s="22"/>
      <c r="AA455" s="12" t="s">
        <v>1824</v>
      </c>
      <c r="AB455" s="12"/>
    </row>
    <row r="456" customFormat="false" ht="29.85" hidden="false" customHeight="false" outlineLevel="0" collapsed="false">
      <c r="A456" s="17" t="n">
        <v>455</v>
      </c>
      <c r="B456" s="9" t="s">
        <v>897</v>
      </c>
      <c r="C456" s="9" t="s">
        <v>552</v>
      </c>
      <c r="D456" s="10" t="s">
        <v>553</v>
      </c>
      <c r="E456" s="11" t="s">
        <v>1825</v>
      </c>
      <c r="F456" s="15"/>
      <c r="G456" s="12" t="s">
        <v>1826</v>
      </c>
      <c r="H456" s="13" t="n">
        <v>-0.87</v>
      </c>
      <c r="I456" s="14" t="s">
        <v>695</v>
      </c>
      <c r="J456" s="15" t="s">
        <v>1180</v>
      </c>
      <c r="K456" s="9" t="n">
        <v>4</v>
      </c>
      <c r="L456" s="17"/>
      <c r="M456" s="16" t="s">
        <v>53</v>
      </c>
      <c r="N456" s="14"/>
      <c r="O456" s="17" t="s">
        <v>54</v>
      </c>
      <c r="P456" s="10" t="s">
        <v>1820</v>
      </c>
      <c r="Q456" s="17"/>
      <c r="R456" s="18" t="s">
        <v>53</v>
      </c>
      <c r="S456" s="19"/>
      <c r="T456" s="15" t="str">
        <f aca="false">IF(R456="維持",J456,IF(R456="排除","無關新聞事件",IFERROR(INDEX(事件規則!$B$2:$B$53,MATCH(S456,事件規則!$A$2:$A$53,0)),"")))</f>
        <v>無關新聞事件</v>
      </c>
      <c r="U456" s="20" t="n">
        <f aca="false">IF(R456="維持",K456,IF(R456="排除",0,IFERROR(INDEX(事件規則!$C$2:$C$53,MATCH(S456,事件規則!$A$2:$A$53,0)),"")))</f>
        <v>0</v>
      </c>
      <c r="V456" s="21"/>
      <c r="W456" s="22"/>
      <c r="X456" s="10" t="str">
        <f aca="false">IF(AND(R456="修改",S456=""),"請選新事件代碼",IF(AND(R456&lt;&gt;"修改",S456&lt;&gt;""),"只有「修改」才需填代碼",""))</f>
        <v/>
      </c>
      <c r="Y456" s="21"/>
      <c r="Z456" s="22"/>
      <c r="AA456" s="12" t="s">
        <v>1827</v>
      </c>
      <c r="AB456" s="12"/>
    </row>
    <row r="457" customFormat="false" ht="29.85" hidden="false" customHeight="false" outlineLevel="0" collapsed="false">
      <c r="A457" s="17" t="n">
        <v>456</v>
      </c>
      <c r="B457" s="9" t="s">
        <v>180</v>
      </c>
      <c r="C457" s="9" t="s">
        <v>552</v>
      </c>
      <c r="D457" s="10" t="s">
        <v>553</v>
      </c>
      <c r="E457" s="11" t="s">
        <v>1828</v>
      </c>
      <c r="F457" s="15"/>
      <c r="G457" s="12" t="s">
        <v>1829</v>
      </c>
      <c r="H457" s="13" t="n">
        <v>-0.157</v>
      </c>
      <c r="I457" s="14" t="s">
        <v>695</v>
      </c>
      <c r="J457" s="15" t="s">
        <v>1180</v>
      </c>
      <c r="K457" s="9" t="n">
        <v>4</v>
      </c>
      <c r="L457" s="17"/>
      <c r="M457" s="16" t="s">
        <v>53</v>
      </c>
      <c r="N457" s="14"/>
      <c r="O457" s="17" t="s">
        <v>54</v>
      </c>
      <c r="P457" s="10" t="s">
        <v>1820</v>
      </c>
      <c r="Q457" s="17"/>
      <c r="R457" s="18" t="s">
        <v>53</v>
      </c>
      <c r="S457" s="19"/>
      <c r="T457" s="15" t="str">
        <f aca="false">IF(R457="維持",J457,IF(R457="排除","無關新聞事件",IFERROR(INDEX(事件規則!$B$2:$B$53,MATCH(S457,事件規則!$A$2:$A$53,0)),"")))</f>
        <v>無關新聞事件</v>
      </c>
      <c r="U457" s="20" t="n">
        <f aca="false">IF(R457="維持",K457,IF(R457="排除",0,IFERROR(INDEX(事件規則!$C$2:$C$53,MATCH(S457,事件規則!$A$2:$A$53,0)),"")))</f>
        <v>0</v>
      </c>
      <c r="V457" s="21"/>
      <c r="W457" s="22"/>
      <c r="X457" s="10" t="str">
        <f aca="false">IF(AND(R457="修改",S457=""),"請選新事件代碼",IF(AND(R457&lt;&gt;"修改",S457&lt;&gt;""),"只有「修改」才需填代碼",""))</f>
        <v/>
      </c>
      <c r="Y457" s="21"/>
      <c r="Z457" s="22"/>
      <c r="AA457" s="12" t="s">
        <v>1830</v>
      </c>
      <c r="AB457" s="12"/>
    </row>
    <row r="458" customFormat="false" ht="29.85" hidden="false" customHeight="false" outlineLevel="0" collapsed="false">
      <c r="A458" s="17" t="n">
        <v>457</v>
      </c>
      <c r="B458" s="9" t="s">
        <v>180</v>
      </c>
      <c r="C458" s="9" t="s">
        <v>905</v>
      </c>
      <c r="D458" s="10" t="s">
        <v>906</v>
      </c>
      <c r="E458" s="11" t="s">
        <v>1831</v>
      </c>
      <c r="F458" s="15"/>
      <c r="G458" s="12" t="s">
        <v>1832</v>
      </c>
      <c r="H458" s="13" t="n">
        <v>-0.715</v>
      </c>
      <c r="I458" s="14" t="s">
        <v>695</v>
      </c>
      <c r="J458" s="15" t="s">
        <v>1180</v>
      </c>
      <c r="K458" s="9" t="n">
        <v>4</v>
      </c>
      <c r="L458" s="17"/>
      <c r="M458" s="16" t="s">
        <v>105</v>
      </c>
      <c r="N458" s="14"/>
      <c r="O458" s="17" t="s">
        <v>54</v>
      </c>
      <c r="P458" s="15" t="s">
        <v>1833</v>
      </c>
      <c r="Q458" s="17"/>
      <c r="R458" s="18" t="s">
        <v>105</v>
      </c>
      <c r="S458" s="19"/>
      <c r="T458" s="15" t="str">
        <f aca="false">IF(R458="維持",J458,IF(R458="排除","無關新聞事件",IFERROR(INDEX(事件規則!$B$2:$B$53,MATCH(S458,事件規則!$A$2:$A$53,0)),"")))</f>
        <v>監管裁罰</v>
      </c>
      <c r="U458" s="20" t="n">
        <f aca="false">IF(R458="維持",K458,IF(R458="排除",0,IFERROR(INDEX(事件規則!$C$2:$C$53,MATCH(S458,事件規則!$A$2:$A$53,0)),"")))</f>
        <v>4</v>
      </c>
      <c r="V458" s="21"/>
      <c r="W458" s="22"/>
      <c r="X458" s="10" t="str">
        <f aca="false">IF(AND(R458="修改",S458=""),"請選新事件代碼",IF(AND(R458&lt;&gt;"修改",S458&lt;&gt;""),"只有「修改」才需填代碼",""))</f>
        <v/>
      </c>
      <c r="Y458" s="21"/>
      <c r="Z458" s="22"/>
      <c r="AA458" s="12" t="s">
        <v>1834</v>
      </c>
      <c r="AB458" s="12"/>
    </row>
    <row r="459" customFormat="false" ht="29.85" hidden="false" customHeight="false" outlineLevel="0" collapsed="false">
      <c r="A459" s="17" t="n">
        <v>458</v>
      </c>
      <c r="B459" s="9" t="s">
        <v>180</v>
      </c>
      <c r="C459" s="9" t="s">
        <v>905</v>
      </c>
      <c r="D459" s="10" t="s">
        <v>906</v>
      </c>
      <c r="E459" s="11" t="s">
        <v>1835</v>
      </c>
      <c r="F459" s="15"/>
      <c r="G459" s="12" t="s">
        <v>84</v>
      </c>
      <c r="H459" s="13" t="n">
        <v>-0.94</v>
      </c>
      <c r="I459" s="14" t="s">
        <v>695</v>
      </c>
      <c r="J459" s="15" t="s">
        <v>1180</v>
      </c>
      <c r="K459" s="9" t="n">
        <v>4</v>
      </c>
      <c r="L459" s="17"/>
      <c r="M459" s="16" t="s">
        <v>105</v>
      </c>
      <c r="N459" s="14"/>
      <c r="O459" s="17" t="s">
        <v>97</v>
      </c>
      <c r="P459" s="10" t="s">
        <v>1836</v>
      </c>
      <c r="Q459" s="17"/>
      <c r="R459" s="18" t="s">
        <v>105</v>
      </c>
      <c r="S459" s="19"/>
      <c r="T459" s="15" t="str">
        <f aca="false">IF(R459="維持",J459,IF(R459="排除","無關新聞事件",IFERROR(INDEX(事件規則!$B$2:$B$53,MATCH(S459,事件規則!$A$2:$A$53,0)),"")))</f>
        <v>監管裁罰</v>
      </c>
      <c r="U459" s="20" t="n">
        <f aca="false">IF(R459="維持",K459,IF(R459="排除",0,IFERROR(INDEX(事件規則!$C$2:$C$53,MATCH(S459,事件規則!$A$2:$A$53,0)),"")))</f>
        <v>4</v>
      </c>
      <c r="V459" s="21"/>
      <c r="W459" s="22"/>
      <c r="X459" s="10" t="str">
        <f aca="false">IF(AND(R459="修改",S459=""),"請選新事件代碼",IF(AND(R459&lt;&gt;"修改",S459&lt;&gt;""),"只有「修改」才需填代碼",""))</f>
        <v/>
      </c>
      <c r="Y459" s="21"/>
      <c r="Z459" s="22"/>
      <c r="AA459" s="12" t="s">
        <v>1837</v>
      </c>
      <c r="AB459" s="12"/>
    </row>
    <row r="460" customFormat="false" ht="29.85" hidden="false" customHeight="false" outlineLevel="0" collapsed="false">
      <c r="A460" s="17" t="n">
        <v>459</v>
      </c>
      <c r="B460" s="9" t="s">
        <v>180</v>
      </c>
      <c r="C460" s="9" t="s">
        <v>254</v>
      </c>
      <c r="D460" s="10" t="s">
        <v>255</v>
      </c>
      <c r="E460" s="11" t="s">
        <v>1838</v>
      </c>
      <c r="F460" s="15"/>
      <c r="G460" s="12" t="s">
        <v>1839</v>
      </c>
      <c r="H460" s="13" t="n">
        <v>0.126</v>
      </c>
      <c r="I460" s="14" t="s">
        <v>695</v>
      </c>
      <c r="J460" s="15" t="s">
        <v>1180</v>
      </c>
      <c r="K460" s="9" t="n">
        <v>4</v>
      </c>
      <c r="L460" s="17"/>
      <c r="M460" s="16" t="s">
        <v>105</v>
      </c>
      <c r="N460" s="14"/>
      <c r="O460" s="17" t="s">
        <v>54</v>
      </c>
      <c r="P460" s="15" t="s">
        <v>1755</v>
      </c>
      <c r="Q460" s="17"/>
      <c r="R460" s="18" t="s">
        <v>105</v>
      </c>
      <c r="S460" s="19"/>
      <c r="T460" s="15" t="str">
        <f aca="false">IF(R460="維持",J460,IF(R460="排除","無關新聞事件",IFERROR(INDEX(事件規則!$B$2:$B$53,MATCH(S460,事件規則!$A$2:$A$53,0)),"")))</f>
        <v>監管裁罰</v>
      </c>
      <c r="U460" s="20" t="n">
        <f aca="false">IF(R460="維持",K460,IF(R460="排除",0,IFERROR(INDEX(事件規則!$C$2:$C$53,MATCH(S460,事件規則!$A$2:$A$53,0)),"")))</f>
        <v>4</v>
      </c>
      <c r="V460" s="21"/>
      <c r="W460" s="22"/>
      <c r="X460" s="10" t="str">
        <f aca="false">IF(AND(R460="修改",S460=""),"請選新事件代碼",IF(AND(R460&lt;&gt;"修改",S460&lt;&gt;""),"只有「修改」才需填代碼",""))</f>
        <v/>
      </c>
      <c r="Y460" s="21"/>
      <c r="Z460" s="22"/>
      <c r="AA460" s="12" t="s">
        <v>1840</v>
      </c>
      <c r="AB460" s="12"/>
    </row>
    <row r="461" customFormat="false" ht="23.85" hidden="false" customHeight="false" outlineLevel="0" collapsed="false">
      <c r="A461" s="17" t="n">
        <v>460</v>
      </c>
      <c r="B461" s="9" t="s">
        <v>915</v>
      </c>
      <c r="C461" s="9" t="s">
        <v>119</v>
      </c>
      <c r="D461" s="10" t="s">
        <v>120</v>
      </c>
      <c r="E461" s="11" t="s">
        <v>1841</v>
      </c>
      <c r="F461" s="15"/>
      <c r="G461" s="12" t="s">
        <v>496</v>
      </c>
      <c r="H461" s="13" t="n">
        <v>-0.351</v>
      </c>
      <c r="I461" s="14" t="s">
        <v>695</v>
      </c>
      <c r="J461" s="15" t="s">
        <v>1180</v>
      </c>
      <c r="K461" s="9" t="n">
        <v>4</v>
      </c>
      <c r="L461" s="17"/>
      <c r="M461" s="16" t="s">
        <v>95</v>
      </c>
      <c r="N461" s="14" t="s">
        <v>96</v>
      </c>
      <c r="O461" s="17" t="s">
        <v>97</v>
      </c>
      <c r="P461" s="10" t="s">
        <v>1842</v>
      </c>
      <c r="Q461" s="17"/>
      <c r="R461" s="18" t="s">
        <v>95</v>
      </c>
      <c r="S461" s="19" t="s">
        <v>96</v>
      </c>
      <c r="T461" s="15" t="str">
        <f aca="false">IF(R461="維持",J461,IF(R461="排除","無關新聞事件",IFERROR(INDEX(事件規則!$B$2:$B$53,MATCH(S461,事件規則!$A$2:$A$53,0)),"")))</f>
        <v>重大訴訟</v>
      </c>
      <c r="U461" s="20" t="n">
        <f aca="false">IF(R461="維持",K461,IF(R461="排除",0,IFERROR(INDEX(事件規則!$C$2:$C$53,MATCH(S461,事件規則!$A$2:$A$53,0)),"")))</f>
        <v>4</v>
      </c>
      <c r="V461" s="21"/>
      <c r="W461" s="22"/>
      <c r="X461" s="10" t="str">
        <f aca="false">IF(AND(R461="修改",S461=""),"請選新事件代碼",IF(AND(R461&lt;&gt;"修改",S461&lt;&gt;""),"只有「修改」才需填代碼",""))</f>
        <v/>
      </c>
      <c r="Y461" s="21"/>
      <c r="Z461" s="22"/>
      <c r="AA461" s="12" t="s">
        <v>1843</v>
      </c>
      <c r="AB461" s="12"/>
    </row>
    <row r="462" customFormat="false" ht="29.85" hidden="false" customHeight="false" outlineLevel="0" collapsed="false">
      <c r="A462" s="17" t="n">
        <v>461</v>
      </c>
      <c r="B462" s="9" t="s">
        <v>1844</v>
      </c>
      <c r="C462" s="9" t="s">
        <v>905</v>
      </c>
      <c r="D462" s="10" t="s">
        <v>906</v>
      </c>
      <c r="E462" s="11" t="s">
        <v>1845</v>
      </c>
      <c r="F462" s="15"/>
      <c r="G462" s="12" t="s">
        <v>1846</v>
      </c>
      <c r="H462" s="13" t="n">
        <v>-0.901</v>
      </c>
      <c r="I462" s="14" t="s">
        <v>695</v>
      </c>
      <c r="J462" s="15" t="s">
        <v>1180</v>
      </c>
      <c r="K462" s="9" t="n">
        <v>4</v>
      </c>
      <c r="L462" s="17"/>
      <c r="M462" s="16" t="s">
        <v>105</v>
      </c>
      <c r="N462" s="14"/>
      <c r="O462" s="17" t="s">
        <v>97</v>
      </c>
      <c r="P462" s="10" t="s">
        <v>1836</v>
      </c>
      <c r="Q462" s="17"/>
      <c r="R462" s="18" t="s">
        <v>105</v>
      </c>
      <c r="S462" s="19"/>
      <c r="T462" s="15" t="str">
        <f aca="false">IF(R462="維持",J462,IF(R462="排除","無關新聞事件",IFERROR(INDEX(事件規則!$B$2:$B$53,MATCH(S462,事件規則!$A$2:$A$53,0)),"")))</f>
        <v>監管裁罰</v>
      </c>
      <c r="U462" s="20" t="n">
        <f aca="false">IF(R462="維持",K462,IF(R462="排除",0,IFERROR(INDEX(事件規則!$C$2:$C$53,MATCH(S462,事件規則!$A$2:$A$53,0)),"")))</f>
        <v>4</v>
      </c>
      <c r="V462" s="21"/>
      <c r="W462" s="22"/>
      <c r="X462" s="10" t="str">
        <f aca="false">IF(AND(R462="修改",S462=""),"請選新事件代碼",IF(AND(R462&lt;&gt;"修改",S462&lt;&gt;""),"只有「修改」才需填代碼",""))</f>
        <v/>
      </c>
      <c r="Y462" s="21"/>
      <c r="Z462" s="22"/>
      <c r="AA462" s="12" t="s">
        <v>1847</v>
      </c>
      <c r="AB462" s="12"/>
    </row>
    <row r="463" customFormat="false" ht="35.05" hidden="false" customHeight="false" outlineLevel="0" collapsed="false">
      <c r="A463" s="17" t="n">
        <v>462</v>
      </c>
      <c r="B463" s="9" t="s">
        <v>323</v>
      </c>
      <c r="C463" s="9" t="s">
        <v>113</v>
      </c>
      <c r="D463" s="10" t="s">
        <v>114</v>
      </c>
      <c r="E463" s="11" t="s">
        <v>1848</v>
      </c>
      <c r="F463" s="10" t="s">
        <v>1849</v>
      </c>
      <c r="G463" s="12" t="s">
        <v>84</v>
      </c>
      <c r="H463" s="13" t="n">
        <v>-0.033</v>
      </c>
      <c r="I463" s="14" t="s">
        <v>695</v>
      </c>
      <c r="J463" s="15" t="s">
        <v>1180</v>
      </c>
      <c r="K463" s="9" t="n">
        <v>4</v>
      </c>
      <c r="L463" s="17"/>
      <c r="M463" s="16" t="s">
        <v>105</v>
      </c>
      <c r="N463" s="14"/>
      <c r="O463" s="17" t="s">
        <v>54</v>
      </c>
      <c r="P463" s="10" t="s">
        <v>1850</v>
      </c>
      <c r="Q463" s="17"/>
      <c r="R463" s="18" t="s">
        <v>105</v>
      </c>
      <c r="S463" s="19"/>
      <c r="T463" s="15" t="str">
        <f aca="false">IF(R463="維持",J463,IF(R463="排除","無關新聞事件",IFERROR(INDEX(事件規則!$B$2:$B$53,MATCH(S463,事件規則!$A$2:$A$53,0)),"")))</f>
        <v>監管裁罰</v>
      </c>
      <c r="U463" s="20" t="n">
        <f aca="false">IF(R463="維持",K463,IF(R463="排除",0,IFERROR(INDEX(事件規則!$C$2:$C$53,MATCH(S463,事件規則!$A$2:$A$53,0)),"")))</f>
        <v>4</v>
      </c>
      <c r="V463" s="21"/>
      <c r="W463" s="22"/>
      <c r="X463" s="10" t="str">
        <f aca="false">IF(AND(R463="修改",S463=""),"請選新事件代碼",IF(AND(R463&lt;&gt;"修改",S463&lt;&gt;""),"只有「修改」才需填代碼",""))</f>
        <v/>
      </c>
      <c r="Y463" s="21"/>
      <c r="Z463" s="22"/>
      <c r="AA463" s="12" t="s">
        <v>1851</v>
      </c>
      <c r="AB463" s="12"/>
    </row>
    <row r="464" customFormat="false" ht="35.05" hidden="false" customHeight="false" outlineLevel="0" collapsed="false">
      <c r="A464" s="17" t="n">
        <v>463</v>
      </c>
      <c r="B464" s="9" t="s">
        <v>323</v>
      </c>
      <c r="C464" s="9" t="s">
        <v>113</v>
      </c>
      <c r="D464" s="10" t="s">
        <v>114</v>
      </c>
      <c r="E464" s="11" t="s">
        <v>1852</v>
      </c>
      <c r="F464" s="10" t="s">
        <v>1853</v>
      </c>
      <c r="G464" s="12" t="s">
        <v>1854</v>
      </c>
      <c r="H464" s="13" t="n">
        <v>-0.883</v>
      </c>
      <c r="I464" s="14" t="s">
        <v>695</v>
      </c>
      <c r="J464" s="15" t="s">
        <v>1180</v>
      </c>
      <c r="K464" s="9" t="n">
        <v>4</v>
      </c>
      <c r="L464" s="17"/>
      <c r="M464" s="16" t="s">
        <v>105</v>
      </c>
      <c r="N464" s="14"/>
      <c r="O464" s="17" t="s">
        <v>54</v>
      </c>
      <c r="P464" s="10" t="s">
        <v>1850</v>
      </c>
      <c r="Q464" s="17"/>
      <c r="R464" s="18" t="s">
        <v>105</v>
      </c>
      <c r="S464" s="19"/>
      <c r="T464" s="15" t="str">
        <f aca="false">IF(R464="維持",J464,IF(R464="排除","無關新聞事件",IFERROR(INDEX(事件規則!$B$2:$B$53,MATCH(S464,事件規則!$A$2:$A$53,0)),"")))</f>
        <v>監管裁罰</v>
      </c>
      <c r="U464" s="20" t="n">
        <f aca="false">IF(R464="維持",K464,IF(R464="排除",0,IFERROR(INDEX(事件規則!$C$2:$C$53,MATCH(S464,事件規則!$A$2:$A$53,0)),"")))</f>
        <v>4</v>
      </c>
      <c r="V464" s="21"/>
      <c r="W464" s="22"/>
      <c r="X464" s="10" t="str">
        <f aca="false">IF(AND(R464="修改",S464=""),"請選新事件代碼",IF(AND(R464&lt;&gt;"修改",S464&lt;&gt;""),"只有「修改」才需填代碼",""))</f>
        <v/>
      </c>
      <c r="Y464" s="21"/>
      <c r="Z464" s="22"/>
      <c r="AA464" s="12" t="s">
        <v>1855</v>
      </c>
      <c r="AB464" s="12"/>
    </row>
    <row r="465" customFormat="false" ht="35.05" hidden="false" customHeight="false" outlineLevel="0" collapsed="false">
      <c r="A465" s="17" t="n">
        <v>464</v>
      </c>
      <c r="B465" s="9" t="s">
        <v>323</v>
      </c>
      <c r="C465" s="9" t="s">
        <v>113</v>
      </c>
      <c r="D465" s="10" t="s">
        <v>114</v>
      </c>
      <c r="E465" s="11" t="s">
        <v>1856</v>
      </c>
      <c r="F465" s="10" t="s">
        <v>1857</v>
      </c>
      <c r="G465" s="12" t="s">
        <v>1858</v>
      </c>
      <c r="H465" s="13" t="n">
        <v>-0.906</v>
      </c>
      <c r="I465" s="14" t="s">
        <v>695</v>
      </c>
      <c r="J465" s="15" t="s">
        <v>1180</v>
      </c>
      <c r="K465" s="9" t="n">
        <v>4</v>
      </c>
      <c r="L465" s="17"/>
      <c r="M465" s="16" t="s">
        <v>105</v>
      </c>
      <c r="N465" s="14"/>
      <c r="O465" s="17" t="s">
        <v>54</v>
      </c>
      <c r="P465" s="10" t="s">
        <v>1850</v>
      </c>
      <c r="Q465" s="17"/>
      <c r="R465" s="18" t="s">
        <v>105</v>
      </c>
      <c r="S465" s="19"/>
      <c r="T465" s="15" t="str">
        <f aca="false">IF(R465="維持",J465,IF(R465="排除","無關新聞事件",IFERROR(INDEX(事件規則!$B$2:$B$53,MATCH(S465,事件規則!$A$2:$A$53,0)),"")))</f>
        <v>監管裁罰</v>
      </c>
      <c r="U465" s="20" t="n">
        <f aca="false">IF(R465="維持",K465,IF(R465="排除",0,IFERROR(INDEX(事件規則!$C$2:$C$53,MATCH(S465,事件規則!$A$2:$A$53,0)),"")))</f>
        <v>4</v>
      </c>
      <c r="V465" s="21"/>
      <c r="W465" s="22"/>
      <c r="X465" s="10" t="str">
        <f aca="false">IF(AND(R465="修改",S465=""),"請選新事件代碼",IF(AND(R465&lt;&gt;"修改",S465&lt;&gt;""),"只有「修改」才需填代碼",""))</f>
        <v/>
      </c>
      <c r="Y465" s="21"/>
      <c r="Z465" s="22"/>
      <c r="AA465" s="12" t="s">
        <v>1859</v>
      </c>
      <c r="AB465" s="12"/>
    </row>
    <row r="466" customFormat="false" ht="35.05" hidden="false" customHeight="false" outlineLevel="0" collapsed="false">
      <c r="A466" s="17" t="n">
        <v>465</v>
      </c>
      <c r="B466" s="9" t="s">
        <v>323</v>
      </c>
      <c r="C466" s="9" t="s">
        <v>113</v>
      </c>
      <c r="D466" s="10" t="s">
        <v>114</v>
      </c>
      <c r="E466" s="11" t="s">
        <v>1860</v>
      </c>
      <c r="F466" s="10" t="s">
        <v>1861</v>
      </c>
      <c r="G466" s="12" t="s">
        <v>1862</v>
      </c>
      <c r="H466" s="13" t="n">
        <v>0.363</v>
      </c>
      <c r="I466" s="14" t="s">
        <v>695</v>
      </c>
      <c r="J466" s="15" t="s">
        <v>1180</v>
      </c>
      <c r="K466" s="9" t="n">
        <v>4</v>
      </c>
      <c r="L466" s="17"/>
      <c r="M466" s="16" t="s">
        <v>105</v>
      </c>
      <c r="N466" s="14"/>
      <c r="O466" s="17" t="s">
        <v>54</v>
      </c>
      <c r="P466" s="10" t="s">
        <v>1850</v>
      </c>
      <c r="Q466" s="17"/>
      <c r="R466" s="18" t="s">
        <v>105</v>
      </c>
      <c r="S466" s="19"/>
      <c r="T466" s="15" t="str">
        <f aca="false">IF(R466="維持",J466,IF(R466="排除","無關新聞事件",IFERROR(INDEX(事件規則!$B$2:$B$53,MATCH(S466,事件規則!$A$2:$A$53,0)),"")))</f>
        <v>監管裁罰</v>
      </c>
      <c r="U466" s="20" t="n">
        <f aca="false">IF(R466="維持",K466,IF(R466="排除",0,IFERROR(INDEX(事件規則!$C$2:$C$53,MATCH(S466,事件規則!$A$2:$A$53,0)),"")))</f>
        <v>4</v>
      </c>
      <c r="V466" s="21"/>
      <c r="W466" s="22"/>
      <c r="X466" s="10" t="str">
        <f aca="false">IF(AND(R466="修改",S466=""),"請選新事件代碼",IF(AND(R466&lt;&gt;"修改",S466&lt;&gt;""),"只有「修改」才需填代碼",""))</f>
        <v/>
      </c>
      <c r="Y466" s="21"/>
      <c r="Z466" s="22"/>
      <c r="AA466" s="12" t="s">
        <v>1863</v>
      </c>
      <c r="AB466" s="12"/>
    </row>
    <row r="467" customFormat="false" ht="35.05" hidden="false" customHeight="false" outlineLevel="0" collapsed="false">
      <c r="A467" s="17" t="n">
        <v>466</v>
      </c>
      <c r="B467" s="9" t="s">
        <v>323</v>
      </c>
      <c r="C467" s="9" t="s">
        <v>113</v>
      </c>
      <c r="D467" s="10" t="s">
        <v>114</v>
      </c>
      <c r="E467" s="11" t="s">
        <v>1864</v>
      </c>
      <c r="F467" s="10" t="s">
        <v>1865</v>
      </c>
      <c r="G467" s="12" t="s">
        <v>1001</v>
      </c>
      <c r="H467" s="13" t="n">
        <v>-0.779</v>
      </c>
      <c r="I467" s="14" t="s">
        <v>695</v>
      </c>
      <c r="J467" s="15" t="s">
        <v>1180</v>
      </c>
      <c r="K467" s="9" t="n">
        <v>4</v>
      </c>
      <c r="L467" s="17"/>
      <c r="M467" s="16" t="s">
        <v>105</v>
      </c>
      <c r="N467" s="14"/>
      <c r="O467" s="17" t="s">
        <v>54</v>
      </c>
      <c r="P467" s="10" t="s">
        <v>1850</v>
      </c>
      <c r="Q467" s="17"/>
      <c r="R467" s="18" t="s">
        <v>105</v>
      </c>
      <c r="S467" s="19"/>
      <c r="T467" s="15" t="str">
        <f aca="false">IF(R467="維持",J467,IF(R467="排除","無關新聞事件",IFERROR(INDEX(事件規則!$B$2:$B$53,MATCH(S467,事件規則!$A$2:$A$53,0)),"")))</f>
        <v>監管裁罰</v>
      </c>
      <c r="U467" s="20" t="n">
        <f aca="false">IF(R467="維持",K467,IF(R467="排除",0,IFERROR(INDEX(事件規則!$C$2:$C$53,MATCH(S467,事件規則!$A$2:$A$53,0)),"")))</f>
        <v>4</v>
      </c>
      <c r="V467" s="21"/>
      <c r="W467" s="22"/>
      <c r="X467" s="10" t="str">
        <f aca="false">IF(AND(R467="修改",S467=""),"請選新事件代碼",IF(AND(R467&lt;&gt;"修改",S467&lt;&gt;""),"只有「修改」才需填代碼",""))</f>
        <v/>
      </c>
      <c r="Y467" s="21"/>
      <c r="Z467" s="22"/>
      <c r="AA467" s="12" t="s">
        <v>1866</v>
      </c>
      <c r="AB467" s="12"/>
    </row>
    <row r="468" customFormat="false" ht="35.05" hidden="false" customHeight="false" outlineLevel="0" collapsed="false">
      <c r="A468" s="17" t="n">
        <v>467</v>
      </c>
      <c r="B468" s="9" t="s">
        <v>323</v>
      </c>
      <c r="C468" s="9" t="s">
        <v>113</v>
      </c>
      <c r="D468" s="10" t="s">
        <v>114</v>
      </c>
      <c r="E468" s="11" t="s">
        <v>1867</v>
      </c>
      <c r="F468" s="10" t="s">
        <v>1868</v>
      </c>
      <c r="G468" s="12" t="s">
        <v>1785</v>
      </c>
      <c r="H468" s="13" t="n">
        <v>-0.943</v>
      </c>
      <c r="I468" s="14" t="s">
        <v>695</v>
      </c>
      <c r="J468" s="15" t="s">
        <v>1180</v>
      </c>
      <c r="K468" s="9" t="n">
        <v>4</v>
      </c>
      <c r="L468" s="17"/>
      <c r="M468" s="16" t="s">
        <v>105</v>
      </c>
      <c r="N468" s="14"/>
      <c r="O468" s="17" t="s">
        <v>54</v>
      </c>
      <c r="P468" s="10" t="s">
        <v>1850</v>
      </c>
      <c r="Q468" s="17"/>
      <c r="R468" s="18" t="s">
        <v>105</v>
      </c>
      <c r="S468" s="19"/>
      <c r="T468" s="15" t="str">
        <f aca="false">IF(R468="維持",J468,IF(R468="排除","無關新聞事件",IFERROR(INDEX(事件規則!$B$2:$B$53,MATCH(S468,事件規則!$A$2:$A$53,0)),"")))</f>
        <v>監管裁罰</v>
      </c>
      <c r="U468" s="20" t="n">
        <f aca="false">IF(R468="維持",K468,IF(R468="排除",0,IFERROR(INDEX(事件規則!$C$2:$C$53,MATCH(S468,事件規則!$A$2:$A$53,0)),"")))</f>
        <v>4</v>
      </c>
      <c r="V468" s="21"/>
      <c r="W468" s="22"/>
      <c r="X468" s="10" t="str">
        <f aca="false">IF(AND(R468="修改",S468=""),"請選新事件代碼",IF(AND(R468&lt;&gt;"修改",S468&lt;&gt;""),"只有「修改」才需填代碼",""))</f>
        <v/>
      </c>
      <c r="Y468" s="21"/>
      <c r="Z468" s="22"/>
      <c r="AA468" s="12" t="s">
        <v>1869</v>
      </c>
      <c r="AB468" s="12"/>
    </row>
    <row r="469" customFormat="false" ht="35.05" hidden="false" customHeight="false" outlineLevel="0" collapsed="false">
      <c r="A469" s="17" t="n">
        <v>468</v>
      </c>
      <c r="B469" s="9" t="s">
        <v>323</v>
      </c>
      <c r="C469" s="9" t="s">
        <v>113</v>
      </c>
      <c r="D469" s="10" t="s">
        <v>114</v>
      </c>
      <c r="E469" s="11" t="s">
        <v>1870</v>
      </c>
      <c r="F469" s="10" t="s">
        <v>1871</v>
      </c>
      <c r="G469" s="12" t="s">
        <v>491</v>
      </c>
      <c r="H469" s="13" t="n">
        <v>0.853</v>
      </c>
      <c r="I469" s="14" t="s">
        <v>695</v>
      </c>
      <c r="J469" s="15" t="s">
        <v>1180</v>
      </c>
      <c r="K469" s="9" t="n">
        <v>4</v>
      </c>
      <c r="L469" s="17"/>
      <c r="M469" s="16" t="s">
        <v>105</v>
      </c>
      <c r="N469" s="14"/>
      <c r="O469" s="17" t="s">
        <v>54</v>
      </c>
      <c r="P469" s="10" t="s">
        <v>1850</v>
      </c>
      <c r="Q469" s="17"/>
      <c r="R469" s="18" t="s">
        <v>105</v>
      </c>
      <c r="S469" s="19"/>
      <c r="T469" s="15" t="str">
        <f aca="false">IF(R469="維持",J469,IF(R469="排除","無關新聞事件",IFERROR(INDEX(事件規則!$B$2:$B$53,MATCH(S469,事件規則!$A$2:$A$53,0)),"")))</f>
        <v>監管裁罰</v>
      </c>
      <c r="U469" s="20" t="n">
        <f aca="false">IF(R469="維持",K469,IF(R469="排除",0,IFERROR(INDEX(事件規則!$C$2:$C$53,MATCH(S469,事件規則!$A$2:$A$53,0)),"")))</f>
        <v>4</v>
      </c>
      <c r="V469" s="21"/>
      <c r="W469" s="22"/>
      <c r="X469" s="10" t="str">
        <f aca="false">IF(AND(R469="修改",S469=""),"請選新事件代碼",IF(AND(R469&lt;&gt;"修改",S469&lt;&gt;""),"只有「修改」才需填代碼",""))</f>
        <v/>
      </c>
      <c r="Y469" s="21"/>
      <c r="Z469" s="22"/>
      <c r="AA469" s="12" t="s">
        <v>1872</v>
      </c>
      <c r="AB469" s="12"/>
    </row>
    <row r="470" customFormat="false" ht="35.05" hidden="false" customHeight="false" outlineLevel="0" collapsed="false">
      <c r="A470" s="17" t="n">
        <v>469</v>
      </c>
      <c r="B470" s="9" t="s">
        <v>323</v>
      </c>
      <c r="C470" s="9" t="s">
        <v>113</v>
      </c>
      <c r="D470" s="10" t="s">
        <v>114</v>
      </c>
      <c r="E470" s="11" t="s">
        <v>1873</v>
      </c>
      <c r="F470" s="10" t="s">
        <v>1874</v>
      </c>
      <c r="G470" s="12" t="s">
        <v>1875</v>
      </c>
      <c r="H470" s="13" t="n">
        <v>0.374</v>
      </c>
      <c r="I470" s="14" t="s">
        <v>695</v>
      </c>
      <c r="J470" s="15" t="s">
        <v>1180</v>
      </c>
      <c r="K470" s="9" t="n">
        <v>4</v>
      </c>
      <c r="L470" s="17"/>
      <c r="M470" s="16" t="s">
        <v>105</v>
      </c>
      <c r="N470" s="14"/>
      <c r="O470" s="17" t="s">
        <v>54</v>
      </c>
      <c r="P470" s="10" t="s">
        <v>1850</v>
      </c>
      <c r="Q470" s="17"/>
      <c r="R470" s="18" t="s">
        <v>105</v>
      </c>
      <c r="S470" s="19"/>
      <c r="T470" s="15" t="str">
        <f aca="false">IF(R470="維持",J470,IF(R470="排除","無關新聞事件",IFERROR(INDEX(事件規則!$B$2:$B$53,MATCH(S470,事件規則!$A$2:$A$53,0)),"")))</f>
        <v>監管裁罰</v>
      </c>
      <c r="U470" s="20" t="n">
        <f aca="false">IF(R470="維持",K470,IF(R470="排除",0,IFERROR(INDEX(事件規則!$C$2:$C$53,MATCH(S470,事件規則!$A$2:$A$53,0)),"")))</f>
        <v>4</v>
      </c>
      <c r="V470" s="21"/>
      <c r="W470" s="22"/>
      <c r="X470" s="10" t="str">
        <f aca="false">IF(AND(R470="修改",S470=""),"請選新事件代碼",IF(AND(R470&lt;&gt;"修改",S470&lt;&gt;""),"只有「修改」才需填代碼",""))</f>
        <v/>
      </c>
      <c r="Y470" s="21"/>
      <c r="Z470" s="22"/>
      <c r="AA470" s="12" t="s">
        <v>1876</v>
      </c>
      <c r="AB470" s="12"/>
    </row>
    <row r="471" customFormat="false" ht="35.05" hidden="false" customHeight="false" outlineLevel="0" collapsed="false">
      <c r="A471" s="17" t="n">
        <v>470</v>
      </c>
      <c r="B471" s="9" t="s">
        <v>186</v>
      </c>
      <c r="C471" s="9" t="s">
        <v>113</v>
      </c>
      <c r="D471" s="10" t="s">
        <v>114</v>
      </c>
      <c r="E471" s="11" t="s">
        <v>1877</v>
      </c>
      <c r="F471" s="10" t="s">
        <v>1878</v>
      </c>
      <c r="G471" s="12" t="s">
        <v>1879</v>
      </c>
      <c r="H471" s="13" t="n">
        <v>0.807</v>
      </c>
      <c r="I471" s="14" t="s">
        <v>695</v>
      </c>
      <c r="J471" s="15" t="s">
        <v>1180</v>
      </c>
      <c r="K471" s="9" t="n">
        <v>4</v>
      </c>
      <c r="L471" s="17"/>
      <c r="M471" s="16" t="s">
        <v>105</v>
      </c>
      <c r="N471" s="14"/>
      <c r="O471" s="17" t="s">
        <v>54</v>
      </c>
      <c r="P471" s="10" t="s">
        <v>1850</v>
      </c>
      <c r="Q471" s="17"/>
      <c r="R471" s="18" t="s">
        <v>105</v>
      </c>
      <c r="S471" s="19"/>
      <c r="T471" s="15" t="str">
        <f aca="false">IF(R471="維持",J471,IF(R471="排除","無關新聞事件",IFERROR(INDEX(事件規則!$B$2:$B$53,MATCH(S471,事件規則!$A$2:$A$53,0)),"")))</f>
        <v>監管裁罰</v>
      </c>
      <c r="U471" s="20" t="n">
        <f aca="false">IF(R471="維持",K471,IF(R471="排除",0,IFERROR(INDEX(事件規則!$C$2:$C$53,MATCH(S471,事件規則!$A$2:$A$53,0)),"")))</f>
        <v>4</v>
      </c>
      <c r="V471" s="21"/>
      <c r="W471" s="22"/>
      <c r="X471" s="10" t="str">
        <f aca="false">IF(AND(R471="修改",S471=""),"請選新事件代碼",IF(AND(R471&lt;&gt;"修改",S471&lt;&gt;""),"只有「修改」才需填代碼",""))</f>
        <v/>
      </c>
      <c r="Y471" s="21"/>
      <c r="Z471" s="22"/>
      <c r="AA471" s="12" t="s">
        <v>1880</v>
      </c>
      <c r="AB471" s="12"/>
    </row>
    <row r="472" customFormat="false" ht="35.05" hidden="false" customHeight="false" outlineLevel="0" collapsed="false">
      <c r="A472" s="17" t="n">
        <v>471</v>
      </c>
      <c r="B472" s="9" t="s">
        <v>186</v>
      </c>
      <c r="C472" s="9" t="s">
        <v>370</v>
      </c>
      <c r="D472" s="10" t="s">
        <v>371</v>
      </c>
      <c r="E472" s="11" t="s">
        <v>1881</v>
      </c>
      <c r="F472" s="15" t="s">
        <v>1882</v>
      </c>
      <c r="G472" s="12" t="s">
        <v>1832</v>
      </c>
      <c r="H472" s="13" t="n">
        <v>-0.956</v>
      </c>
      <c r="I472" s="14" t="s">
        <v>695</v>
      </c>
      <c r="J472" s="15" t="s">
        <v>1180</v>
      </c>
      <c r="K472" s="9" t="n">
        <v>4</v>
      </c>
      <c r="L472" s="17"/>
      <c r="M472" s="16" t="s">
        <v>105</v>
      </c>
      <c r="N472" s="14"/>
      <c r="O472" s="17" t="s">
        <v>54</v>
      </c>
      <c r="P472" s="15" t="s">
        <v>1883</v>
      </c>
      <c r="Q472" s="17"/>
      <c r="R472" s="18" t="s">
        <v>105</v>
      </c>
      <c r="S472" s="19"/>
      <c r="T472" s="15" t="str">
        <f aca="false">IF(R472="維持",J472,IF(R472="排除","無關新聞事件",IFERROR(INDEX(事件規則!$B$2:$B$53,MATCH(S472,事件規則!$A$2:$A$53,0)),"")))</f>
        <v>監管裁罰</v>
      </c>
      <c r="U472" s="20" t="n">
        <f aca="false">IF(R472="維持",K472,IF(R472="排除",0,IFERROR(INDEX(事件規則!$C$2:$C$53,MATCH(S472,事件規則!$A$2:$A$53,0)),"")))</f>
        <v>4</v>
      </c>
      <c r="V472" s="21"/>
      <c r="W472" s="22"/>
      <c r="X472" s="10" t="str">
        <f aca="false">IF(AND(R472="修改",S472=""),"請選新事件代碼",IF(AND(R472&lt;&gt;"修改",S472&lt;&gt;""),"只有「修改」才需填代碼",""))</f>
        <v/>
      </c>
      <c r="Y472" s="21"/>
      <c r="Z472" s="22"/>
      <c r="AA472" s="12" t="s">
        <v>1884</v>
      </c>
      <c r="AB472" s="12"/>
    </row>
    <row r="473" customFormat="false" ht="44" hidden="false" customHeight="false" outlineLevel="0" collapsed="false">
      <c r="A473" s="17" t="n">
        <v>472</v>
      </c>
      <c r="B473" s="9" t="s">
        <v>186</v>
      </c>
      <c r="C473" s="9" t="s">
        <v>1885</v>
      </c>
      <c r="D473" s="10" t="s">
        <v>1886</v>
      </c>
      <c r="E473" s="11" t="s">
        <v>1887</v>
      </c>
      <c r="F473" s="10" t="s">
        <v>1888</v>
      </c>
      <c r="G473" s="12" t="s">
        <v>221</v>
      </c>
      <c r="H473" s="13" t="n">
        <v>-0.653</v>
      </c>
      <c r="I473" s="14" t="s">
        <v>695</v>
      </c>
      <c r="J473" s="15" t="s">
        <v>1180</v>
      </c>
      <c r="K473" s="9" t="n">
        <v>4</v>
      </c>
      <c r="L473" s="17"/>
      <c r="M473" s="16" t="s">
        <v>95</v>
      </c>
      <c r="N473" s="14" t="s">
        <v>1198</v>
      </c>
      <c r="O473" s="17" t="s">
        <v>97</v>
      </c>
      <c r="P473" s="10" t="s">
        <v>1889</v>
      </c>
      <c r="Q473" s="17"/>
      <c r="R473" s="18" t="s">
        <v>95</v>
      </c>
      <c r="S473" s="19" t="s">
        <v>1198</v>
      </c>
      <c r="T473" s="15" t="str">
        <f aca="false">IF(R473="維持",J473,IF(R473="排除","無關新聞事件",IFERROR(INDEX(事件規則!$B$2:$B$53,MATCH(S473,事件規則!$A$2:$A$53,0)),"")))</f>
        <v>專利訴訟</v>
      </c>
      <c r="U473" s="20" t="n">
        <f aca="false">IF(R473="維持",K473,IF(R473="排除",0,IFERROR(INDEX(事件規則!$C$2:$C$53,MATCH(S473,事件規則!$A$2:$A$53,0)),"")))</f>
        <v>3</v>
      </c>
      <c r="V473" s="21"/>
      <c r="W473" s="22"/>
      <c r="X473" s="10" t="str">
        <f aca="false">IF(AND(R473="修改",S473=""),"請選新事件代碼",IF(AND(R473&lt;&gt;"修改",S473&lt;&gt;""),"只有「修改」才需填代碼",""))</f>
        <v/>
      </c>
      <c r="Y473" s="21"/>
      <c r="Z473" s="22"/>
      <c r="AA473" s="12" t="s">
        <v>1890</v>
      </c>
      <c r="AB473" s="12"/>
    </row>
    <row r="474" customFormat="false" ht="35.05" hidden="false" customHeight="false" outlineLevel="0" collapsed="false">
      <c r="A474" s="17" t="n">
        <v>473</v>
      </c>
      <c r="B474" s="9" t="s">
        <v>186</v>
      </c>
      <c r="C474" s="9" t="s">
        <v>113</v>
      </c>
      <c r="D474" s="10" t="s">
        <v>114</v>
      </c>
      <c r="E474" s="11" t="s">
        <v>1891</v>
      </c>
      <c r="F474" s="10" t="s">
        <v>1892</v>
      </c>
      <c r="G474" s="12" t="s">
        <v>1893</v>
      </c>
      <c r="H474" s="13" t="n">
        <v>-0.796</v>
      </c>
      <c r="I474" s="14" t="s">
        <v>695</v>
      </c>
      <c r="J474" s="15" t="s">
        <v>1180</v>
      </c>
      <c r="K474" s="9" t="n">
        <v>4</v>
      </c>
      <c r="L474" s="17"/>
      <c r="M474" s="16" t="s">
        <v>53</v>
      </c>
      <c r="N474" s="14"/>
      <c r="O474" s="17" t="s">
        <v>54</v>
      </c>
      <c r="P474" s="15" t="s">
        <v>1894</v>
      </c>
      <c r="Q474" s="17"/>
      <c r="R474" s="18" t="s">
        <v>53</v>
      </c>
      <c r="S474" s="19"/>
      <c r="T474" s="15" t="str">
        <f aca="false">IF(R474="維持",J474,IF(R474="排除","無關新聞事件",IFERROR(INDEX(事件規則!$B$2:$B$53,MATCH(S474,事件規則!$A$2:$A$53,0)),"")))</f>
        <v>無關新聞事件</v>
      </c>
      <c r="U474" s="20" t="n">
        <f aca="false">IF(R474="維持",K474,IF(R474="排除",0,IFERROR(INDEX(事件規則!$C$2:$C$53,MATCH(S474,事件規則!$A$2:$A$53,0)),"")))</f>
        <v>0</v>
      </c>
      <c r="V474" s="21"/>
      <c r="W474" s="22"/>
      <c r="X474" s="10" t="str">
        <f aca="false">IF(AND(R474="修改",S474=""),"請選新事件代碼",IF(AND(R474&lt;&gt;"修改",S474&lt;&gt;""),"只有「修改」才需填代碼",""))</f>
        <v/>
      </c>
      <c r="Y474" s="21"/>
      <c r="Z474" s="22"/>
      <c r="AA474" s="12" t="s">
        <v>1895</v>
      </c>
      <c r="AB474" s="12"/>
    </row>
    <row r="475" customFormat="false" ht="35.05" hidden="false" customHeight="false" outlineLevel="0" collapsed="false">
      <c r="A475" s="17" t="n">
        <v>474</v>
      </c>
      <c r="B475" s="9" t="s">
        <v>186</v>
      </c>
      <c r="C475" s="9" t="s">
        <v>370</v>
      </c>
      <c r="D475" s="10" t="s">
        <v>371</v>
      </c>
      <c r="E475" s="11" t="s">
        <v>1896</v>
      </c>
      <c r="F475" s="15" t="s">
        <v>1897</v>
      </c>
      <c r="G475" s="12" t="s">
        <v>140</v>
      </c>
      <c r="H475" s="13" t="n">
        <v>-0.963</v>
      </c>
      <c r="I475" s="14" t="s">
        <v>695</v>
      </c>
      <c r="J475" s="15" t="s">
        <v>1180</v>
      </c>
      <c r="K475" s="9" t="n">
        <v>4</v>
      </c>
      <c r="L475" s="17"/>
      <c r="M475" s="16" t="s">
        <v>105</v>
      </c>
      <c r="N475" s="14"/>
      <c r="O475" s="17" t="s">
        <v>54</v>
      </c>
      <c r="P475" s="15" t="s">
        <v>1883</v>
      </c>
      <c r="Q475" s="17"/>
      <c r="R475" s="18" t="s">
        <v>105</v>
      </c>
      <c r="S475" s="19"/>
      <c r="T475" s="15" t="str">
        <f aca="false">IF(R475="維持",J475,IF(R475="排除","無關新聞事件",IFERROR(INDEX(事件規則!$B$2:$B$53,MATCH(S475,事件規則!$A$2:$A$53,0)),"")))</f>
        <v>監管裁罰</v>
      </c>
      <c r="U475" s="20" t="n">
        <f aca="false">IF(R475="維持",K475,IF(R475="排除",0,IFERROR(INDEX(事件規則!$C$2:$C$53,MATCH(S475,事件規則!$A$2:$A$53,0)),"")))</f>
        <v>4</v>
      </c>
      <c r="V475" s="21"/>
      <c r="W475" s="22"/>
      <c r="X475" s="10" t="str">
        <f aca="false">IF(AND(R475="修改",S475=""),"請選新事件代碼",IF(AND(R475&lt;&gt;"修改",S475&lt;&gt;""),"只有「修改」才需填代碼",""))</f>
        <v/>
      </c>
      <c r="Y475" s="21"/>
      <c r="Z475" s="22"/>
      <c r="AA475" s="12" t="s">
        <v>1898</v>
      </c>
      <c r="AB475" s="12"/>
    </row>
    <row r="476" customFormat="false" ht="35.05" hidden="false" customHeight="false" outlineLevel="0" collapsed="false">
      <c r="A476" s="17" t="n">
        <v>475</v>
      </c>
      <c r="B476" s="9" t="s">
        <v>186</v>
      </c>
      <c r="C476" s="9" t="s">
        <v>113</v>
      </c>
      <c r="D476" s="10" t="s">
        <v>114</v>
      </c>
      <c r="E476" s="11" t="s">
        <v>1899</v>
      </c>
      <c r="F476" s="10" t="s">
        <v>1900</v>
      </c>
      <c r="G476" s="12" t="s">
        <v>1901</v>
      </c>
      <c r="H476" s="13" t="n">
        <v>-0.006</v>
      </c>
      <c r="I476" s="14" t="s">
        <v>695</v>
      </c>
      <c r="J476" s="15" t="s">
        <v>1180</v>
      </c>
      <c r="K476" s="9" t="n">
        <v>4</v>
      </c>
      <c r="L476" s="17"/>
      <c r="M476" s="16" t="s">
        <v>53</v>
      </c>
      <c r="N476" s="14"/>
      <c r="O476" s="17" t="s">
        <v>54</v>
      </c>
      <c r="P476" s="15" t="s">
        <v>1894</v>
      </c>
      <c r="Q476" s="17"/>
      <c r="R476" s="18" t="s">
        <v>53</v>
      </c>
      <c r="S476" s="19"/>
      <c r="T476" s="15" t="str">
        <f aca="false">IF(R476="維持",J476,IF(R476="排除","無關新聞事件",IFERROR(INDEX(事件規則!$B$2:$B$53,MATCH(S476,事件規則!$A$2:$A$53,0)),"")))</f>
        <v>無關新聞事件</v>
      </c>
      <c r="U476" s="20" t="n">
        <f aca="false">IF(R476="維持",K476,IF(R476="排除",0,IFERROR(INDEX(事件規則!$C$2:$C$53,MATCH(S476,事件規則!$A$2:$A$53,0)),"")))</f>
        <v>0</v>
      </c>
      <c r="V476" s="21"/>
      <c r="W476" s="22"/>
      <c r="X476" s="10" t="str">
        <f aca="false">IF(AND(R476="修改",S476=""),"請選新事件代碼",IF(AND(R476&lt;&gt;"修改",S476&lt;&gt;""),"只有「修改」才需填代碼",""))</f>
        <v/>
      </c>
      <c r="Y476" s="21"/>
      <c r="Z476" s="22"/>
      <c r="AA476" s="12" t="s">
        <v>1902</v>
      </c>
      <c r="AB476" s="12"/>
    </row>
    <row r="477" customFormat="false" ht="35.05" hidden="false" customHeight="false" outlineLevel="0" collapsed="false">
      <c r="A477" s="17" t="n">
        <v>476</v>
      </c>
      <c r="B477" s="9" t="s">
        <v>118</v>
      </c>
      <c r="C477" s="9" t="s">
        <v>370</v>
      </c>
      <c r="D477" s="10" t="s">
        <v>371</v>
      </c>
      <c r="E477" s="11" t="s">
        <v>1903</v>
      </c>
      <c r="F477" s="15" t="s">
        <v>1904</v>
      </c>
      <c r="G477" s="12" t="s">
        <v>1905</v>
      </c>
      <c r="H477" s="13" t="n">
        <v>-0.157</v>
      </c>
      <c r="I477" s="14" t="s">
        <v>695</v>
      </c>
      <c r="J477" s="15" t="s">
        <v>1180</v>
      </c>
      <c r="K477" s="9" t="n">
        <v>4</v>
      </c>
      <c r="L477" s="17"/>
      <c r="M477" s="16" t="s">
        <v>105</v>
      </c>
      <c r="N477" s="14"/>
      <c r="O477" s="17" t="s">
        <v>54</v>
      </c>
      <c r="P477" s="15" t="s">
        <v>1883</v>
      </c>
      <c r="Q477" s="17"/>
      <c r="R477" s="18" t="s">
        <v>105</v>
      </c>
      <c r="S477" s="19"/>
      <c r="T477" s="15" t="str">
        <f aca="false">IF(R477="維持",J477,IF(R477="排除","無關新聞事件",IFERROR(INDEX(事件規則!$B$2:$B$53,MATCH(S477,事件規則!$A$2:$A$53,0)),"")))</f>
        <v>監管裁罰</v>
      </c>
      <c r="U477" s="20" t="n">
        <f aca="false">IF(R477="維持",K477,IF(R477="排除",0,IFERROR(INDEX(事件規則!$C$2:$C$53,MATCH(S477,事件規則!$A$2:$A$53,0)),"")))</f>
        <v>4</v>
      </c>
      <c r="V477" s="21"/>
      <c r="W477" s="22"/>
      <c r="X477" s="10" t="str">
        <f aca="false">IF(AND(R477="修改",S477=""),"請選新事件代碼",IF(AND(R477&lt;&gt;"修改",S477&lt;&gt;""),"只有「修改」才需填代碼",""))</f>
        <v/>
      </c>
      <c r="Y477" s="21"/>
      <c r="Z477" s="22"/>
      <c r="AA477" s="12" t="s">
        <v>1906</v>
      </c>
      <c r="AB477" s="12"/>
    </row>
    <row r="478" customFormat="false" ht="29.85" hidden="false" customHeight="false" outlineLevel="0" collapsed="false">
      <c r="A478" s="17" t="n">
        <v>477</v>
      </c>
      <c r="B478" s="9" t="s">
        <v>118</v>
      </c>
      <c r="C478" s="9" t="s">
        <v>1907</v>
      </c>
      <c r="D478" s="10" t="s">
        <v>1908</v>
      </c>
      <c r="E478" s="11" t="s">
        <v>1909</v>
      </c>
      <c r="F478" s="10" t="s">
        <v>1910</v>
      </c>
      <c r="G478" s="12" t="s">
        <v>1846</v>
      </c>
      <c r="H478" s="13" t="n">
        <v>-0.119</v>
      </c>
      <c r="I478" s="14" t="s">
        <v>695</v>
      </c>
      <c r="J478" s="15" t="s">
        <v>1180</v>
      </c>
      <c r="K478" s="9" t="n">
        <v>4</v>
      </c>
      <c r="L478" s="17"/>
      <c r="M478" s="16" t="s">
        <v>53</v>
      </c>
      <c r="N478" s="14"/>
      <c r="O478" s="17" t="s">
        <v>97</v>
      </c>
      <c r="P478" s="10" t="s">
        <v>1911</v>
      </c>
      <c r="Q478" s="17"/>
      <c r="R478" s="18" t="s">
        <v>53</v>
      </c>
      <c r="S478" s="19"/>
      <c r="T478" s="15" t="str">
        <f aca="false">IF(R478="維持",J478,IF(R478="排除","無關新聞事件",IFERROR(INDEX(事件規則!$B$2:$B$53,MATCH(S478,事件規則!$A$2:$A$53,0)),"")))</f>
        <v>無關新聞事件</v>
      </c>
      <c r="U478" s="20" t="n">
        <f aca="false">IF(R478="維持",K478,IF(R478="排除",0,IFERROR(INDEX(事件規則!$C$2:$C$53,MATCH(S478,事件規則!$A$2:$A$53,0)),"")))</f>
        <v>0</v>
      </c>
      <c r="V478" s="21"/>
      <c r="W478" s="22"/>
      <c r="X478" s="10" t="str">
        <f aca="false">IF(AND(R478="修改",S478=""),"請選新事件代碼",IF(AND(R478&lt;&gt;"修改",S478&lt;&gt;""),"只有「修改」才需填代碼",""))</f>
        <v/>
      </c>
      <c r="Y478" s="21"/>
      <c r="Z478" s="22"/>
      <c r="AA478" s="12" t="s">
        <v>1912</v>
      </c>
      <c r="AB478" s="12"/>
    </row>
    <row r="479" customFormat="false" ht="29.85" hidden="false" customHeight="false" outlineLevel="0" collapsed="false">
      <c r="A479" s="17" t="n">
        <v>478</v>
      </c>
      <c r="B479" s="9" t="s">
        <v>118</v>
      </c>
      <c r="C479" s="9" t="s">
        <v>665</v>
      </c>
      <c r="D479" s="10" t="s">
        <v>666</v>
      </c>
      <c r="E479" s="11" t="s">
        <v>1913</v>
      </c>
      <c r="F479" s="10" t="s">
        <v>1914</v>
      </c>
      <c r="G479" s="12" t="s">
        <v>496</v>
      </c>
      <c r="H479" s="13" t="n">
        <v>-0.614</v>
      </c>
      <c r="I479" s="14" t="s">
        <v>695</v>
      </c>
      <c r="J479" s="15" t="s">
        <v>1180</v>
      </c>
      <c r="K479" s="9" t="n">
        <v>4</v>
      </c>
      <c r="L479" s="17"/>
      <c r="M479" s="16" t="s">
        <v>95</v>
      </c>
      <c r="N479" s="14" t="s">
        <v>96</v>
      </c>
      <c r="O479" s="17" t="s">
        <v>97</v>
      </c>
      <c r="P479" s="10" t="s">
        <v>1800</v>
      </c>
      <c r="Q479" s="17"/>
      <c r="R479" s="18" t="s">
        <v>95</v>
      </c>
      <c r="S479" s="19" t="s">
        <v>96</v>
      </c>
      <c r="T479" s="15" t="str">
        <f aca="false">IF(R479="維持",J479,IF(R479="排除","無關新聞事件",IFERROR(INDEX(事件規則!$B$2:$B$53,MATCH(S479,事件規則!$A$2:$A$53,0)),"")))</f>
        <v>重大訴訟</v>
      </c>
      <c r="U479" s="20" t="n">
        <f aca="false">IF(R479="維持",K479,IF(R479="排除",0,IFERROR(INDEX(事件規則!$C$2:$C$53,MATCH(S479,事件規則!$A$2:$A$53,0)),"")))</f>
        <v>4</v>
      </c>
      <c r="V479" s="21"/>
      <c r="W479" s="22"/>
      <c r="X479" s="10" t="str">
        <f aca="false">IF(AND(R479="修改",S479=""),"請選新事件代碼",IF(AND(R479&lt;&gt;"修改",S479&lt;&gt;""),"只有「修改」才需填代碼",""))</f>
        <v/>
      </c>
      <c r="Y479" s="21"/>
      <c r="Z479" s="22"/>
      <c r="AA479" s="12" t="s">
        <v>1915</v>
      </c>
      <c r="AB479" s="12"/>
    </row>
    <row r="480" customFormat="false" ht="29.85" hidden="false" customHeight="false" outlineLevel="0" collapsed="false">
      <c r="A480" s="17" t="n">
        <v>479</v>
      </c>
      <c r="B480" s="9" t="s">
        <v>404</v>
      </c>
      <c r="C480" s="17"/>
      <c r="D480" s="10" t="s">
        <v>1916</v>
      </c>
      <c r="E480" s="11" t="s">
        <v>1917</v>
      </c>
      <c r="F480" s="15" t="s">
        <v>1918</v>
      </c>
      <c r="G480" s="12" t="s">
        <v>1919</v>
      </c>
      <c r="H480" s="13" t="n">
        <v>0.341</v>
      </c>
      <c r="I480" s="14" t="s">
        <v>1920</v>
      </c>
      <c r="J480" s="15" t="s">
        <v>1921</v>
      </c>
      <c r="K480" s="9" t="n">
        <v>4</v>
      </c>
      <c r="L480" s="17" t="s">
        <v>320</v>
      </c>
      <c r="M480" s="16" t="s">
        <v>53</v>
      </c>
      <c r="N480" s="14"/>
      <c r="O480" s="17" t="s">
        <v>54</v>
      </c>
      <c r="P480" s="15" t="s">
        <v>1922</v>
      </c>
      <c r="Q480" s="17"/>
      <c r="R480" s="18" t="s">
        <v>53</v>
      </c>
      <c r="S480" s="19"/>
      <c r="T480" s="15" t="str">
        <f aca="false">IF(R480="維持",J480,IF(R480="排除","無關新聞事件",IFERROR(INDEX(事件規則!$B$2:$B$53,MATCH(S480,事件規則!$A$2:$A$53,0)),"")))</f>
        <v>無關新聞事件</v>
      </c>
      <c r="U480" s="20" t="n">
        <f aca="false">IF(R480="維持",K480,IF(R480="排除",0,IFERROR(INDEX(事件規則!$C$2:$C$53,MATCH(S480,事件規則!$A$2:$A$53,0)),"")))</f>
        <v>0</v>
      </c>
      <c r="V480" s="21"/>
      <c r="W480" s="22"/>
      <c r="X480" s="10" t="str">
        <f aca="false">IF(AND(R480="修改",S480=""),"請選新事件代碼",IF(AND(R480&lt;&gt;"修改",S480&lt;&gt;""),"只有「修改」才需填代碼",""))</f>
        <v/>
      </c>
      <c r="Y480" s="21"/>
      <c r="Z480" s="22"/>
      <c r="AA480" s="12" t="s">
        <v>1923</v>
      </c>
      <c r="AB480" s="12"/>
    </row>
    <row r="481" customFormat="false" ht="58.2" hidden="false" customHeight="false" outlineLevel="0" collapsed="false">
      <c r="A481" s="17" t="n">
        <v>480</v>
      </c>
      <c r="B481" s="9" t="s">
        <v>126</v>
      </c>
      <c r="C481" s="17"/>
      <c r="D481" s="10" t="s">
        <v>898</v>
      </c>
      <c r="E481" s="11" t="s">
        <v>1924</v>
      </c>
      <c r="F481" s="10" t="s">
        <v>1925</v>
      </c>
      <c r="G481" s="12" t="s">
        <v>1926</v>
      </c>
      <c r="H481" s="13" t="n">
        <v>-0.812</v>
      </c>
      <c r="I481" s="14" t="s">
        <v>1920</v>
      </c>
      <c r="J481" s="15" t="s">
        <v>1921</v>
      </c>
      <c r="K481" s="9" t="n">
        <v>4</v>
      </c>
      <c r="L481" s="17" t="s">
        <v>320</v>
      </c>
      <c r="M481" s="16" t="s">
        <v>53</v>
      </c>
      <c r="N481" s="14"/>
      <c r="O481" s="17" t="s">
        <v>54</v>
      </c>
      <c r="P481" s="15" t="s">
        <v>1922</v>
      </c>
      <c r="Q481" s="17"/>
      <c r="R481" s="18" t="s">
        <v>53</v>
      </c>
      <c r="S481" s="19"/>
      <c r="T481" s="15" t="str">
        <f aca="false">IF(R481="維持",J481,IF(R481="排除","無關新聞事件",IFERROR(INDEX(事件規則!$B$2:$B$53,MATCH(S481,事件規則!$A$2:$A$53,0)),"")))</f>
        <v>無關新聞事件</v>
      </c>
      <c r="U481" s="20" t="n">
        <f aca="false">IF(R481="維持",K481,IF(R481="排除",0,IFERROR(INDEX(事件規則!$C$2:$C$53,MATCH(S481,事件規則!$A$2:$A$53,0)),"")))</f>
        <v>0</v>
      </c>
      <c r="V481" s="21"/>
      <c r="W481" s="22"/>
      <c r="X481" s="10" t="str">
        <f aca="false">IF(AND(R481="修改",S481=""),"請選新事件代碼",IF(AND(R481&lt;&gt;"修改",S481&lt;&gt;""),"只有「修改」才需填代碼",""))</f>
        <v/>
      </c>
      <c r="Y481" s="21"/>
      <c r="Z481" s="22"/>
      <c r="AA481" s="12" t="s">
        <v>1927</v>
      </c>
      <c r="AB481" s="12"/>
    </row>
    <row r="482" customFormat="false" ht="29.85" hidden="false" customHeight="false" outlineLevel="0" collapsed="false">
      <c r="A482" s="17" t="n">
        <v>481</v>
      </c>
      <c r="B482" s="9" t="s">
        <v>983</v>
      </c>
      <c r="C482" s="17"/>
      <c r="D482" s="10" t="s">
        <v>1404</v>
      </c>
      <c r="E482" s="11" t="s">
        <v>1928</v>
      </c>
      <c r="F482" s="15"/>
      <c r="G482" s="12" t="s">
        <v>1929</v>
      </c>
      <c r="H482" s="13" t="n">
        <v>-0.062</v>
      </c>
      <c r="I482" s="14" t="s">
        <v>1920</v>
      </c>
      <c r="J482" s="15" t="s">
        <v>1921</v>
      </c>
      <c r="K482" s="9" t="n">
        <v>4</v>
      </c>
      <c r="L482" s="17" t="s">
        <v>320</v>
      </c>
      <c r="M482" s="16" t="s">
        <v>53</v>
      </c>
      <c r="N482" s="14"/>
      <c r="O482" s="17" t="s">
        <v>54</v>
      </c>
      <c r="P482" s="15" t="s">
        <v>1922</v>
      </c>
      <c r="Q482" s="17"/>
      <c r="R482" s="18" t="s">
        <v>53</v>
      </c>
      <c r="S482" s="19"/>
      <c r="T482" s="15" t="str">
        <f aca="false">IF(R482="維持",J482,IF(R482="排除","無關新聞事件",IFERROR(INDEX(事件規則!$B$2:$B$53,MATCH(S482,事件規則!$A$2:$A$53,0)),"")))</f>
        <v>無關新聞事件</v>
      </c>
      <c r="U482" s="20" t="n">
        <f aca="false">IF(R482="維持",K482,IF(R482="排除",0,IFERROR(INDEX(事件規則!$C$2:$C$53,MATCH(S482,事件規則!$A$2:$A$53,0)),"")))</f>
        <v>0</v>
      </c>
      <c r="V482" s="21"/>
      <c r="W482" s="22"/>
      <c r="X482" s="10" t="str">
        <f aca="false">IF(AND(R482="修改",S482=""),"請選新事件代碼",IF(AND(R482&lt;&gt;"修改",S482&lt;&gt;""),"只有「修改」才需填代碼",""))</f>
        <v/>
      </c>
      <c r="Y482" s="21"/>
      <c r="Z482" s="22"/>
      <c r="AA482" s="12" t="s">
        <v>1930</v>
      </c>
      <c r="AB482" s="12"/>
    </row>
    <row r="483" customFormat="false" ht="29.85" hidden="false" customHeight="false" outlineLevel="0" collapsed="false">
      <c r="A483" s="17" t="n">
        <v>482</v>
      </c>
      <c r="B483" s="9" t="s">
        <v>988</v>
      </c>
      <c r="C483" s="17"/>
      <c r="D483" s="10" t="s">
        <v>342</v>
      </c>
      <c r="E483" s="11" t="s">
        <v>1931</v>
      </c>
      <c r="F483" s="15"/>
      <c r="G483" s="12" t="s">
        <v>1932</v>
      </c>
      <c r="H483" s="13" t="n">
        <v>-0.176</v>
      </c>
      <c r="I483" s="14" t="s">
        <v>1920</v>
      </c>
      <c r="J483" s="15" t="s">
        <v>1921</v>
      </c>
      <c r="K483" s="9" t="n">
        <v>4</v>
      </c>
      <c r="L483" s="17" t="s">
        <v>320</v>
      </c>
      <c r="M483" s="16" t="s">
        <v>53</v>
      </c>
      <c r="N483" s="14"/>
      <c r="O483" s="17" t="s">
        <v>54</v>
      </c>
      <c r="P483" s="15" t="s">
        <v>1922</v>
      </c>
      <c r="Q483" s="17"/>
      <c r="R483" s="18" t="s">
        <v>53</v>
      </c>
      <c r="S483" s="19"/>
      <c r="T483" s="15" t="str">
        <f aca="false">IF(R483="維持",J483,IF(R483="排除","無關新聞事件",IFERROR(INDEX(事件規則!$B$2:$B$53,MATCH(S483,事件規則!$A$2:$A$53,0)),"")))</f>
        <v>無關新聞事件</v>
      </c>
      <c r="U483" s="20" t="n">
        <f aca="false">IF(R483="維持",K483,IF(R483="排除",0,IFERROR(INDEX(事件規則!$C$2:$C$53,MATCH(S483,事件規則!$A$2:$A$53,0)),"")))</f>
        <v>0</v>
      </c>
      <c r="V483" s="21"/>
      <c r="W483" s="22"/>
      <c r="X483" s="10" t="str">
        <f aca="false">IF(AND(R483="修改",S483=""),"請選新事件代碼",IF(AND(R483&lt;&gt;"修改",S483&lt;&gt;""),"只有「修改」才需填代碼",""))</f>
        <v/>
      </c>
      <c r="Y483" s="21"/>
      <c r="Z483" s="22"/>
      <c r="AA483" s="12" t="s">
        <v>1933</v>
      </c>
      <c r="AB483" s="12"/>
    </row>
    <row r="484" customFormat="false" ht="29.85" hidden="false" customHeight="false" outlineLevel="0" collapsed="false">
      <c r="A484" s="17" t="n">
        <v>483</v>
      </c>
      <c r="B484" s="9" t="s">
        <v>219</v>
      </c>
      <c r="C484" s="17"/>
      <c r="D484" s="10" t="s">
        <v>488</v>
      </c>
      <c r="E484" s="11" t="s">
        <v>1934</v>
      </c>
      <c r="F484" s="15"/>
      <c r="G484" s="12" t="s">
        <v>1697</v>
      </c>
      <c r="H484" s="13" t="n">
        <v>-0.022</v>
      </c>
      <c r="I484" s="14" t="s">
        <v>1920</v>
      </c>
      <c r="J484" s="15" t="s">
        <v>1921</v>
      </c>
      <c r="K484" s="9" t="n">
        <v>4</v>
      </c>
      <c r="L484" s="17" t="s">
        <v>320</v>
      </c>
      <c r="M484" s="16" t="s">
        <v>53</v>
      </c>
      <c r="N484" s="14"/>
      <c r="O484" s="17" t="s">
        <v>54</v>
      </c>
      <c r="P484" s="15" t="s">
        <v>1922</v>
      </c>
      <c r="Q484" s="17"/>
      <c r="R484" s="18" t="s">
        <v>53</v>
      </c>
      <c r="S484" s="19"/>
      <c r="T484" s="15" t="str">
        <f aca="false">IF(R484="維持",J484,IF(R484="排除","無關新聞事件",IFERROR(INDEX(事件規則!$B$2:$B$53,MATCH(S484,事件規則!$A$2:$A$53,0)),"")))</f>
        <v>無關新聞事件</v>
      </c>
      <c r="U484" s="20" t="n">
        <f aca="false">IF(R484="維持",K484,IF(R484="排除",0,IFERROR(INDEX(事件規則!$C$2:$C$53,MATCH(S484,事件規則!$A$2:$A$53,0)),"")))</f>
        <v>0</v>
      </c>
      <c r="V484" s="21"/>
      <c r="W484" s="22"/>
      <c r="X484" s="10" t="str">
        <f aca="false">IF(AND(R484="修改",S484=""),"請選新事件代碼",IF(AND(R484&lt;&gt;"修改",S484&lt;&gt;""),"只有「修改」才需填代碼",""))</f>
        <v/>
      </c>
      <c r="Y484" s="21"/>
      <c r="Z484" s="22"/>
      <c r="AA484" s="12" t="s">
        <v>1935</v>
      </c>
      <c r="AB484" s="12"/>
    </row>
    <row r="485" customFormat="false" ht="29.85" hidden="false" customHeight="false" outlineLevel="0" collapsed="false">
      <c r="A485" s="17" t="n">
        <v>484</v>
      </c>
      <c r="B485" s="9" t="s">
        <v>266</v>
      </c>
      <c r="C485" s="17"/>
      <c r="D485" s="10" t="s">
        <v>1936</v>
      </c>
      <c r="E485" s="11" t="s">
        <v>1937</v>
      </c>
      <c r="F485" s="15"/>
      <c r="G485" s="12" t="s">
        <v>1938</v>
      </c>
      <c r="H485" s="13" t="n">
        <v>-0.01</v>
      </c>
      <c r="I485" s="14" t="s">
        <v>1920</v>
      </c>
      <c r="J485" s="15" t="s">
        <v>1921</v>
      </c>
      <c r="K485" s="9" t="n">
        <v>4</v>
      </c>
      <c r="L485" s="17" t="s">
        <v>320</v>
      </c>
      <c r="M485" s="16" t="s">
        <v>53</v>
      </c>
      <c r="N485" s="14"/>
      <c r="O485" s="17" t="s">
        <v>54</v>
      </c>
      <c r="P485" s="15" t="s">
        <v>1922</v>
      </c>
      <c r="Q485" s="17"/>
      <c r="R485" s="18" t="s">
        <v>53</v>
      </c>
      <c r="S485" s="19"/>
      <c r="T485" s="15" t="str">
        <f aca="false">IF(R485="維持",J485,IF(R485="排除","無關新聞事件",IFERROR(INDEX(事件規則!$B$2:$B$53,MATCH(S485,事件規則!$A$2:$A$53,0)),"")))</f>
        <v>無關新聞事件</v>
      </c>
      <c r="U485" s="20" t="n">
        <f aca="false">IF(R485="維持",K485,IF(R485="排除",0,IFERROR(INDEX(事件規則!$C$2:$C$53,MATCH(S485,事件規則!$A$2:$A$53,0)),"")))</f>
        <v>0</v>
      </c>
      <c r="V485" s="21"/>
      <c r="W485" s="22"/>
      <c r="X485" s="10" t="str">
        <f aca="false">IF(AND(R485="修改",S485=""),"請選新事件代碼",IF(AND(R485&lt;&gt;"修改",S485&lt;&gt;""),"只有「修改」才需填代碼",""))</f>
        <v/>
      </c>
      <c r="Y485" s="21"/>
      <c r="Z485" s="22"/>
      <c r="AA485" s="12" t="s">
        <v>1939</v>
      </c>
      <c r="AB485" s="12"/>
    </row>
    <row r="486" customFormat="false" ht="29.85" hidden="false" customHeight="false" outlineLevel="0" collapsed="false">
      <c r="A486" s="17" t="n">
        <v>485</v>
      </c>
      <c r="B486" s="9" t="s">
        <v>223</v>
      </c>
      <c r="C486" s="9" t="s">
        <v>1521</v>
      </c>
      <c r="D486" s="10" t="s">
        <v>1522</v>
      </c>
      <c r="E486" s="11" t="s">
        <v>1940</v>
      </c>
      <c r="F486" s="15" t="s">
        <v>1941</v>
      </c>
      <c r="G486" s="12" t="s">
        <v>1942</v>
      </c>
      <c r="H486" s="13" t="n">
        <v>-0.884</v>
      </c>
      <c r="I486" s="14" t="s">
        <v>1920</v>
      </c>
      <c r="J486" s="15" t="s">
        <v>1921</v>
      </c>
      <c r="K486" s="9" t="n">
        <v>4</v>
      </c>
      <c r="L486" s="17"/>
      <c r="M486" s="16" t="s">
        <v>53</v>
      </c>
      <c r="N486" s="14"/>
      <c r="O486" s="17" t="s">
        <v>97</v>
      </c>
      <c r="P486" s="15" t="s">
        <v>1943</v>
      </c>
      <c r="Q486" s="17"/>
      <c r="R486" s="18" t="s">
        <v>53</v>
      </c>
      <c r="S486" s="19"/>
      <c r="T486" s="15" t="str">
        <f aca="false">IF(R486="維持",J486,IF(R486="排除","無關新聞事件",IFERROR(INDEX(事件規則!$B$2:$B$53,MATCH(S486,事件規則!$A$2:$A$53,0)),"")))</f>
        <v>無關新聞事件</v>
      </c>
      <c r="U486" s="20" t="n">
        <f aca="false">IF(R486="維持",K486,IF(R486="排除",0,IFERROR(INDEX(事件規則!$C$2:$C$53,MATCH(S486,事件規則!$A$2:$A$53,0)),"")))</f>
        <v>0</v>
      </c>
      <c r="V486" s="21"/>
      <c r="W486" s="22"/>
      <c r="X486" s="10" t="str">
        <f aca="false">IF(AND(R486="修改",S486=""),"請選新事件代碼",IF(AND(R486&lt;&gt;"修改",S486&lt;&gt;""),"只有「修改」才需填代碼",""))</f>
        <v/>
      </c>
      <c r="Y486" s="21"/>
      <c r="Z486" s="22"/>
      <c r="AA486" s="12" t="s">
        <v>1944</v>
      </c>
      <c r="AB486" s="12"/>
    </row>
    <row r="487" customFormat="false" ht="29.85" hidden="false" customHeight="false" outlineLevel="0" collapsed="false">
      <c r="A487" s="17" t="n">
        <v>486</v>
      </c>
      <c r="B487" s="9" t="s">
        <v>855</v>
      </c>
      <c r="C487" s="9" t="s">
        <v>1945</v>
      </c>
      <c r="D487" s="10" t="s">
        <v>1946</v>
      </c>
      <c r="E487" s="11" t="s">
        <v>1947</v>
      </c>
      <c r="F487" s="15"/>
      <c r="G487" s="12" t="s">
        <v>416</v>
      </c>
      <c r="H487" s="13" t="n">
        <v>-0.941</v>
      </c>
      <c r="I487" s="14" t="s">
        <v>1920</v>
      </c>
      <c r="J487" s="15" t="s">
        <v>1921</v>
      </c>
      <c r="K487" s="9" t="n">
        <v>4</v>
      </c>
      <c r="L487" s="17"/>
      <c r="M487" s="16" t="s">
        <v>53</v>
      </c>
      <c r="N487" s="14"/>
      <c r="O487" s="17" t="s">
        <v>97</v>
      </c>
      <c r="P487" s="10" t="s">
        <v>1948</v>
      </c>
      <c r="Q487" s="17"/>
      <c r="R487" s="18" t="s">
        <v>53</v>
      </c>
      <c r="S487" s="19"/>
      <c r="T487" s="15" t="str">
        <f aca="false">IF(R487="維持",J487,IF(R487="排除","無關新聞事件",IFERROR(INDEX(事件規則!$B$2:$B$53,MATCH(S487,事件規則!$A$2:$A$53,0)),"")))</f>
        <v>無關新聞事件</v>
      </c>
      <c r="U487" s="20" t="n">
        <f aca="false">IF(R487="維持",K487,IF(R487="排除",0,IFERROR(INDEX(事件規則!$C$2:$C$53,MATCH(S487,事件規則!$A$2:$A$53,0)),"")))</f>
        <v>0</v>
      </c>
      <c r="V487" s="21"/>
      <c r="W487" s="22"/>
      <c r="X487" s="10" t="str">
        <f aca="false">IF(AND(R487="修改",S487=""),"請選新事件代碼",IF(AND(R487&lt;&gt;"修改",S487&lt;&gt;""),"只有「修改」才需填代碼",""))</f>
        <v/>
      </c>
      <c r="Y487" s="21"/>
      <c r="Z487" s="22"/>
      <c r="AA487" s="12" t="s">
        <v>1949</v>
      </c>
      <c r="AB487" s="12"/>
    </row>
    <row r="488" customFormat="false" ht="15" hidden="false" customHeight="false" outlineLevel="0" collapsed="false">
      <c r="A488" s="17" t="n">
        <v>487</v>
      </c>
      <c r="B488" s="9" t="s">
        <v>286</v>
      </c>
      <c r="C488" s="9" t="s">
        <v>1105</v>
      </c>
      <c r="D488" s="10" t="s">
        <v>1106</v>
      </c>
      <c r="E488" s="11" t="s">
        <v>1950</v>
      </c>
      <c r="F488" s="15"/>
      <c r="G488" s="12" t="s">
        <v>1951</v>
      </c>
      <c r="H488" s="13" t="n">
        <v>-0.126</v>
      </c>
      <c r="I488" s="14" t="s">
        <v>1920</v>
      </c>
      <c r="J488" s="15" t="s">
        <v>1921</v>
      </c>
      <c r="K488" s="9" t="n">
        <v>4</v>
      </c>
      <c r="L488" s="17"/>
      <c r="M488" s="16" t="s">
        <v>95</v>
      </c>
      <c r="N488" s="14" t="s">
        <v>1952</v>
      </c>
      <c r="O488" s="17" t="s">
        <v>97</v>
      </c>
      <c r="P488" s="15" t="s">
        <v>1953</v>
      </c>
      <c r="Q488" s="17"/>
      <c r="R488" s="18" t="s">
        <v>95</v>
      </c>
      <c r="S488" s="19" t="s">
        <v>1952</v>
      </c>
      <c r="T488" s="15" t="str">
        <f aca="false">IF(R488="維持",J488,IF(R488="排除","無關新聞事件",IFERROR(INDEX(事件規則!$B$2:$B$53,MATCH(S488,事件規則!$A$2:$A$53,0)),"")))</f>
        <v>出口管制</v>
      </c>
      <c r="U488" s="20" t="n">
        <f aca="false">IF(R488="維持",K488,IF(R488="排除",0,IFERROR(INDEX(事件規則!$C$2:$C$53,MATCH(S488,事件規則!$A$2:$A$53,0)),"")))</f>
        <v>3</v>
      </c>
      <c r="V488" s="21"/>
      <c r="W488" s="22"/>
      <c r="X488" s="10" t="str">
        <f aca="false">IF(AND(R488="修改",S488=""),"請選新事件代碼",IF(AND(R488&lt;&gt;"修改",S488&lt;&gt;""),"只有「修改」才需填代碼",""))</f>
        <v/>
      </c>
      <c r="Y488" s="21"/>
      <c r="Z488" s="22"/>
      <c r="AA488" s="12" t="s">
        <v>1954</v>
      </c>
      <c r="AB488" s="12"/>
    </row>
    <row r="489" customFormat="false" ht="29.85" hidden="false" customHeight="false" outlineLevel="0" collapsed="false">
      <c r="A489" s="17" t="n">
        <v>488</v>
      </c>
      <c r="B489" s="9" t="s">
        <v>1955</v>
      </c>
      <c r="C489" s="9" t="s">
        <v>1956</v>
      </c>
      <c r="D489" s="10" t="s">
        <v>1957</v>
      </c>
      <c r="E489" s="11" t="s">
        <v>1958</v>
      </c>
      <c r="F489" s="15"/>
      <c r="G489" s="12" t="s">
        <v>1959</v>
      </c>
      <c r="H489" s="13" t="n">
        <v>-0.434</v>
      </c>
      <c r="I489" s="14" t="s">
        <v>1920</v>
      </c>
      <c r="J489" s="15" t="s">
        <v>1921</v>
      </c>
      <c r="K489" s="9" t="n">
        <v>4</v>
      </c>
      <c r="L489" s="17"/>
      <c r="M489" s="16" t="s">
        <v>53</v>
      </c>
      <c r="N489" s="14"/>
      <c r="O489" s="17" t="s">
        <v>54</v>
      </c>
      <c r="P489" s="15" t="s">
        <v>1613</v>
      </c>
      <c r="Q489" s="17"/>
      <c r="R489" s="18" t="s">
        <v>53</v>
      </c>
      <c r="S489" s="19"/>
      <c r="T489" s="15" t="str">
        <f aca="false">IF(R489="維持",J489,IF(R489="排除","無關新聞事件",IFERROR(INDEX(事件規則!$B$2:$B$53,MATCH(S489,事件規則!$A$2:$A$53,0)),"")))</f>
        <v>無關新聞事件</v>
      </c>
      <c r="U489" s="20" t="n">
        <f aca="false">IF(R489="維持",K489,IF(R489="排除",0,IFERROR(INDEX(事件規則!$C$2:$C$53,MATCH(S489,事件規則!$A$2:$A$53,0)),"")))</f>
        <v>0</v>
      </c>
      <c r="V489" s="21"/>
      <c r="W489" s="22"/>
      <c r="X489" s="10" t="str">
        <f aca="false">IF(AND(R489="修改",S489=""),"請選新事件代碼",IF(AND(R489&lt;&gt;"修改",S489&lt;&gt;""),"只有「修改」才需填代碼",""))</f>
        <v/>
      </c>
      <c r="Y489" s="21"/>
      <c r="Z489" s="22"/>
      <c r="AA489" s="12" t="s">
        <v>1960</v>
      </c>
      <c r="AB489" s="12"/>
    </row>
    <row r="490" customFormat="false" ht="15" hidden="false" customHeight="false" outlineLevel="0" collapsed="false">
      <c r="A490" s="17" t="n">
        <v>489</v>
      </c>
      <c r="B490" s="9" t="s">
        <v>1961</v>
      </c>
      <c r="C490" s="9" t="s">
        <v>1194</v>
      </c>
      <c r="D490" s="10" t="s">
        <v>1962</v>
      </c>
      <c r="E490" s="11" t="s">
        <v>1963</v>
      </c>
      <c r="F490" s="15"/>
      <c r="G490" s="12" t="s">
        <v>1964</v>
      </c>
      <c r="H490" s="13" t="n">
        <v>-0.885</v>
      </c>
      <c r="I490" s="14"/>
      <c r="J490" s="15"/>
      <c r="K490" s="9"/>
      <c r="L490" s="17" t="s">
        <v>1965</v>
      </c>
      <c r="M490" s="16" t="s">
        <v>95</v>
      </c>
      <c r="N490" s="14" t="s">
        <v>1966</v>
      </c>
      <c r="O490" s="17" t="s">
        <v>54</v>
      </c>
      <c r="P490" s="10" t="s">
        <v>1967</v>
      </c>
      <c r="Q490" s="17"/>
      <c r="R490" s="18" t="s">
        <v>95</v>
      </c>
      <c r="S490" s="19" t="s">
        <v>1966</v>
      </c>
      <c r="T490" s="15" t="str">
        <f aca="false">IF(R490="維持",J490,IF(R490="排除","無關新聞事件",IFERROR(INDEX(事件規則!$B$2:$B$53,MATCH(S490,事件規則!$A$2:$A$53,0)),"")))</f>
        <v>股價下跌</v>
      </c>
      <c r="U490" s="20" t="n">
        <f aca="false">IF(R490="維持",K490,IF(R490="排除",0,IFERROR(INDEX(事件規則!$C$2:$C$53,MATCH(S490,事件規則!$A$2:$A$53,0)),"")))</f>
        <v>1</v>
      </c>
      <c r="V490" s="21"/>
      <c r="W490" s="22"/>
      <c r="X490" s="10" t="str">
        <f aca="false">IF(AND(R490="修改",S490=""),"請選新事件代碼",IF(AND(R490&lt;&gt;"修改",S490&lt;&gt;""),"只有「修改」才需填代碼",""))</f>
        <v/>
      </c>
      <c r="Y490" s="21"/>
      <c r="Z490" s="22"/>
      <c r="AA490" s="12" t="s">
        <v>1968</v>
      </c>
      <c r="AB490" s="12"/>
    </row>
    <row r="491" customFormat="false" ht="15" hidden="false" customHeight="false" outlineLevel="0" collapsed="false">
      <c r="A491" s="17" t="n">
        <v>490</v>
      </c>
      <c r="B491" s="9" t="s">
        <v>1961</v>
      </c>
      <c r="C491" s="9" t="s">
        <v>1793</v>
      </c>
      <c r="D491" s="10" t="s">
        <v>1969</v>
      </c>
      <c r="E491" s="11" t="s">
        <v>1970</v>
      </c>
      <c r="F491" s="15"/>
      <c r="G491" s="12" t="s">
        <v>1971</v>
      </c>
      <c r="H491" s="13" t="n">
        <v>-0.208</v>
      </c>
      <c r="I491" s="14"/>
      <c r="J491" s="15"/>
      <c r="K491" s="9"/>
      <c r="L491" s="17" t="s">
        <v>1965</v>
      </c>
      <c r="M491" s="16" t="s">
        <v>95</v>
      </c>
      <c r="N491" s="14" t="s">
        <v>1972</v>
      </c>
      <c r="O491" s="17" t="s">
        <v>54</v>
      </c>
      <c r="P491" s="10" t="s">
        <v>1973</v>
      </c>
      <c r="Q491" s="17"/>
      <c r="R491" s="18" t="s">
        <v>95</v>
      </c>
      <c r="S491" s="19" t="s">
        <v>1972</v>
      </c>
      <c r="T491" s="15" t="str">
        <f aca="false">IF(R491="維持",J491,IF(R491="排除","無關新聞事件",IFERROR(INDEX(事件規則!$B$2:$B$53,MATCH(S491,事件規則!$A$2:$A$53,0)),"")))</f>
        <v>資安攻擊</v>
      </c>
      <c r="U491" s="20" t="n">
        <f aca="false">IF(R491="維持",K491,IF(R491="排除",0,IFERROR(INDEX(事件規則!$C$2:$C$53,MATCH(S491,事件規則!$A$2:$A$53,0)),"")))</f>
        <v>3</v>
      </c>
      <c r="V491" s="21"/>
      <c r="W491" s="22"/>
      <c r="X491" s="10" t="str">
        <f aca="false">IF(AND(R491="修改",S491=""),"請選新事件代碼",IF(AND(R491&lt;&gt;"修改",S491&lt;&gt;""),"只有「修改」才需填代碼",""))</f>
        <v/>
      </c>
      <c r="Y491" s="21"/>
      <c r="Z491" s="22"/>
      <c r="AA491" s="12" t="s">
        <v>1974</v>
      </c>
      <c r="AB491" s="12"/>
    </row>
    <row r="492" customFormat="false" ht="15" hidden="false" customHeight="false" outlineLevel="0" collapsed="false">
      <c r="A492" s="17" t="n">
        <v>491</v>
      </c>
      <c r="B492" s="9" t="s">
        <v>1961</v>
      </c>
      <c r="C492" s="9" t="s">
        <v>535</v>
      </c>
      <c r="D492" s="10" t="s">
        <v>979</v>
      </c>
      <c r="E492" s="11" t="s">
        <v>1975</v>
      </c>
      <c r="F492" s="15"/>
      <c r="G492" s="12" t="s">
        <v>800</v>
      </c>
      <c r="H492" s="13" t="n">
        <v>-0.164</v>
      </c>
      <c r="I492" s="14"/>
      <c r="J492" s="15"/>
      <c r="K492" s="9"/>
      <c r="L492" s="17" t="s">
        <v>1965</v>
      </c>
      <c r="M492" s="16" t="s">
        <v>95</v>
      </c>
      <c r="N492" s="14" t="s">
        <v>1966</v>
      </c>
      <c r="O492" s="17" t="s">
        <v>97</v>
      </c>
      <c r="P492" s="15" t="s">
        <v>1976</v>
      </c>
      <c r="Q492" s="17"/>
      <c r="R492" s="18" t="s">
        <v>95</v>
      </c>
      <c r="S492" s="19" t="s">
        <v>1966</v>
      </c>
      <c r="T492" s="15" t="str">
        <f aca="false">IF(R492="維持",J492,IF(R492="排除","無關新聞事件",IFERROR(INDEX(事件規則!$B$2:$B$53,MATCH(S492,事件規則!$A$2:$A$53,0)),"")))</f>
        <v>股價下跌</v>
      </c>
      <c r="U492" s="20" t="n">
        <f aca="false">IF(R492="維持",K492,IF(R492="排除",0,IFERROR(INDEX(事件規則!$C$2:$C$53,MATCH(S492,事件規則!$A$2:$A$53,0)),"")))</f>
        <v>1</v>
      </c>
      <c r="V492" s="21"/>
      <c r="W492" s="22"/>
      <c r="X492" s="10" t="str">
        <f aca="false">IF(AND(R492="修改",S492=""),"請選新事件代碼",IF(AND(R492&lt;&gt;"修改",S492&lt;&gt;""),"只有「修改」才需填代碼",""))</f>
        <v/>
      </c>
      <c r="Y492" s="21"/>
      <c r="Z492" s="22"/>
      <c r="AA492" s="12" t="s">
        <v>1977</v>
      </c>
      <c r="AB492" s="12"/>
    </row>
    <row r="493" customFormat="false" ht="15" hidden="false" customHeight="false" outlineLevel="0" collapsed="false">
      <c r="A493" s="17" t="n">
        <v>492</v>
      </c>
      <c r="B493" s="9" t="s">
        <v>1961</v>
      </c>
      <c r="C493" s="9" t="s">
        <v>1978</v>
      </c>
      <c r="D493" s="10" t="s">
        <v>1979</v>
      </c>
      <c r="E493" s="11" t="s">
        <v>1980</v>
      </c>
      <c r="F493" s="15"/>
      <c r="G493" s="12" t="s">
        <v>1981</v>
      </c>
      <c r="H493" s="13" t="n">
        <v>0.126</v>
      </c>
      <c r="I493" s="14"/>
      <c r="J493" s="15"/>
      <c r="K493" s="9"/>
      <c r="L493" s="17" t="s">
        <v>1965</v>
      </c>
      <c r="M493" s="16" t="s">
        <v>53</v>
      </c>
      <c r="N493" s="14"/>
      <c r="O493" s="17" t="s">
        <v>54</v>
      </c>
      <c r="P493" s="15" t="s">
        <v>1982</v>
      </c>
      <c r="Q493" s="17"/>
      <c r="R493" s="18" t="s">
        <v>53</v>
      </c>
      <c r="S493" s="19"/>
      <c r="T493" s="15" t="str">
        <f aca="false">IF(R493="維持",J493,IF(R493="排除","無關新聞事件",IFERROR(INDEX(事件規則!$B$2:$B$53,MATCH(S493,事件規則!$A$2:$A$53,0)),"")))</f>
        <v>無關新聞事件</v>
      </c>
      <c r="U493" s="20" t="n">
        <f aca="false">IF(R493="維持",K493,IF(R493="排除",0,IFERROR(INDEX(事件規則!$C$2:$C$53,MATCH(S493,事件規則!$A$2:$A$53,0)),"")))</f>
        <v>0</v>
      </c>
      <c r="V493" s="21"/>
      <c r="W493" s="22"/>
      <c r="X493" s="10" t="str">
        <f aca="false">IF(AND(R493="修改",S493=""),"請選新事件代碼",IF(AND(R493&lt;&gt;"修改",S493&lt;&gt;""),"只有「修改」才需填代碼",""))</f>
        <v/>
      </c>
      <c r="Y493" s="21"/>
      <c r="Z493" s="22"/>
      <c r="AA493" s="12" t="s">
        <v>1983</v>
      </c>
      <c r="AB493" s="12"/>
    </row>
    <row r="494" customFormat="false" ht="29.85" hidden="false" customHeight="false" outlineLevel="0" collapsed="false">
      <c r="A494" s="17" t="n">
        <v>493</v>
      </c>
      <c r="B494" s="9" t="s">
        <v>1984</v>
      </c>
      <c r="C494" s="9" t="s">
        <v>254</v>
      </c>
      <c r="D494" s="10" t="s">
        <v>1985</v>
      </c>
      <c r="E494" s="11" t="s">
        <v>1986</v>
      </c>
      <c r="F494" s="15"/>
      <c r="G494" s="12" t="s">
        <v>1987</v>
      </c>
      <c r="H494" s="13" t="n">
        <v>-0.959</v>
      </c>
      <c r="I494" s="14"/>
      <c r="J494" s="15"/>
      <c r="K494" s="9"/>
      <c r="L494" s="17" t="s">
        <v>1965</v>
      </c>
      <c r="M494" s="16" t="s">
        <v>53</v>
      </c>
      <c r="N494" s="14"/>
      <c r="O494" s="17" t="s">
        <v>97</v>
      </c>
      <c r="P494" s="15" t="s">
        <v>1988</v>
      </c>
      <c r="Q494" s="17"/>
      <c r="R494" s="18" t="s">
        <v>53</v>
      </c>
      <c r="S494" s="19"/>
      <c r="T494" s="15" t="str">
        <f aca="false">IF(R494="維持",J494,IF(R494="排除","無關新聞事件",IFERROR(INDEX(事件規則!$B$2:$B$53,MATCH(S494,事件規則!$A$2:$A$53,0)),"")))</f>
        <v>無關新聞事件</v>
      </c>
      <c r="U494" s="20" t="n">
        <f aca="false">IF(R494="維持",K494,IF(R494="排除",0,IFERROR(INDEX(事件規則!$C$2:$C$53,MATCH(S494,事件規則!$A$2:$A$53,0)),"")))</f>
        <v>0</v>
      </c>
      <c r="V494" s="21"/>
      <c r="W494" s="22"/>
      <c r="X494" s="10" t="str">
        <f aca="false">IF(AND(R494="修改",S494=""),"請選新事件代碼",IF(AND(R494&lt;&gt;"修改",S494&lt;&gt;""),"只有「修改」才需填代碼",""))</f>
        <v/>
      </c>
      <c r="Y494" s="21"/>
      <c r="Z494" s="22"/>
      <c r="AA494" s="12" t="s">
        <v>1989</v>
      </c>
      <c r="AB494" s="12"/>
    </row>
    <row r="495" customFormat="false" ht="29.85" hidden="false" customHeight="false" outlineLevel="0" collapsed="false">
      <c r="A495" s="17" t="n">
        <v>494</v>
      </c>
      <c r="B495" s="9" t="s">
        <v>1984</v>
      </c>
      <c r="C495" s="9" t="s">
        <v>254</v>
      </c>
      <c r="D495" s="10" t="s">
        <v>1985</v>
      </c>
      <c r="E495" s="11" t="s">
        <v>1990</v>
      </c>
      <c r="F495" s="15"/>
      <c r="G495" s="12" t="s">
        <v>1987</v>
      </c>
      <c r="H495" s="13" t="n">
        <v>-0.954</v>
      </c>
      <c r="I495" s="14"/>
      <c r="J495" s="15"/>
      <c r="K495" s="9"/>
      <c r="L495" s="17" t="s">
        <v>1965</v>
      </c>
      <c r="M495" s="16" t="s">
        <v>53</v>
      </c>
      <c r="N495" s="14"/>
      <c r="O495" s="17" t="s">
        <v>97</v>
      </c>
      <c r="P495" s="15" t="s">
        <v>1988</v>
      </c>
      <c r="Q495" s="17"/>
      <c r="R495" s="18" t="s">
        <v>53</v>
      </c>
      <c r="S495" s="19"/>
      <c r="T495" s="15" t="str">
        <f aca="false">IF(R495="維持",J495,IF(R495="排除","無關新聞事件",IFERROR(INDEX(事件規則!$B$2:$B$53,MATCH(S495,事件規則!$A$2:$A$53,0)),"")))</f>
        <v>無關新聞事件</v>
      </c>
      <c r="U495" s="20" t="n">
        <f aca="false">IF(R495="維持",K495,IF(R495="排除",0,IFERROR(INDEX(事件規則!$C$2:$C$53,MATCH(S495,事件規則!$A$2:$A$53,0)),"")))</f>
        <v>0</v>
      </c>
      <c r="V495" s="21"/>
      <c r="W495" s="22"/>
      <c r="X495" s="10" t="str">
        <f aca="false">IF(AND(R495="修改",S495=""),"請選新事件代碼",IF(AND(R495&lt;&gt;"修改",S495&lt;&gt;""),"只有「修改」才需填代碼",""))</f>
        <v/>
      </c>
      <c r="Y495" s="21"/>
      <c r="Z495" s="22"/>
      <c r="AA495" s="12" t="s">
        <v>1991</v>
      </c>
      <c r="AB495" s="12"/>
    </row>
    <row r="496" customFormat="false" ht="29.85" hidden="false" customHeight="false" outlineLevel="0" collapsed="false">
      <c r="A496" s="17" t="n">
        <v>495</v>
      </c>
      <c r="B496" s="9" t="s">
        <v>1984</v>
      </c>
      <c r="C496" s="9" t="s">
        <v>254</v>
      </c>
      <c r="D496" s="10" t="s">
        <v>1985</v>
      </c>
      <c r="E496" s="11" t="s">
        <v>1992</v>
      </c>
      <c r="F496" s="15"/>
      <c r="G496" s="12" t="s">
        <v>1993</v>
      </c>
      <c r="H496" s="13" t="n">
        <v>-0.953</v>
      </c>
      <c r="I496" s="14"/>
      <c r="J496" s="15"/>
      <c r="K496" s="9"/>
      <c r="L496" s="17" t="s">
        <v>1965</v>
      </c>
      <c r="M496" s="16" t="s">
        <v>53</v>
      </c>
      <c r="N496" s="14"/>
      <c r="O496" s="17" t="s">
        <v>97</v>
      </c>
      <c r="P496" s="15" t="s">
        <v>1988</v>
      </c>
      <c r="Q496" s="17"/>
      <c r="R496" s="18" t="s">
        <v>53</v>
      </c>
      <c r="S496" s="19"/>
      <c r="T496" s="15" t="str">
        <f aca="false">IF(R496="維持",J496,IF(R496="排除","無關新聞事件",IFERROR(INDEX(事件規則!$B$2:$B$53,MATCH(S496,事件規則!$A$2:$A$53,0)),"")))</f>
        <v>無關新聞事件</v>
      </c>
      <c r="U496" s="20" t="n">
        <f aca="false">IF(R496="維持",K496,IF(R496="排除",0,IFERROR(INDEX(事件規則!$C$2:$C$53,MATCH(S496,事件規則!$A$2:$A$53,0)),"")))</f>
        <v>0</v>
      </c>
      <c r="V496" s="21"/>
      <c r="W496" s="22"/>
      <c r="X496" s="10" t="str">
        <f aca="false">IF(AND(R496="修改",S496=""),"請選新事件代碼",IF(AND(R496&lt;&gt;"修改",S496&lt;&gt;""),"只有「修改」才需填代碼",""))</f>
        <v/>
      </c>
      <c r="Y496" s="21"/>
      <c r="Z496" s="22"/>
      <c r="AA496" s="12" t="s">
        <v>1994</v>
      </c>
      <c r="AB496" s="12"/>
    </row>
    <row r="497" customFormat="false" ht="29.85" hidden="false" customHeight="false" outlineLevel="0" collapsed="false">
      <c r="A497" s="17" t="n">
        <v>496</v>
      </c>
      <c r="B497" s="9" t="s">
        <v>1984</v>
      </c>
      <c r="C497" s="9" t="s">
        <v>150</v>
      </c>
      <c r="D497" s="10" t="s">
        <v>151</v>
      </c>
      <c r="E497" s="11" t="s">
        <v>1995</v>
      </c>
      <c r="F497" s="15"/>
      <c r="G497" s="12" t="s">
        <v>1996</v>
      </c>
      <c r="H497" s="13" t="n">
        <v>-0.946</v>
      </c>
      <c r="I497" s="14"/>
      <c r="J497" s="15"/>
      <c r="K497" s="9"/>
      <c r="L497" s="17" t="s">
        <v>1965</v>
      </c>
      <c r="M497" s="16" t="s">
        <v>53</v>
      </c>
      <c r="N497" s="14"/>
      <c r="O497" s="17" t="s">
        <v>54</v>
      </c>
      <c r="P497" s="15" t="s">
        <v>1997</v>
      </c>
      <c r="Q497" s="17"/>
      <c r="R497" s="18" t="s">
        <v>53</v>
      </c>
      <c r="S497" s="19"/>
      <c r="T497" s="15" t="str">
        <f aca="false">IF(R497="維持",J497,IF(R497="排除","無關新聞事件",IFERROR(INDEX(事件規則!$B$2:$B$53,MATCH(S497,事件規則!$A$2:$A$53,0)),"")))</f>
        <v>無關新聞事件</v>
      </c>
      <c r="U497" s="20" t="n">
        <f aca="false">IF(R497="維持",K497,IF(R497="排除",0,IFERROR(INDEX(事件規則!$C$2:$C$53,MATCH(S497,事件規則!$A$2:$A$53,0)),"")))</f>
        <v>0</v>
      </c>
      <c r="V497" s="21"/>
      <c r="W497" s="22"/>
      <c r="X497" s="10" t="str">
        <f aca="false">IF(AND(R497="修改",S497=""),"請選新事件代碼",IF(AND(R497&lt;&gt;"修改",S497&lt;&gt;""),"只有「修改」才需填代碼",""))</f>
        <v/>
      </c>
      <c r="Y497" s="21"/>
      <c r="Z497" s="22"/>
      <c r="AA497" s="12" t="s">
        <v>1998</v>
      </c>
      <c r="AB497" s="12"/>
    </row>
    <row r="498" customFormat="false" ht="29.85" hidden="false" customHeight="false" outlineLevel="0" collapsed="false">
      <c r="A498" s="17" t="n">
        <v>497</v>
      </c>
      <c r="B498" s="9" t="s">
        <v>1984</v>
      </c>
      <c r="C498" s="9" t="s">
        <v>1170</v>
      </c>
      <c r="D498" s="10" t="s">
        <v>1999</v>
      </c>
      <c r="E498" s="11" t="s">
        <v>2000</v>
      </c>
      <c r="F498" s="15"/>
      <c r="G498" s="12" t="s">
        <v>2001</v>
      </c>
      <c r="H498" s="13" t="n">
        <v>-0.161</v>
      </c>
      <c r="I498" s="14"/>
      <c r="J498" s="15"/>
      <c r="K498" s="9"/>
      <c r="L498" s="17" t="s">
        <v>1965</v>
      </c>
      <c r="M498" s="16" t="s">
        <v>53</v>
      </c>
      <c r="N498" s="14"/>
      <c r="O498" s="17" t="s">
        <v>292</v>
      </c>
      <c r="P498" s="15" t="s">
        <v>2002</v>
      </c>
      <c r="Q498" s="17" t="s">
        <v>169</v>
      </c>
      <c r="R498" s="18" t="s">
        <v>53</v>
      </c>
      <c r="S498" s="19"/>
      <c r="T498" s="15" t="str">
        <f aca="false">IF(R498="維持",J498,IF(R498="排除","無關新聞事件",IFERROR(INDEX(事件規則!$B$2:$B$53,MATCH(S498,事件規則!$A$2:$A$53,0)),"")))</f>
        <v>無關新聞事件</v>
      </c>
      <c r="U498" s="20" t="n">
        <f aca="false">IF(R498="維持",K498,IF(R498="排除",0,IFERROR(INDEX(事件規則!$C$2:$C$53,MATCH(S498,事件規則!$A$2:$A$53,0)),"")))</f>
        <v>0</v>
      </c>
      <c r="V498" s="21"/>
      <c r="W498" s="22"/>
      <c r="X498" s="10" t="str">
        <f aca="false">IF(AND(R498="修改",S498=""),"請選新事件代碼",IF(AND(R498&lt;&gt;"修改",S498&lt;&gt;""),"只有「修改」才需填代碼",""))</f>
        <v/>
      </c>
      <c r="Y498" s="21"/>
      <c r="Z498" s="22"/>
      <c r="AA498" s="12" t="s">
        <v>2003</v>
      </c>
      <c r="AB498" s="12"/>
    </row>
    <row r="499" customFormat="false" ht="29.85" hidden="false" customHeight="false" outlineLevel="0" collapsed="false">
      <c r="A499" s="17" t="n">
        <v>498</v>
      </c>
      <c r="B499" s="9" t="s">
        <v>1984</v>
      </c>
      <c r="C499" s="9" t="s">
        <v>113</v>
      </c>
      <c r="D499" s="10" t="s">
        <v>2004</v>
      </c>
      <c r="E499" s="11" t="s">
        <v>2005</v>
      </c>
      <c r="F499" s="15"/>
      <c r="G499" s="12" t="s">
        <v>1121</v>
      </c>
      <c r="H499" s="13" t="n">
        <v>0.001</v>
      </c>
      <c r="I499" s="14"/>
      <c r="J499" s="15"/>
      <c r="K499" s="9"/>
      <c r="L499" s="17" t="s">
        <v>1965</v>
      </c>
      <c r="M499" s="16" t="s">
        <v>95</v>
      </c>
      <c r="N499" s="14" t="s">
        <v>960</v>
      </c>
      <c r="O499" s="17" t="s">
        <v>54</v>
      </c>
      <c r="P499" s="15" t="s">
        <v>2006</v>
      </c>
      <c r="Q499" s="17"/>
      <c r="R499" s="18" t="s">
        <v>95</v>
      </c>
      <c r="S499" s="19" t="s">
        <v>960</v>
      </c>
      <c r="T499" s="15" t="str">
        <f aca="false">IF(R499="維持",J499,IF(R499="排除","無關新聞事件",IFERROR(INDEX(事件規則!$B$2:$B$53,MATCH(S499,事件規則!$A$2:$A$53,0)),"")))</f>
        <v>監管調查</v>
      </c>
      <c r="U499" s="20" t="n">
        <f aca="false">IF(R499="維持",K499,IF(R499="排除",0,IFERROR(INDEX(事件規則!$C$2:$C$53,MATCH(S499,事件規則!$A$2:$A$53,0)),"")))</f>
        <v>4</v>
      </c>
      <c r="V499" s="21"/>
      <c r="W499" s="22"/>
      <c r="X499" s="10" t="str">
        <f aca="false">IF(AND(R499="修改",S499=""),"請選新事件代碼",IF(AND(R499&lt;&gt;"修改",S499&lt;&gt;""),"只有「修改」才需填代碼",""))</f>
        <v/>
      </c>
      <c r="Y499" s="21"/>
      <c r="Z499" s="22"/>
      <c r="AA499" s="12" t="s">
        <v>2007</v>
      </c>
      <c r="AB499" s="12"/>
    </row>
    <row r="500" customFormat="false" ht="29.85" hidden="false" customHeight="false" outlineLevel="0" collapsed="false">
      <c r="A500" s="17" t="n">
        <v>499</v>
      </c>
      <c r="B500" s="9" t="s">
        <v>1984</v>
      </c>
      <c r="C500" s="9" t="s">
        <v>2008</v>
      </c>
      <c r="D500" s="10" t="s">
        <v>2009</v>
      </c>
      <c r="E500" s="11" t="s">
        <v>2005</v>
      </c>
      <c r="F500" s="15"/>
      <c r="G500" s="12" t="s">
        <v>1121</v>
      </c>
      <c r="H500" s="13" t="n">
        <v>0.001</v>
      </c>
      <c r="I500" s="14"/>
      <c r="J500" s="15"/>
      <c r="K500" s="9"/>
      <c r="L500" s="17" t="s">
        <v>1965</v>
      </c>
      <c r="M500" s="16" t="s">
        <v>95</v>
      </c>
      <c r="N500" s="14" t="s">
        <v>960</v>
      </c>
      <c r="O500" s="17" t="s">
        <v>54</v>
      </c>
      <c r="P500" s="15" t="s">
        <v>2006</v>
      </c>
      <c r="Q500" s="17"/>
      <c r="R500" s="18" t="s">
        <v>95</v>
      </c>
      <c r="S500" s="19" t="s">
        <v>960</v>
      </c>
      <c r="T500" s="15" t="str">
        <f aca="false">IF(R500="維持",J500,IF(R500="排除","無關新聞事件",IFERROR(INDEX(事件規則!$B$2:$B$53,MATCH(S500,事件規則!$A$2:$A$53,0)),"")))</f>
        <v>監管調查</v>
      </c>
      <c r="U500" s="20" t="n">
        <f aca="false">IF(R500="維持",K500,IF(R500="排除",0,IFERROR(INDEX(事件規則!$C$2:$C$53,MATCH(S500,事件規則!$A$2:$A$53,0)),"")))</f>
        <v>4</v>
      </c>
      <c r="V500" s="21"/>
      <c r="W500" s="22"/>
      <c r="X500" s="10" t="str">
        <f aca="false">IF(AND(R500="修改",S500=""),"請選新事件代碼",IF(AND(R500&lt;&gt;"修改",S500&lt;&gt;""),"只有「修改」才需填代碼",""))</f>
        <v/>
      </c>
      <c r="Y500" s="21"/>
      <c r="Z500" s="22"/>
      <c r="AA500" s="12" t="s">
        <v>2010</v>
      </c>
      <c r="AB500" s="12"/>
    </row>
    <row r="501" customFormat="false" ht="15" hidden="false" customHeight="false" outlineLevel="0" collapsed="false">
      <c r="A501" s="17" t="n">
        <v>500</v>
      </c>
      <c r="B501" s="9" t="s">
        <v>1984</v>
      </c>
      <c r="C501" s="9" t="s">
        <v>2011</v>
      </c>
      <c r="D501" s="10" t="s">
        <v>2012</v>
      </c>
      <c r="E501" s="23" t="s">
        <v>2013</v>
      </c>
      <c r="F501" s="15" t="s">
        <v>2014</v>
      </c>
      <c r="G501" s="12" t="s">
        <v>319</v>
      </c>
      <c r="H501" s="13" t="n">
        <v>-0.081</v>
      </c>
      <c r="I501" s="14"/>
      <c r="J501" s="15"/>
      <c r="K501" s="9"/>
      <c r="L501" s="17" t="s">
        <v>1965</v>
      </c>
      <c r="M501" s="16" t="s">
        <v>53</v>
      </c>
      <c r="N501" s="14"/>
      <c r="O501" s="17" t="s">
        <v>54</v>
      </c>
      <c r="P501" s="15" t="s">
        <v>1982</v>
      </c>
      <c r="Q501" s="17"/>
      <c r="R501" s="18" t="s">
        <v>53</v>
      </c>
      <c r="S501" s="19"/>
      <c r="T501" s="15" t="str">
        <f aca="false">IF(R501="維持",J501,IF(R501="排除","無關新聞事件",IFERROR(INDEX(事件規則!$B$2:$B$53,MATCH(S501,事件規則!$A$2:$A$53,0)),"")))</f>
        <v>無關新聞事件</v>
      </c>
      <c r="U501" s="20" t="n">
        <f aca="false">IF(R501="維持",K501,IF(R501="排除",0,IFERROR(INDEX(事件規則!$C$2:$C$53,MATCH(S501,事件規則!$A$2:$A$53,0)),"")))</f>
        <v>0</v>
      </c>
      <c r="V501" s="21"/>
      <c r="W501" s="22"/>
      <c r="X501" s="10" t="str">
        <f aca="false">IF(AND(R501="修改",S501=""),"請選新事件代碼",IF(AND(R501&lt;&gt;"修改",S501&lt;&gt;""),"只有「修改」才需填代碼",""))</f>
        <v/>
      </c>
      <c r="Y501" s="21"/>
      <c r="Z501" s="22"/>
      <c r="AA501" s="12" t="s">
        <v>2015</v>
      </c>
      <c r="AB501" s="12"/>
    </row>
  </sheetData>
  <autoFilter ref="A1:AB501"/>
  <conditionalFormatting sqref="K2:K501">
    <cfRule type="expression" priority="2" aboveAverage="0" equalAverage="0" bottom="0" percent="0" rank="0" text="" dxfId="13">
      <formula>AND(ISNUMBER(K2),K2=5)</formula>
    </cfRule>
    <cfRule type="expression" priority="3" aboveAverage="0" equalAverage="0" bottom="0" percent="0" rank="0" text="" dxfId="14">
      <formula>AND(ISNUMBER(K2),K2=4)</formula>
    </cfRule>
    <cfRule type="expression" priority="4" aboveAverage="0" equalAverage="0" bottom="0" percent="0" rank="0" text="" dxfId="15">
      <formula>AND(ISNUMBER(K2),K2=3)</formula>
    </cfRule>
    <cfRule type="expression" priority="5" aboveAverage="0" equalAverage="0" bottom="0" percent="0" rank="0" text="" dxfId="16">
      <formula>AND(ISNUMBER(K2),K2=2)</formula>
    </cfRule>
    <cfRule type="expression" priority="6" aboveAverage="0" equalAverage="0" bottom="0" percent="0" rank="0" text="" dxfId="17">
      <formula>AND(ISNUMBER(K2),K2=1)</formula>
    </cfRule>
    <cfRule type="expression" priority="7" aboveAverage="0" equalAverage="0" bottom="0" percent="0" rank="0" text="" dxfId="18">
      <formula>AND(ISNUMBER(K2),K2=0)</formula>
    </cfRule>
  </conditionalFormatting>
  <conditionalFormatting sqref="U2:U501">
    <cfRule type="expression" priority="8" aboveAverage="0" equalAverage="0" bottom="0" percent="0" rank="0" text="" dxfId="13">
      <formula>AND(ISNUMBER(U2),U2=5)</formula>
    </cfRule>
    <cfRule type="expression" priority="9" aboveAverage="0" equalAverage="0" bottom="0" percent="0" rank="0" text="" dxfId="14">
      <formula>AND(ISNUMBER(U2),U2=4)</formula>
    </cfRule>
    <cfRule type="expression" priority="10" aboveAverage="0" equalAverage="0" bottom="0" percent="0" rank="0" text="" dxfId="15">
      <formula>AND(ISNUMBER(U2),U2=3)</formula>
    </cfRule>
    <cfRule type="expression" priority="11" aboveAverage="0" equalAverage="0" bottom="0" percent="0" rank="0" text="" dxfId="16">
      <formula>AND(ISNUMBER(U2),U2=2)</formula>
    </cfRule>
    <cfRule type="expression" priority="12" aboveAverage="0" equalAverage="0" bottom="0" percent="0" rank="0" text="" dxfId="17">
      <formula>AND(ISNUMBER(U2),U2=1)</formula>
    </cfRule>
    <cfRule type="expression" priority="13" aboveAverage="0" equalAverage="0" bottom="0" percent="0" rank="0" text="" dxfId="18">
      <formula>AND(ISNUMBER(U2),U2=0)</formula>
    </cfRule>
  </conditionalFormatting>
  <conditionalFormatting sqref="X2:X501">
    <cfRule type="expression" priority="14" aboveAverage="0" equalAverage="0" bottom="0" percent="0" rank="0" text="" dxfId="19">
      <formula>X2&lt;&gt;""</formula>
    </cfRule>
  </conditionalFormatting>
  <conditionalFormatting sqref="O2:O501">
    <cfRule type="expression" priority="15" aboveAverage="0" equalAverage="0" bottom="0" percent="0" rank="0" text="" dxfId="19">
      <formula>O2="低"</formula>
    </cfRule>
  </conditionalFormatting>
  <conditionalFormatting sqref="Q2:Q501">
    <cfRule type="expression" priority="16" aboveAverage="0" equalAverage="0" bottom="0" percent="0" rank="0" text="" dxfId="19">
      <formula>Q2="是"</formula>
    </cfRule>
  </conditionalFormatting>
  <dataValidations count="2">
    <dataValidation allowBlank="false" error="只能選：維持、修改、排除" errorStyle="stop" errorTitle="請選擇" operator="between" showDropDown="false" showErrorMessage="true" showInputMessage="false" sqref="R2:R501" type="list">
      <formula1>"維持,修改,排除"</formula1>
      <formula2>0</formula2>
    </dataValidation>
    <dataValidation allowBlank="true" error="只能選規則表內的事件代碼" errorStyle="stop" errorTitle="事件代碼" operator="between" showDropDown="false" showErrorMessage="true" showInputMessage="false" sqref="S2:S501" type="list">
      <formula1>事件規則!$A$2:$A$53</formula1>
      <formula2>0</formula2>
    </dataValidation>
  </dataValidations>
  <hyperlinks>
    <hyperlink ref="E2" r:id="rId1" display="PTC, Lilly scoop up Sangamo gene therapies in bankruptcy auction"/>
    <hyperlink ref="E3" r:id="rId2" display="PTC Therapeutics’ $211M Bid Wins Bankruptcy Auction for Sangamo Gene Therapy"/>
    <hyperlink ref="E4" r:id="rId3" display="PTC Therapeutics, Lilly to buy up bits of Sangamo in bankruptcy auction"/>
    <hyperlink ref="E5" r:id="rId4" display="PTC Therapeutics Targets Fabry Gene Therapy in $111M Bankruptcy Auction Deal"/>
    <hyperlink ref="E6" r:id="rId5" display="Major ice cream brand sold at Walmart, Kroger, and Target files for bankruptcy"/>
    <hyperlink ref="E7" r:id="rId6" display="Popular ice cream brand sold at Walmart and Target files for bankruptcy"/>
    <hyperlink ref="E8" r:id="rId7" display="Ice cream brand sold at Kroger, Walmart and Target files for bankruptcy"/>
    <hyperlink ref="E9" r:id="rId8" display="Coinbase Must Face Investor Suit Over SEC, Bankruptcy Risks"/>
    <hyperlink ref="E10" r:id="rId9" display="US Bankruptcy: Hughes Satellite Systems judge to order examiner appointment to investigate dealings with parent EchoStar; scope of probe subject to further hearing"/>
    <hyperlink ref="E11" r:id="rId10" display="Judge Pérez orders examiner in Hughes Satellite Systems bankruptcy to probe $1.5bn of EchoStar transfers"/>
    <hyperlink ref="E12" r:id="rId11" display="$949 million fraud verdict costs CVS a business in Chapter 11"/>
    <hyperlink ref="E13" r:id="rId12" display="Starbucks/Chipotle merge rumors, True Food’s bankruptcy, and Uber’s big acquisition"/>
    <hyperlink ref="E14" r:id="rId13" display="Fantasy Football ADP : Exploiting Default Rankings for 2026"/>
    <hyperlink ref="E15" r:id="rId14" display="Goldman Sachs' Reynolds: Private credit industry 'remains very healthy' amid uptick in defaults"/>
    <hyperlink ref="E16" r:id="rId15" display="PSA: Setting different default languages in different Mac apps"/>
    <hyperlink ref="E17" r:id="rId16" display="Amazon will train on Twitch streamers’ content by default, unless they opt out"/>
    <hyperlink ref="E18" r:id="rId17" display="PSA: Claude Code now enables auto mode as default, Anthropic says"/>
    <hyperlink ref="E19" r:id="rId18" display="Fantasy Football ADP: Exploiting Default Rankings for 2026"/>
    <hyperlink ref="E20" r:id="rId19" display="Exclusive | Electronic Arts Bondholders Allege Default Following Largest LBO"/>
    <hyperlink ref="E21" r:id="rId20" display="Daniil Medvedev defaulted from China Open after striking spectator with ball - The Athletic"/>
    <hyperlink ref="E22" r:id="rId21" display="Private Equity Daily: Electronic Arts Bondholders Allege Default on LBO Debt"/>
    <hyperlink ref="E23" r:id="rId22" display="Can AWS Transform Make NetApp (NTAP) the Default Storage Landing Zone in the Cloud?"/>
    <hyperlink ref="E24" r:id="rId23" display="Veeva Systems (VEEV) Becomes Default Clinical Software Across A Major Research Partner"/>
    <hyperlink ref="E25" r:id="rId24" display="CoreWeave Credit Risk Hits Record, Pricing 60% Odds of Default"/>
    <hyperlink ref="E26" r:id="rId25" display="CoreWeave credit default swaps hit distress levels as investors sour on AI debt"/>
    <hyperlink ref="E27" r:id="rId26" display="MicroStrategy sends harsh response to fresh MSCI delisting threat"/>
    <hyperlink ref="E28" r:id="rId27" display="Upbit Delisting Puts JASMY, STORJ and TT Under Pressure"/>
    <hyperlink ref="E29" r:id="rId28" display="MicroStrategy sends harsh response to fresh MSCI delisting threat"/>
    <hyperlink ref="E30" r:id="rId29" display="Michael Saylor’s Strategy Calls MSCI’s New Delisting Test ‘Fundamentally Flawed,’ Says It’s Damaging ‘Its Reputation’"/>
    <hyperlink ref="E31" r:id="rId30" display="AbbVie Finalizes $10.9 Billion Acquisition of Apogee Therapeutics, Initiates Nasdaq Delisting"/>
    <hyperlink ref="E32" r:id="rId31" display="OMI Urges Appeals Court to Allow Antitrust Challenge to Amgen’s Extension of Enbrel Monopoly"/>
    <hyperlink ref="E33" r:id="rId32" display="Parties Lay Out Key Discovery And Other Dates For Pending Paramount-WBD Antitrust Trial"/>
    <hyperlink ref="E34" r:id="rId33" display="CPI | Glenmark to Pay $15.3 Million to Settle Humana Antitrust Claims"/>
    <hyperlink ref="E35" r:id="rId34" display="Corteva To Pay $3.1M In Ark. AG's Pesticides Antitrust Suit"/>
    <hyperlink ref="E36" r:id="rId35" display="Nadler, Frost Demand Antitrust Investigation Into Sysco’s $29.1 Billion Acquisition of Restaurant Depot Over Threats of Higher Costs for Restaurants"/>
    <hyperlink ref="E37" r:id="rId36" display="Amazon, Walmart Face Data Requests in DOJ Beef Antitrust Probe"/>
    <hyperlink ref="E38" r:id="rId37" display="CPI | Nigeria Antitrust Regulator Probes Uber’s Abrupt Exit"/>
    <hyperlink ref="E39" r:id="rId38" display="Nigeria’s Antitrust Agency Probes Uber’s Exit From Country"/>
    <hyperlink ref="E40" r:id="rId39" display="Nigeria Antitrust Watchdog Probes Uber's Sudden Exit"/>
    <hyperlink ref="E41" r:id="rId40" display="Texas Instruments/Silicon Labs: Deal Said To Be Slated for Phase 2 Review by China’s Antitrust Enforcer"/>
    <hyperlink ref="E42" r:id="rId41" display="Paramount ‘Deadly Serious’ About Leaving California as $110B Warner Bros. Discovery Deal Faces Antitrust Fight"/>
    <hyperlink ref="E43" r:id="rId42" display="Inside the market where Kroger and Giant Eagle will likely be under the antitrust microscope"/>
    <hyperlink ref="E44" r:id="rId43" display="Paramount in talks to settle antitrust lawsuit blocking WBD deal"/>
    <hyperlink ref="E45" r:id="rId44" display="DOJ weighs joining state antitrust suit against BlackRock and State Street -report"/>
    <hyperlink ref="E46" r:id="rId45" display="DOJ Weighs Joining Texas BlackRock, State Street Antitrust Case"/>
    <hyperlink ref="E47" r:id="rId46" display="Kroger (KR) Draws Tougher Antitrust Review For Its Planned Grocery Deal"/>
    <hyperlink ref="E48" r:id="rId47" display="WGA Settles Antitrust Lawsuit With Paramount Over Warner Bros. Discovery Merger"/>
    <hyperlink ref="E49" r:id="rId48" display="Done! Paramount Settles Antitrust Suit, Set To Seal Deal For Warner Bros. Discovery"/>
    <hyperlink ref="E50" r:id="rId49" display="據消息人士稱，芬蘭通力公司正準備出售TK Elevator的歐洲業務，以應對反壟斷方面的擔憂"/>
    <hyperlink ref="E51" r:id="rId50" display="Copart Clears U.S. Antitrust Waiting Period for $10.50-Per-Share Acquisition of ACV Auctions"/>
    <hyperlink ref="E52" r:id="rId51" display="Copart Says Antitrust Waiting Period for ACV Auctions Acquisition Has Expired"/>
    <hyperlink ref="E53" r:id="rId52" display="Copart’s ACV acquisition clears antitrust waiting period before tender deadline"/>
    <hyperlink ref="E54" r:id="rId53" display="Copart Rises as ACV Deal Clears Key Antitrust Hurdle"/>
    <hyperlink ref="E55" r:id="rId54" display="Knoxville officer who flirted with chief over text has history of misconduct at KPD"/>
    <hyperlink ref="E56" r:id="rId55" display="NYC Says Action Over Cop Misconduct Was Filed Too Late"/>
    <hyperlink ref="E57" r:id="rId56" display="Bristol private hire driver stripped of licence after Uber sexual misconduct reports"/>
    <hyperlink ref="E58" r:id="rId57" display="L3Harris fires Kubasik for repeating the misconduct that cost him Lockheed Martin"/>
    <hyperlink ref="E59" r:id="rId58" display="Elon Musk won't face election bribery charges in Wisconsin, state prosecutor says - ABC News"/>
    <hyperlink ref="E60" r:id="rId59" display="SEC charges former Bank of America investment banker with insider trading"/>
    <hyperlink ref="E61" r:id="rId60" display="What Do SEC Insider Trading Charges Mean For Bank Of America (BAC)?"/>
    <hyperlink ref="E62" r:id="rId61" display="SEC charges Bank of America executive with insider trading"/>
    <hyperlink ref="E63" r:id="rId62" display="JABIL Q4 2026 Earnings Preview: Recent $JBL Insider Trading, Hedge Fund Activity, and More"/>
    <hyperlink ref="E64" r:id="rId63" display="Intuit Inc. (NASDAQ: INTU) Investors: September 8, 2026, Deadline in Securities Fraud Class Action Lawsuit - Contact Kessler Topaz Meltzer &amp; Check, LLP"/>
    <hyperlink ref="E65" r:id="rId64" display="2026-08-09 | INTU SHAREHOLDER ALERT: Bronstein, Gewirtz and Grossman, LLC Announces that Intuit Inc. Shareholders Have Opportunity to Lead Class Action Lawsuit! | NDAQ:INTU | Press Release"/>
    <hyperlink ref="E66" r:id="rId65" display="FLSR Stock - The Deadline to Move for Lead Plaintiff is August 24, 2026 - First Solar, Inc. Stockholders Should Contact Robbins LLP for Information About Leading the Class Action"/>
    <hyperlink ref="E67" r:id="rId66" display="PNR INVESTOR DEADLINE: Pentair plc Investors with Substantial Losses Have Opportunity to Lead Shareholder Class Action Lawsuit"/>
    <hyperlink ref="E68" r:id="rId67" display="Regeneron Pharmaceuticals, Inc. Investors with Substantial Losses Have Opportunity to Lead Regeneron Class Action Lawsuit - Hagens Berman Sobol Shapiro LLP"/>
    <hyperlink ref="E69" r:id="rId68" display="Intuit Class Action Follows 20% Stock Plunge"/>
    <hyperlink ref="E70" r:id="rId69" display="Golda ice cream chain faces huge class action lawsuit, accused of falsely labeling flavors 'sugar-free'"/>
    <hyperlink ref="E71" r:id="rId70" display="Bronstein, Gewirtz &amp; Grossman LLC Urges Regeneron Pharmaceuticals, Inc. Investors to Act: Class Action Filed Alleging Investor Harm"/>
    <hyperlink ref="E72" r:id="rId71" display="REGN INVESTOR ALERT: Bronstein, Gewirtz and Grossman, LLC Announces that Regeneron Pharmaceuticals, Inc. Stockholders with Losses Have Opportunity to Lead Class Action Lawsuit!"/>
    <hyperlink ref="E73" r:id="rId72" display="美國上訴法院駁回Meta等科技公司上訴，社媒成癮訴訟繼續推進"/>
    <hyperlink ref="E74" r:id="rId73" display="Würzburger Kickers - Schöne Momente Der Saison 2016/2017 Capital One Class Action Lawsuit (U0tmfL1BBM)"/>
    <hyperlink ref="E75" r:id="rId74" display="Costco Can't Shake Wash. Workers' Moonlighting Class Action"/>
    <hyperlink ref="E76" r:id="rId75" display="GoDaddy shareholders may join a class action ov..."/>
    <hyperlink ref="E77" r:id="rId76" display="Rosen Law Firm Encourages GoDaddy Inc. Investors to Inquire About Securities Class Action Investigation - GDDY"/>
    <hyperlink ref="E78" r:id="rId77" display="Portnoy Law Firm Announces Class Action on Behalf of Pentair plc Investors"/>
    <hyperlink ref="E79" r:id="rId78" display="Attorney General Bonta Celebrates Yet Another Court Order Denying Meta’s Attempt to Evade Responsibility, Get Out of Trial - State of California"/>
    <hyperlink ref="E80" r:id="rId79" display="APPROACHING DEADLINE ALERT: Intuit Inc. (INTU) Securities Fraud Class Action Lawsuit Filed; September 8, 2026, Lead Plaintiff Deadline"/>
    <hyperlink ref="E81" r:id="rId80" display="Aaron Judge Gives Update On Recovery From Wall Crash Injury Capital One Class Action Lawsuit (SsaJkcS6Nu)"/>
    <hyperlink ref="E82" r:id="rId81" display="Todd Blanche Sworn In—These Key Trump Loyalty Tests Await New Attorney General"/>
    <hyperlink ref="E83" r:id="rId82" display="CVS class action claims toddler wipes falsely labeled as hypoallergenic"/>
    <hyperlink ref="E84" r:id="rId83" display="Bronstein, Gewirtz &amp; Grossman LLC Urges Pentair plc Investors to Act: Class Action Filed Alleging Investor Harm"/>
    <hyperlink ref="E85" r:id="rId84" display="Bronstein, Gewirtz &amp; Grossman LLC Urges First Solar, Inc. Investors to Act: Class Action Filed Alleging Investor Harm"/>
    <hyperlink ref="E86" r:id="rId85" display="REGN DEADLINE: Levi &amp; Korsinsky Reminds Regeneron Pharmaceuticals, Inc. Investors of Upcoming Securities Class Action Deadline"/>
    <hyperlink ref="E87" r:id="rId86" display="INTU Investor Alert: Intuit Inc. Securities Class Action Notice - Contact Levi &amp; Korsinsky"/>
    <hyperlink ref="E88" r:id="rId87" display="Verizon retailer Victra faces two class action lawsuits over data breach"/>
    <hyperlink ref="E89" r:id="rId88" display="INVESTOR ALERT: Pomerantz Law Firm Reminds Investors with Losses on their Investment in Regeneron Pharmaceuticals, Inc. of Class Action Lawsuit and Upcoming Deadlines - REGN"/>
    <hyperlink ref="E90" r:id="rId89" display="Kroger class action alleges ‘No Preservatives’ labels are false"/>
    <hyperlink ref="E91" r:id="rId90" display="派拉蒙考慮出售CNN以解決12州反壟斷訴訟"/>
    <hyperlink ref="E92" r:id="rId91" display="Regeneron Pharmaceuticals, Inc. Investors with Substantial Losses Have Opportunity to Lead Regeneron Class Action Lawsuit - Hagens Berman Sobol Shapiro LLP"/>
    <hyperlink ref="E93" r:id="rId92" display="REGN Stockholders May Be Entitled to Lead the Class Action"/>
    <hyperlink ref="E94" r:id="rId93" display="Federal judge certifies class action in Delta Air Lines pilots’ military pay lawsuit"/>
    <hyperlink ref="E95" r:id="rId94" display="Capital One class action alleges late-night debt collection calls violated Florida law"/>
    <hyperlink ref="E96" r:id="rId95" display="The Gross Law Firm Reminds Regeneron Pharmaceuticals, Inc. Investors of the Pending Class Action Lawsuit With a Lead Plaintiff Deadline of September 14, 2026 - REGN"/>
    <hyperlink ref="E97" r:id="rId96" display="Pentair plc (NYSE: PNR) Investors: October 2, 2026 Deadline in Securities Fraud Class Action – Contact Kessler Topaz Meltzer &amp; Check, LLP"/>
    <hyperlink ref="E98" r:id="rId97" display="Duke Energy rate increase | NC attorney general challenges rate hike figure: 'Details matter'"/>
    <hyperlink ref="E99" r:id="rId98" display="INTU INVESTOR DEADLINE: Intuit Inc. Investors with Substantial Losses Have Opportunity to Lead Class Action Lawsuit Before September 8, 2026 Deadline"/>
    <hyperlink ref="E100" r:id="rId99" display="波音董事贏得737 MAX艙門脱落相關訴訟"/>
    <hyperlink ref="E101" r:id="rId100" display="REGN INVESTOR ALERT: Bronstein, Gewirtz and Grossman, LLC Announces that Regeneron Pharmaceuticals, Inc. Investors Have Opportunity to Lead Class Action Lawsuit!"/>
    <hyperlink ref="E102" r:id="rId101" display="Attorney general says Duke Energy Progress customers could see 9.3% rate increase"/>
    <hyperlink ref="E103" r:id="rId102" display="REGN Shareholder Alert: Regeneron Pharmaceuticals, Inc. Securities Class Action Lawsuit - Investors Should Contact SueWallSt"/>
    <hyperlink ref="E104" r:id="rId103" display="INTU Shareholder Alert: September 8, 2026 Lead Plaintiff Deadline in Intuit Inc. Securities Class Action - Contact SueWallSt"/>
    <hyperlink ref="E105" r:id="rId104" display="SPRY Slides As CVS Caremark Delay Triggers Class Action Hit"/>
    <hyperlink ref="E106" r:id="rId105" display="INVESTOR ALERT: Pomerantz Law Firm Reminds Investors with Losses on their Investment in Regeneron Pharmaceuticals, Inc. of Class Action Lawsuit and Upcoming Deadlines – REGN"/>
    <hyperlink ref="E107" r:id="rId106" display="Pomerantz Law Firm Announces the Filing of a Class Action Against First Solar, Inc. and Certain Officers – FSLR"/>
    <hyperlink ref="E108" r:id="rId107" display="美法官駁回長江存儲指控美光散布虛假言論的訴訟"/>
    <hyperlink ref="E109" r:id="rId108" display="PNR Alert: Hagens Berman Notifies Pentair plc (NYSE: PNR) Investors of Expanded Class Period in New Securities Class Action Lawsuit and Upcoming Lead Plaintiff Deadline"/>
    <hyperlink ref="E110" r:id="rId109" display="亞馬遜恢復具有約束力的仲裁，禁止集體訴訟"/>
    <hyperlink ref="E111" r:id="rId110" display="EXPANDED CLASS PERIOD - Law Offices of Frank R. Cruz Encourages Pentair plc (PNR) Shareholders To Inquire About Securities Fraud Class Action"/>
    <hyperlink ref="E112" r:id="rId111" display="Apple class action alleges App Store failed to stop fake crypto wallet app"/>
    <hyperlink ref="E113" r:id="rId112" display="FSLR Stockholders Have Opportunity to Lead First Solar, Inc. Class Action Lawsuit – Contact Bronstein, Gewirtz and Grossman, LLC Today!"/>
    <hyperlink ref="E114" r:id="rId113" display="Republican Doug Lloyd visits Sault Ste. Marie to campaign for Michigan Attorney General"/>
    <hyperlink ref="E115" r:id="rId114" display="APPROACHING DEADLINE ALERT: Intuit Inc. (INTU) Investors: September 8, 2026, Filing Deadline in Securities Fraud Class Action - Contact Kessler Topaz Meltzer &amp; Check, LLP"/>
    <hyperlink ref="E116" r:id="rId115" display="Boy George - Radio Interview (3 Jul 26) Capital One Class Action Lawsuit (61jGcnyHu9)"/>
    <hyperlink ref="E117" r:id="rId116" display="PODD UPCOMING DEADLINE: Faruqi &amp; Faruqi, LLP Reminds Insulet (PODD) Investors of Securities Class Action Lawsuit Deadline on August 31, 2026"/>
    <hyperlink ref="E118" r:id="rId117" display="2026-08-16 | PNR STOCKHOLDER ALERT: Bronstein, Gewirtz and Grossman, LLC Announces that Pentair plc Investors with Substantial Losses Have Opportunity to Lead Class Action Lawsuit! | NYSE:PNR | Press Release"/>
    <hyperlink ref="E119" r:id="rId118" display="Bronstein, Gewirtz &amp; Grossman LLC Urges Regeneron Pharmaceuticals, Inc. Investors to Act: Class Action Filed Alleging Investor Harm"/>
    <hyperlink ref="E120" r:id="rId119" display="迪士尼旗下ABC起訴美國聯邦通信委員會，指其部分監管行為違法"/>
    <hyperlink ref="E121" r:id="rId120" display="PNR Shareholder Alert: October 2, 2026 Lead Plaintiff Deadline in Pentair plc Securities Class Action - Contact The Gross Law Firm"/>
    <hyperlink ref="E122" r:id="rId121" display="Minnesota attorney general sues Texas governor to compel ICE agent’s extradition for trial"/>
    <hyperlink ref="E123" r:id="rId122" display="As Meta faces trial for hooking kids on social media, NC's attorney general offers parents advice"/>
    <hyperlink ref="E124" r:id="rId123" display="California Attorney General Rob Bonta: Paramount-WBD lawsuit is a 'black-and-white' antitrust case"/>
    <hyperlink ref="E125" r:id="rId124" display="INVESTOR ALERT: Pomerantz Law Firm Reminds Investors with Losses on their Investment in Pentair plc of Class Action Lawsuit and Upcoming Deadlines - PNR"/>
    <hyperlink ref="E126" r:id="rId125" display="Colorado attorney general sues ​ICE detention center operator ​i​n tuberculosis ​case"/>
    <hyperlink ref="E127" r:id="rId126" display="Equifax agrees to $100M deal to end class action claims over credit score error"/>
    <hyperlink ref="E128" r:id="rId127" display="美司法部反對就迪士尼ABC牌照訴訟案舉行緊急聽證會"/>
    <hyperlink ref="E129" r:id="rId128" display="雅培將支付6.7億美元以了結部分早產兒配方奶粉訴訟"/>
    <hyperlink ref="E130" r:id="rId129" display="PNR Investor Alert: Pentair plc Securities Class Action Notice - Contact SueWallSt"/>
    <hyperlink ref="E131" r:id="rId130" display="美國司法部反對在迪士尼ABC執照訴訟案中立即舉行聽證會"/>
    <hyperlink ref="E132" r:id="rId131" display="Bronstein, Gewirtz &amp; Grossman LLC Urges Pentair plc Investors to Act: Class Action Filed Alleging Investor Harm"/>
    <hyperlink ref="E133" r:id="rId132" display="消息稱Meta就各州指控其平台危害兒童健康的訴訟達成和解"/>
    <hyperlink ref="E134" r:id="rId133" display="Meta據悉與多州檢察長就天價訴訟討論庭審中和解"/>
    <hyperlink ref="E135" r:id="rId134" display="If you get your meds at Kroger pay attention to this class action lawsuit"/>
    <hyperlink ref="E136" r:id="rId135" display="美股異動丨KKR盤前升2.36% 支付2.5億美元就美司法部併購申報訴訟達成和解"/>
    <hyperlink ref="E137" r:id="rId136" display="PNR INVESTOR DEADLINE: Robbins Geller Rudman &amp; Dowd LLP Files Class Action Lawsuit Against Pentair plc and Announces Opportunity for Investors with Substantial Losses to Lead the Pentair Class Action Lawsuit"/>
    <hyperlink ref="E138" r:id="rId137" display="KKR將支付2.5億美元了結司法部併購申報訴訟"/>
    <hyperlink ref="E139" r:id="rId138" display="Levi &amp; Korsinsky Reminds Pentair plc Investors of the Pending Class Action Lawsuit With a Lead Plaintiff Deadline of October 2, 2026 - PNR"/>
    <hyperlink ref="E140" r:id="rId139" display="Kroger to Pay $17M to Settle Class Action Over Drug Prices"/>
    <hyperlink ref="E141" r:id="rId140" display="PENTAIR CLASS ACTION ALERT: Bragar Eagel &amp; Squire, P.C."/>
    <hyperlink ref="E142" r:id="rId141" display="SueWallSt Reminds GoDaddy Inc. Investors of the Pending Class Action Lawsuit With a Lead Plaintiff Deadline of October 20, 2026 - GDDY"/>
    <hyperlink ref="E143" r:id="rId142" display="谷歌隱私訴訟案產生高達1.47億美元律師費"/>
    <hyperlink ref="E144" r:id="rId143" display="谷歌隱私訴訟案產生高達1.47億美元律師費"/>
    <hyperlink ref="E145" r:id="rId144" display="Attorney General Dana Nessel seeks deep cuts to DTE’s $474 million rate request"/>
    <hyperlink ref="E146" r:id="rId145" display="Pentair plc (PNR) Investors: Securities Fraud Class Action Filed, Contact Hagens Berman Before October 2, 2026 Lead Plaintiff Deadline"/>
    <hyperlink ref="E147" r:id="rId146" display="INTU Investor Alert: Intuit Inc. Securities Class Action Notice - Contact Levi &amp; Korsinsky"/>
    <hyperlink ref="E148" r:id="rId147" display="PNR Shareholder Alert: Pentair plc Securities Class Action"/>
    <hyperlink ref="E149" r:id="rId148" display="Pentair plc (PNR) Notice of October 2, 2026 Application Deadline for Class Action Lawsuit"/>
    <hyperlink ref="E150" r:id="rId149" display="UPS Settles Military Leave Class Action for $152,000, Plus Fees"/>
    <hyperlink ref="E151" r:id="rId150" display="GDDY Class Action Alert: GoDaddy Customer Acquisition Issues and Subsequent 14% Stock Drop Lead to Investor Securities Fraud Class Action to Recover Losses"/>
    <hyperlink ref="E152" r:id="rId151" display="美國法官駁回針對Meta旗下Instagram購物涉壟斷的訴訟"/>
    <hyperlink ref="E153" r:id="rId152" display="Intuit (INTU) Faces Class Action Over AI And Investor Disclosure Claims"/>
    <hyperlink ref="E154" r:id="rId153" display="PNR INVESTORS: Robbins Geller Rudman &amp; Dowd LLP Files Class Action Lawsuit Against Pentair plc and Announces Opportunity for Investors with Substantial Losses to Lead Class Action Lawsuit Before October 2, 2026 Deadline"/>
    <hyperlink ref="E155" r:id="rId154" display="INTU Shareholder Alert: Investors With Losses May Seek to Lead the Class Action in Intuit Inc. Securities Lawsuit - Contact Levi &amp; Korsinsky"/>
    <hyperlink ref="E156" r:id="rId155" display="REGN Deadline Alert: Levi &amp; Korsinsky Reminds Regeneron Pharmaceuticals (REGN) Investors of Securities Class Action Deadline on September 14, 2026"/>
    <hyperlink ref="E157" r:id="rId156" display="GDDY Shareholder Alert: GoDaddy Inc. Securities Class Action Lawsuit - Investors Should Contact Levi &amp; Korsinsky"/>
    <hyperlink ref="E158" r:id="rId157" display="法院記錄顯示，奧馳亞起訴美國食品藥品監督管理局"/>
    <hyperlink ref="E159" r:id="rId158" display="Portnoy Law Firm Announces Class Action on Behalf of Intuit, Inc. Investors"/>
    <hyperlink ref="E160" r:id="rId159" display="PNR Alert: Hagens Berman Notifies Pentair plc (NYSE: PNR) Investors of Expanded Class Period in New Securities Class Action Lawsuit and Upcoming Lead Plaintiff Deadline"/>
    <hyperlink ref="E161" r:id="rId160" display="Bronstein, Gewirtz &amp; Grossman LLC Urges Intuit Inc. Investors to Act: Class Action Filed Alleging Investor Harm"/>
    <hyperlink ref="E162" r:id="rId161" display="PNR UPCOMING DEADLINE: SueWallSt Alerts Pentair plc Stockholders of Securities Class Action"/>
    <hyperlink ref="E163" r:id="rId162" display="GDDY UPCOMING DEADLINE: SueWallSt Alerts GoDaddy Inc. Stockholders of Securities Class Action"/>
    <hyperlink ref="E164" r:id="rId163" display="SueWallSt Reminds Intuit Inc. Investors of the Pending Class Action Lawsuit With a Lead Plaintiff Deadline of September 8, 2026 - INTU"/>
    <hyperlink ref="E165" r:id="rId164" display="REGN Investor Alert: Regeneron Pharmaceuticals, Inc. Securities Class Action Notice - Contact SueWallSt"/>
    <hyperlink ref="E166" r:id="rId165" display="INVESTOR ALERT: Pomerantz Law Firm Reminds Investors with Losses on their Investment in Regeneron Pharmaceuticals, Inc. of Class Action Lawsuit and Upcoming Deadlines - REGN"/>
    <hyperlink ref="E167" r:id="rId166" display="Pomerantz Law Firm Announces the Filing of a Class Action Against Intuit Inc. and Certain Officers - INTU"/>
    <hyperlink ref="E168" r:id="rId167" display="INVESTOR ALERT: Pomerantz Law Firm Reminds Investors with Losses on their Investment in GoDaddy Inc. of Class Action Lawsuit and Upcoming Deadlines - GDDY"/>
    <hyperlink ref="E169" r:id="rId168" display="INVESTOR ALERT: Pomerantz Law Firm Reminds Investors with Losses on their Investment in Pentair plc of Class Action Lawsuit and Upcoming Deadlines - PNR"/>
    <hyperlink ref="E170" r:id="rId169" display="Missouri attorney general spends $167,000 in state funds on anti-abortion PSA before election"/>
    <hyperlink ref="E171" r:id="rId170" display="Apple faces $2.7 billion class action lawsuit in UK over app tracking rules"/>
    <hyperlink ref="E172" r:id="rId171" display="PNR INVESTOR DEADLINE: Robbins Geller Rudman &amp; Dowd LLP Files Class Action Lawsuit Against Pentair plc and Announces Opportunity for Investors with Substantial Losses to Lead Class Action Lawsuit - October 2, 2026 Deadline"/>
    <hyperlink ref="E173" r:id="rId172" display="REGN INVESTOR ALERT: Regeneron Pharmaceuticals, Inc. Investors with Substantial Losses Have Opportunity to Lead the Regeneron Class Action Lawsuit"/>
    <hyperlink ref="E174" r:id="rId173" display="Boeing Investors Say 4th Circ. Ruling Imperils Class Actions"/>
    <hyperlink ref="E175" r:id="rId174" display="HCA class action lawsuit: Patients say trackers needed to book urgent care appointments online"/>
    <hyperlink ref="E176" r:id="rId175" display="Pentair plc (PNR) Notice of October 2, 2026 Application Deadline for Class Action Lawsuit"/>
    <hyperlink ref="E177" r:id="rId176" display="REGN ALERT: Hagens Berman Alerts Regeneron Pharmaceuticals, Inc. (REGN) Investors to Pending Securities Fraud Class Action Amid Disclosures About Key Trial's Protocol and Ultimate Failure"/>
    <hyperlink ref="E178" r:id="rId177" display="GDDY SHAREHOLDER ALERT: Bronstein, Gewirtz and Grossman, LLC Announces that GoDaddy Inc. Stockholders with Substantial Losses Have Opportunity to Lead Class Action Lawsuit!"/>
    <hyperlink ref="E179" r:id="rId178" display="Bronstein, Gewirtz &amp; Grossman LLC Urges Pentair plc Investors to Act: Class Action Filed Alleging Investor Harm"/>
    <hyperlink ref="E180" r:id="rId179" display="Nationwide Class Action Against Amazon Claims Abusive Treatment of Pregnant Warehouse Workers"/>
    <hyperlink ref="E181" r:id="rId180" display="PayPal sent private Venmo transaction data to outside companies, a new class action alleges"/>
    <hyperlink ref="E182" r:id="rId181" display="GDDY Shareholder Alert: October 20, 2026 Lead Plaintiff Deadline in GoDaddy Inc. Securities Class Action - Contact Levi &amp; Korsinsky"/>
    <hyperlink ref="E183" r:id="rId182" display="Robbins LLP Urges GDDY Stockholders Who Lost Money Investing in GoDaddy Inc. to Contact the Firm for Information About Leading the Class Action"/>
    <hyperlink ref="E184" r:id="rId183" display="GDDY Shareholder Alert: Investors With Losses May Seek to Lead the Class Action in GoDaddy Inc. Securities Lawsuit - Contact SueWallSt"/>
    <hyperlink ref="E185" r:id="rId184" display="GoDaddy Inc. (GDDY) Investors: October 20, 2026, Deadline in Securities Fraud Class Action Lawsuit"/>
    <hyperlink ref="E186" r:id="rId185" display="Florida attorney general sues Netflix over ‘bait-and-switch’ on privacy for kids"/>
    <hyperlink ref="E187" r:id="rId186" display="GDDY Class Alert: GoDaddy Securities Fraud Class Action to"/>
    <hyperlink ref="E188" r:id="rId187" display="Robbins LLP Urges PNR Stockholders to Contact the Firm for Information About the Class Action Against Pentair plc"/>
    <hyperlink ref="E189" r:id="rId188" display="GDDY Shareholder Alert: GoDaddy Inc. Securities Class Action Lawsuit - Investors With Losses May Contact Levi &amp; Korsinsky"/>
    <hyperlink ref="E190" r:id="rId189" display="GDDY DEADLINE: SueWallSt Reminds GoDaddy Inc. Investors of Upcoming Securities Class Action Deadline"/>
    <hyperlink ref="E191" r:id="rId190" display="PNR Shareholder Alert: Pentair plc Securities Class Action Lawsuit - Investors Should Contact SueWallSt"/>
    <hyperlink ref="E192" r:id="rId191" display="CVS texted consumers after they opted out, a new class action lawsuit claims."/>
    <hyperlink ref="E193" r:id="rId192" display="AppLovin Stock Is Down 54% in 2026 and Facing a Class Action. Here’s Where It Could Go"/>
    <hyperlink ref="E194" r:id="rId193" display="PNR DEADLINE NOTICE: Faruqi &amp; Faruqi, LLP Reminds Pentair (PNR) Investors of Securities Class Action Lawsuit Deadline on October 2, 2026"/>
    <hyperlink ref="E195" r:id="rId194" display="US judge rejects class action over Energizer, Walmart battery prices"/>
    <hyperlink ref="E196" r:id="rId195" display="Florida Attorney General sues Pfizer and CEO over COVID-19 vaccine claims"/>
    <hyperlink ref="E197" r:id="rId196" display="第一太陽能起訴中國JA Solar侵犯專利權"/>
    <hyperlink ref="E198" r:id="rId197" display="McDonald's hit with class action alleging AI-powered menu price-fixing"/>
    <hyperlink ref="E199" r:id="rId198" display="Rosen Law Firm Encourages J.B. Hunt Transport Services, Inc. Investors to Inquire About Securities Class Action Investigation - JBHT"/>
    <hyperlink ref="E200" r:id="rId199" display="英國法院駁回了針對汽車製造商的柴油車尾氣排放訴訟中的上訴許可申請"/>
    <hyperlink ref="E201" r:id="rId200" display="Uber class action alleges company enrolled users in Uber One without consent"/>
    <hyperlink ref="E202" r:id="rId201" display="Weil Wins Dismissal of Plastics Class Action for ExxonMobil"/>
    <hyperlink ref="E203" r:id="rId202" display="Class action alleges consumers enrolled in Uber One subscription without consent"/>
    <hyperlink ref="E204" r:id="rId203" display="埃克森美孚、殼牌、BP勝訴 成功駁回紐約市環保訴訟‌"/>
    <hyperlink ref="E205" r:id="rId204" display="Tariff refund class action lawsuits target Walmart, Puma, others"/>
    <hyperlink ref="E206" r:id="rId205" display="INVESTOR ALERT: Honeywell Aerospace Inc. (HONA) Investors with Substantial Losses May Seek to Lead Class Action Lawsuit, Robbins Geller Rudman &amp; Dowd LLP Announces - November 23, 2026 Deadline"/>
    <hyperlink ref="E207" r:id="rId206" display="HONA Shareholder Alert: Investors With Losses May Seek to Lead the Class Action in Honeywell Aerospace Securities Lawsuit - Contact Levi &amp; Korsinsky"/>
    <hyperlink ref="E208" r:id="rId207" display="Robbins LLP Urges HONA Stockholders Who Lost Money Investing in Honeywell Aerospace Inc. to Contact the Firm for Information About Leading the Class Action"/>
    <hyperlink ref="E209" r:id="rId208" display="Amazon faces coordinated class action lawsuits over alleged tariff overcharges"/>
    <hyperlink ref="E210" r:id="rId209" display="HONA CLASS ACTION NOTICE: Faruqi &amp; Faruqi, LLP Reminds Honeywell"/>
    <hyperlink ref="E211" r:id="rId210" display="APP Shareholder Alert: AppLovin Corporation Securities Class Action Lawsuit - Investors Should Contact SueWallSt"/>
    <hyperlink ref="E212" r:id="rId211" display="SueWallSt Reminds Honeywell Aerospace Investors of the Pending Class Action Lawsuit With a Lead Plaintiff Deadline of November 23, 2026 - HONA"/>
    <hyperlink ref="E213" r:id="rId212" display="SueWallSt Reminds GoDaddy Inc. Investors of the Pending Class Action Lawsuit With a Lead Plaintiff Deadline of October 20, 2026 - GDDY"/>
    <hyperlink ref="E214" r:id="rId213" display="Costco class action targets allulose in Kirkland sugar-free drink mix"/>
    <hyperlink ref="E215" r:id="rId214" display="INVESTOR ALERT: Pomerantz Law Firm Reminds Investors with Losses on their Investment in Honeywell Aerospace Inc. of Class Action Lawsuit and Upcoming Deadlines - HONA"/>
    <hyperlink ref="E216" r:id="rId215" display="Jacobson urges state attorney general to investigate Sysco’s acquisition of Restaurant Depot"/>
    <hyperlink ref="E217" r:id="rId216" display="Amazon Stock Rebounds From Slump: AI Ambitions and $2.5B FTC Deal Ignite $3 Trillion Hopes"/>
    <hyperlink ref="E218" r:id="rId217" display="FRONTAL TRUST ADM COR REND CON LIQUIDE CLPP Balance Sheet – BCS:CFIFTCLP_E1"/>
    <hyperlink ref="E219" r:id="rId218" display="FRONTAL TRUST ADM COR REND CON LIQUIDE CLPP Balance Sheet – BCS:CFIFTCLP_E1"/>
    <hyperlink ref="E220" r:id="rId219" display="CFTC Innovation Advisory Committee meeting: CME Group CEO Warns About Prediction Market Listings Open to Manipulation"/>
    <hyperlink ref="E221" r:id="rId220" display="美國聯邦貿易委員會（FTC）正考慮要求披露個性化定價"/>
    <hyperlink ref="E222" r:id="rId221" display="Zillow 就聯邦貿易委員會（FTC）指控其向Redfin支付款項以停止在公寓房源方面展開競爭一事達成和解"/>
    <hyperlink ref="E223" r:id="rId222" display="FTC Warns Patent-Right Acquisitions Cannot Escape Antitrust Review in Amgen Enbrel Case"/>
    <hyperlink ref="E224" r:id="rId223" display="Amazon’s ad auction surcharges secretly bilked brands of billions, FTC alleges"/>
    <hyperlink ref="E225" r:id="rId224" display="The Morning Risk Report: FTC Files Lawsuit Alleging Amazon Deceived Advertisers"/>
    <hyperlink ref="E226" r:id="rId225" display="How Amazon’s ‘Secret’ Ad Pricing System Worked, According to the FTC"/>
    <hyperlink ref="E227" r:id="rId226" display="FTC, 22 states sue Amazon over advertising surcharges"/>
    <hyperlink ref="E228" r:id="rId227" display="FTC and 22 states file suit accusing Amazon of secretly overcharging advertisers"/>
    <hyperlink ref="E229" r:id="rId228" display="AG Davenport Sues Amazon with FTC and 21 States for Rigging Advertising Auctions, Reaping Billions in Illegal Profits"/>
    <hyperlink ref="E230" r:id="rId229" display="FTC and 22 States Sue Amazon Over Advertising Practices"/>
    <hyperlink ref="E231" r:id="rId230" display="FTC sues Amazon, alleging it overcharged advertisers"/>
    <hyperlink ref="E232" r:id="rId231" display="FTC聯合22州起訴亞馬遜 涉嫌從廣吿主多收數百億美元"/>
    <hyperlink ref="E233" r:id="rId232" display="DOJ Probes Soaring Beef Prices at Eight Major Stores Including Walmart"/>
    <hyperlink ref="E234" r:id="rId233" display="FTC alleges Amazon illegally made $20 billion by rigging billions of ad auctions"/>
    <hyperlink ref="E235" r:id="rId234" display="Amazon Stock Extends Losses After FTC Lawsuit Over Ad Practices"/>
    <hyperlink ref="E236" r:id="rId235" display="Jim Cramer says selling Amazon shares over new FTC lawsuit would be 'hysterical'"/>
    <hyperlink ref="E237" r:id="rId236" display="CFTC Seeks Dismissal of CME's Crypto Perpetual Futures Lawsuit"/>
    <hyperlink ref="E238" r:id="rId237" display="CFTC Seeks Dismissal of CME Suit Over Crypto Perpetual Futures"/>
    <hyperlink ref="E239" r:id="rId238" display="CFTC Moves to Kill CME Lawsuit Over Kalshi’s Bitcoin Perpetual Futures"/>
    <hyperlink ref="E240" r:id="rId239" display="CFTC Seeks Dismissal of CME’s Kalshi Bitcoin Futures Lawsuit"/>
    <hyperlink ref="E241" r:id="rId240" display="CFTC asks court to dismiss CME's lawsuit over B..."/>
    <hyperlink ref="E242" r:id="rId241" display="CFTC Called For the Dismissal of CME Group’s Lawsuit Over Crypto Perpetual Futures"/>
    <hyperlink ref="E243" r:id="rId242" display="CFTC seeks dismissal of CME crypto futures lawsuit"/>
    <hyperlink ref="E244" r:id="rId243" display="CFTC Asks Court to Dismiss CME’s Lawsuit Over Kalshi’s Bitcoin Perpetual Futures"/>
    <hyperlink ref="E245" r:id="rId244" display="Jennifer Driscoll Analyzes FTC Suit over Amazon’s Advertising Pricing Practices"/>
    <hyperlink ref="E246" r:id="rId245" display="Legal Experts Back the CFTC’s Perps-as-Futures Call as It Moves to Dismiss CME’s Suit"/>
    <hyperlink ref="E247" r:id="rId246" display="FTC Says Amazon Promised Advertisers an Auction, Then Set Its Own Price"/>
    <hyperlink ref="E248" r:id="rId247" display="CFTC Says CME Lacks Standing in Suit Over Crypto Perpetual Futures Approval"/>
    <hyperlink ref="E249" r:id="rId248" display="CFTC Says CME Perps Fight Is 'Much Ado About Nothing'"/>
    <hyperlink ref="E250" r:id="rId249" display="CFTC files to dismiss CME lawsuit over crypto perpetual futures"/>
    <hyperlink ref="E251" r:id="rId250" display="CFTC Files to Dismiss CME's Crypto Perpetual Futures Lawsuit"/>
    <hyperlink ref="E252" r:id="rId251" display="‘CME lacks standing’: CFTC moves to dismiss lawsuit over Kalshi crypto perps"/>
    <hyperlink ref="E253" r:id="rId252" display="The FTC’s Amazon Lawsuit Is Ad Tech’s History Of Opacity Repeating Itself"/>
    <hyperlink ref="E254" r:id="rId253" display="CFTC Asks Judge to Dismiss CME Lawsuit Over Crypto Perpetual Futures"/>
    <hyperlink ref="E255" r:id="rId254" display="CFTC asks judge to toss CME challenge to Kalshi perps"/>
    <hyperlink ref="E256" r:id="rId255" display="Cencora's MWI Animal Health Merger With Covetrus Sees 'Intensified' FTC Scrutiny, RBC Says"/>
    <hyperlink ref="E257" r:id="rId256" display="DOJ probes Nvidia's licensing deal with AI startup Groq, NYT reports"/>
    <hyperlink ref="E258" r:id="rId257" display="Cintas-UniFirst deal spread widens on FTC scrutiny: Bernstein"/>
    <hyperlink ref="E259" r:id="rId258" display="Exclusive | Senators Ask FTC to Probe Walmart and Amazon Over Bots’ ‘Made in America’ Data"/>
    <hyperlink ref="E260" r:id="rId259" display="Corpay, CEO to pay $100M to settle FTC action over unauthorized fees (CPAY:NYSE)"/>
    <hyperlink ref="E261" r:id="rId260" display="Exclusive | Senators Ask FTC to Probe Walmart and Amazon Over Bots’ ‘Made in America’ Data"/>
    <hyperlink ref="E262" r:id="rId261" display="The Morning Risk Report: Senators Ask FTC to Probe Walmart and Amazon Over Bots’ ‘Made in America’ Data"/>
    <hyperlink ref="E263" r:id="rId262" display="Corpay Agrees to Settle FTC Matter"/>
    <hyperlink ref="E264" r:id="rId263" display="Coinbase Files With CFTC To List US Single-Stock Perpetual Futures, Including AAPL And TSLA Contracts"/>
    <hyperlink ref="E265" r:id="rId264" display="CFTC Approves Coinbase Clearing as First USDC-Native Clearinghouse"/>
    <hyperlink ref="E266" r:id="rId265" display="Coinbase Receives CFTC Approval for Coinbase Clearing LLC"/>
    <hyperlink ref="E267" r:id="rId266" display="Coinbase Brings Derivatives Clearing In-House After CFTC Registration"/>
    <hyperlink ref="E268" r:id="rId267" display="Coinbase receives CFTC greenlight to launch USDC-native clearing house"/>
    <hyperlink ref="E269" r:id="rId268" display="Update: ExxonMobil Director Vote Prompts US SEC Investigation Into Climate Action 100+; Regulator Pursues No Action Against Group"/>
    <hyperlink ref="E270" r:id="rId269" display="ExxonMobil Director Vote Prompts US SEC Investigation Into Climate Action 100+; Regulator Pursues No Action Against Group"/>
    <hyperlink ref="E271" r:id="rId270" display="消息人士稱，Priceline因發布誤導性酒店廣告將面臨美國聯邦貿易委員會（FTC）的處罰"/>
    <hyperlink ref="E272" r:id="rId271" display="消息人士稱，Priceline因發布誤導性酒店廣告將面臨美國聯邦貿易委員會（FTC）的處罰"/>
    <hyperlink ref="E273" r:id="rId272" display="消息人士稱，Priceline因發布誤導性酒店廣告將面臨美國聯邦貿易委員會（FTC）的處罰"/>
    <hyperlink ref="E274" r:id="rId273" display="Sysco-Restaurant Depot Deal Still Awaits FTC Review Six Months After Announcement"/>
    <hyperlink ref="E275" r:id="rId274" display="Is Coinbase Global (COIN) Cheap As CFTC Approval Reshapes Its Valuation?"/>
    <hyperlink ref="E276" r:id="rId275" display="FTC Sends More than $9.8 Million to Consumers Harmed by Walmart’s Failure to Stop Scammers that Used its Wire Transfer Services to Take Millions from Customers"/>
    <hyperlink ref="E277" r:id="rId276" display="FTC to Healthcare Providers: CMS Price Transparency Compliance Is Not Safe Harbor"/>
    <hyperlink ref="E278" r:id="rId277" display="Equifax Customers Could Claim Up To $600 In $2.2M Settlement -"/>
    <hyperlink ref="E279" r:id="rId278" display="Regional: Tractor Supply Company Subsidiary Agrees To $5.1 Million Consumer Protection Settlement"/>
    <hyperlink ref="E280" r:id="rId279" display="How to claim your part of the $2.2 million Equifax class action settlement"/>
    <hyperlink ref="E281" r:id="rId280" display="Could Arbutus Biopharma Corporation (ABUS) Turn its Moderna, Inc. (MRNA) Settlement Into a Lasting Biotech Advantage?"/>
    <hyperlink ref="E282" r:id="rId281" display="Sherwin-Williams to pay $124,700 penalty after Beaver County residents say air smells of &quot;pure chemicals&quot;"/>
    <hyperlink ref="E283" r:id="rId282" display="Sherwin-Williams to pay $124,000 penalty after residents complain about smell at Pennsylvania plant"/>
    <hyperlink ref="E284" r:id="rId283" display="Newmont Snags Bargain in $1.95B Nevada Settlement -- Market Talk"/>
    <hyperlink ref="E285" r:id="rId284" display="NJ secures court approval for $2.5B DuPont, 3M PFAS settlements"/>
    <hyperlink ref="E286" r:id="rId285" display="Equifax Customers Can Claim Part of a $2.2M Class Action Settlement This Month"/>
    <hyperlink ref="E287" r:id="rId286" display="9AM: NC Attorney General rejects Duke Energy settlement"/>
    <hyperlink ref="E288" r:id="rId287" display="AIG Loss in Delaware Deepens Split on Recouping Settlement Funds"/>
    <hyperlink ref="E289" r:id="rId288" display="Attorney general rejects Duke Energy Progress settlement over 6.8% rate hike"/>
    <hyperlink ref="E290" r:id="rId289" display="Clark Howard shares advice after $100M Equifax credit score settlement"/>
    <hyperlink ref="E291" r:id="rId290" display="Comcast offering payouts in $117.5M settlement. Are you eligible?"/>
    <hyperlink ref="E292" r:id="rId291" display="Court gives final approval to New Jersey’s $2.5 billion PFAS settlements with DuPont and 3M"/>
    <hyperlink ref="E293" r:id="rId292" display="HPE Wins Approval for DOJ Settlement on Juniper WiFi Deal"/>
    <hyperlink ref="E294" r:id="rId293" display="HPE/Juniper Settlement Tests Limits of Tunney Act Oversight"/>
    <hyperlink ref="E295" r:id="rId294" display="Attorney General Jackson declines Duke Energy Progress rate settlement"/>
    <hyperlink ref="E296" r:id="rId295" display="DOJ's HPE Merger Settlement Approved Over State Objections"/>
    <hyperlink ref="E297" r:id="rId296" display="Calif. AG: HPE-Juniper judge says settlement not reached through ‘routine process’"/>
    <hyperlink ref="E298" r:id="rId297" display="Equifax settlement could pay $100 million to up to 4 million consumers"/>
    <hyperlink ref="E299" r:id="rId298" display="Equifax agrees to $100 million settlement over 2022 coding issue that impacted credit scores"/>
    <hyperlink ref="E300" r:id="rId299" display="Equifax agrees to $100 million settlement over credit score error in 2022"/>
    <hyperlink ref="E301" r:id="rId300" display="Hewlett Packard Enterprise wins approval for DOJ settlement in Juniper deal (HPE:NYSE)"/>
    <hyperlink ref="E302" r:id="rId301" display="Equifax settlement: Consumers impacted by 2022 credit score error could receive payments"/>
    <hyperlink ref="E303" r:id="rId302" display="CSX Transportation $1.5M Livingston Derailment Settlement"/>
    <hyperlink ref="E304" r:id="rId303" display="Equifax $100M Settlement Marks Record Payout Over Credit Score Coding Glitch"/>
    <hyperlink ref="E305" r:id="rId304" display="TFC 2 report: Young Reds earn penalty shootout win at home"/>
    <hyperlink ref="E306" r:id="rId305" display="Week in Review: MARTA's new big boss, Equifax's big settlement and US solar's potential big boost"/>
    <hyperlink ref="E307" r:id="rId306" display="Equifax Agrees to $100M Settlement over Error That Changed Millions of Credit Scores"/>
    <hyperlink ref="E308" r:id="rId307" display="MBTA worker whose hair GM Eng pulled gets $495,000 in settlement"/>
    <hyperlink ref="E309" r:id="rId308" display="MBTA reaches $500K settlement with employee who says GM pulled her hair"/>
    <hyperlink ref="E310" r:id="rId309" display="$18.8M O’Reilly Automotive spam text messages class action settlement"/>
    <hyperlink ref="E311" r:id="rId310" display="Hewlett Packard Enterprise's settlement regarding $14B Juniper acquisition approved"/>
    <hyperlink ref="E312" r:id="rId311" display="Every Super League club’s penalty points with Hull KR most ill-disciplined"/>
    <hyperlink ref="E313" r:id="rId312" display="Federal Judge Approves $3 Million Settlement In Willows Apartments Class-action Lawsuit Humana (LBYlYVW19j)"/>
    <hyperlink ref="E314" r:id="rId313" display="Glenmark USA Agrees to USD 15.28 Mn Settlement With Humana Over Generic Drug Antitrust Claims"/>
    <hyperlink ref="E315" r:id="rId314" display="Phinge &amp; CEO Robert DeMaio Publicly Declare Cash Settlements or Judgments Alone Cannot &amp; Will Not Remedy the Deep Public Harm of Infringing Its IP"/>
    <hyperlink ref="E316" r:id="rId315" display="Nashville SC - Inter Miami CF 1 - 0 | MISSED PENALTY - Leo Messi"/>
    <hyperlink ref="E317" r:id="rId316" display="Meta ordered to pay enormous penalty after losing New Mexico case"/>
    <hyperlink ref="E318" r:id="rId317" display="California settlement hits Tractor Supply over pricing, pesticides, and 'biodegradable' claims"/>
    <hyperlink ref="E319" r:id="rId318" display="Uber Eats to pay $4.4 million in settlement with Seattle"/>
    <hyperlink ref="E320" r:id="rId319" display="Uber Eats to pay $4.4M settlement to Seattle delivery workers"/>
    <hyperlink ref="E321" r:id="rId320" display="Equifax Settlement Could Pay 4 Million Consumers Up to $280"/>
    <hyperlink ref="E322" r:id="rId321" display="L.A. Mayor Karen Bass Throws Her Support Behind Paramount-Warner Bros. Discovery Settlement"/>
    <hyperlink ref="E323" r:id="rId322" display="Carson reaches $370-million settlement with Marathon Petroleum, resolving tax dispute"/>
    <hyperlink ref="E324" r:id="rId323" display="Got prescriptions at Kroger? You may qualify for payment in $17 million proposed settlement"/>
    <hyperlink ref="E325" r:id="rId324" display="Abbott in $670M settlement for some NEC infant formula claims (ABT:NYSE)"/>
    <hyperlink ref="E326" r:id="rId325" display="Declaring ‘economic D-Day,’ Trump says any country trading with Iran will be sanctioned"/>
    <hyperlink ref="E327" r:id="rId326" display="Federal prosecutors take over charges in Rutland murder case, won’t seek death penalty"/>
    <hyperlink ref="E328" r:id="rId327" display="How to apply for Kroger's $17M pharmacy settlement"/>
    <hyperlink ref="E329" r:id="rId328" display="Equifax agrees to $100 million settlement over alleged misreported credit scores"/>
    <hyperlink ref="E330" r:id="rId329" display="Meta, states agree to $17 billion settlement in child safety trial"/>
    <hyperlink ref="E331" r:id="rId330" display="The Bull Case For Apollo Global Management (APO) Could Change Following Cybersecurity Breach And Legal Settlement News - Learn Why"/>
    <hyperlink ref="E332" r:id="rId331" display="Humana-owned Villages Health agrees to $542M settlement for overbilling Medicare"/>
    <hyperlink ref="E333" r:id="rId332" display="Here’s what Meta’s $18 billion multistate settlement could mean for kids — and for its bottom line"/>
    <hyperlink ref="E334" r:id="rId333" display="Meta reaches $17B settlement. And, nuclear regulator to abandon radiation safety rule"/>
    <hyperlink ref="E335" r:id="rId334" display="Fortune Tech: Meta’s record settlement, Nvidia Q2 earnings, DraftKings’ co-founder contract"/>
    <hyperlink ref="E336" r:id="rId335" display="Fortune Tech: Meta’s record settlement, Nvidia Q2 earnings, DraftKings’ co-founder contract"/>
    <hyperlink ref="E337" r:id="rId336" display="Why Meta's settlement could be an 'inflection point' for reining in Big Tech"/>
    <hyperlink ref="E338" r:id="rId337" display="Illinois officials, experts react to Meta's social media addiction trial settlement of up to $18B, promised child safety reforms"/>
    <hyperlink ref="E339" r:id="rId338" display="Father speaks out on Meta’s $18B child safety settlement"/>
    <hyperlink ref="E340" r:id="rId339" display="Landmark settlement agreement with META"/>
    <hyperlink ref="E341" r:id="rId340" display="Meta reaches landmark $18 billion settlement with states in trial over teen social media addiction"/>
    <hyperlink ref="E342" r:id="rId341" display="Here’s how to qualify for the new Kroger $17M settlement over prescription drug pricing"/>
    <hyperlink ref="E343" r:id="rId342" display="Here’s how to find out if you qualify for part of Kroger’s $17 million settlement"/>
    <hyperlink ref="E344" r:id="rId343" display="City of Carson reaches $370M settlement with Marathon Petroleum"/>
    <hyperlink ref="E345" r:id="rId344" display="Tractor Supply Can’t Escape Employee Tobacco Penalty Lawsuit"/>
    <hyperlink ref="E346" r:id="rId345" display="Humana (HUM) Faces A 27% Fair Value Gap On $541.5 Million Overbilling Settlement"/>
    <hyperlink ref="E347" r:id="rId346" display="Judge to consider final approval of Bank of America's $72 million settlement with Epstein accusers"/>
    <hyperlink ref="E348" r:id="rId347" display="Court approves Bank of America’s $72.5M settlement with Epstein accusers"/>
    <hyperlink ref="E349" r:id="rId348" display="CA AG Rob Bonta talks Meta landmark $18 billion settlement &amp; platform changes"/>
    <hyperlink ref="E350" r:id="rId349" display="Did Equifax's (EFX) Dividend Steadiness and Legal Settlement Proposal Just Reframe Its Risk‑Reward Profile?"/>
    <hyperlink ref="E351" r:id="rId350" display="This week's Meta settlement will reverberate across the world for years"/>
    <hyperlink ref="E352" r:id="rId351" display="Walmart agrees to pay $50M settlement over allegations its pharmacies filled illegal opioid prescriptions"/>
    <hyperlink ref="E353" r:id="rId352" display="Meta settlement reached: Ohio to receive over $300 million"/>
    <hyperlink ref="E354" r:id="rId353" display="New Settlement: Uber Eats Agrees to Pay Nearly $4.4M to Resolve Wage Violations"/>
    <hyperlink ref="E355" r:id="rId354" display="FTC settlement with CVS Caremark: What PBMs Need to Know"/>
    <hyperlink ref="E356" r:id="rId355" display="Meta's $18 billion settlement bets on AI to tell which users are kids"/>
    <hyperlink ref="E357" r:id="rId356" display="3 things districts need to know about the $17B Meta social media settlement"/>
    <hyperlink ref="E358" r:id="rId357" display="West Virginia AG JB McCuskey on $17B Meta settlement: They made a very smart business decision"/>
    <hyperlink ref="E359" r:id="rId358" display="The Meta settlement is regulation by enforcement"/>
    <hyperlink ref="E360" r:id="rId359" display="American Water (AWK) and Essential Utilities Reach Non-Unanimous Settlement in Pennsylvania Merger Proceeding"/>
    <hyperlink ref="E361" r:id="rId360" display="Experts break down the meaning and consequences of the Meta settlement | Newswise"/>
    <hyperlink ref="E362" r:id="rId361" display="Meta settlement could clear the way for new AI product launches, Morgan Stanley says"/>
    <hyperlink ref="E363" r:id="rId362" display="Meta settlement could clear the way for new AI product launches, Morgan Stanley says"/>
    <hyperlink ref="E364" r:id="rId363" display="Meta's $17 Billion Settlement is a Bad Deal for Teens and All Social Media Users"/>
    <hyperlink ref="E365" r:id="rId364" display="Honeywell Aerospace to Pay Over $2 Million in US Defense Contract Settlement, Shares Fall"/>
    <hyperlink ref="E366" r:id="rId365" display="Attorneys General announce Meta settlement &amp; new child safety reforms for social media"/>
    <hyperlink ref="E367" r:id="rId366" display="Meta’s $18 Billion Settlement: Implications for Law, Technology, and the Future of Child Safety Online"/>
    <hyperlink ref="E368" r:id="rId367" display="DOJ, DEA Reach $50 Million Opioid Settlement with Walmart"/>
    <hyperlink ref="E369" r:id="rId368" display="September 2026 Class Action Settlements Involve Disney, Tesla and Equifax"/>
    <hyperlink ref="E370" r:id="rId369" display="Boeing pays $3.1M FAA penalty for “hundreds” of safety violations"/>
    <hyperlink ref="E371" r:id="rId370" display="Were You Overcharged? How to Claim Your Share of the Kroger Pharmacy Settlement"/>
    <hyperlink ref="E372" r:id="rId371" display="Invesco Funds Reach Settlement in Serta Simmons Lender Appeal"/>
    <hyperlink ref="E373" r:id="rId372" display="Here's why Jim Cramer is putting Costco stock in the penalty box"/>
    <hyperlink ref="E374" r:id="rId373" display="AIG Succeeds in Appeal of Oil, Gas Well Fire Settlement Costs"/>
    <hyperlink ref="E375" r:id="rId374" display="Entergy Corp stock gains fresh capital as forward sale settlement completes"/>
    <hyperlink ref="E376" r:id="rId375" display="Walmart settlement returns nearly $120,000 to app-based Seattle workers"/>
    <hyperlink ref="E377" r:id="rId376" display="$3.4M Globe Life data breach class action settlement"/>
    <hyperlink ref="E378" r:id="rId377" display="Chemours, DuPont and Corteva to Pay $455 Million in North Carolina PFAS Settlement"/>
    <hyperlink ref="E379" r:id="rId378" display="North Carolina reaches $590 million PFAS settlement with Chemours, DuPont"/>
    <hyperlink ref="E380" r:id="rId379" display="Verizon comes out on top in Chilmark settlement"/>
    <hyperlink ref="E381" r:id="rId380" display="Chemours, DuPont and Corteva to Pay $455 Million in North Carolina PFAS Settlement"/>
    <hyperlink ref="E382" r:id="rId381" display="$600M state settlement won’t stop CFPUA lawsuit against Chemours, DuPont"/>
    <hyperlink ref="E383" r:id="rId382" display="Chemours, DuPont, Corteva reach $590M settlement with NC over PFAS lawsuits"/>
    <hyperlink ref="E384" r:id="rId383" display="NC Attorney General announces nearly $600-million settlement with DuPont and Chemours"/>
    <hyperlink ref="E385" r:id="rId384" display="NC reaches $590M settlement with Chemours, DuPont, Corteva over PFAS lawsuits (Video)"/>
    <hyperlink ref="E386" r:id="rId385" display="NC reaches $590M settlement with Chemours, DuPont, Corteva over PFAS lawsuits (Video)"/>
    <hyperlink ref="E387" r:id="rId386" display="JPMorgan and Capital One Reject Settlements in Trump Debanking Lawsuits"/>
    <hyperlink ref="E388" r:id="rId387" display="Chemours, DuPont, Corteva reach $455 PFAS settlement with North Carolina"/>
    <hyperlink ref="E389" r:id="rId388" display="Chemours, DuPont, Corteva reach $455 PFAS settlement with North Carolina"/>
    <hyperlink ref="E390" r:id="rId389" display="DP World Tour Pro Suffers Costly Penalty After Bizarre Ball-Movement at Irish Open"/>
    <hyperlink ref="E391" r:id="rId390" display="DuPont, Chemours, Corteva ink $590M PFAS settlement with North Carolina"/>
    <hyperlink ref="E392" r:id="rId391" display="Connecticut Medicaid program to receive $936K from Abbott Laboratories settlement"/>
    <hyperlink ref="E393" r:id="rId392" display="Abbott Laboratories (ABT) Agrees To $385 Million Infant Formula Recall Settlement"/>
    <hyperlink ref="E394" r:id="rId393" display="Accenture (ACN) Agrees To $25 Million DOJ Discrimination Settlement"/>
    <hyperlink ref="E395" r:id="rId394" display="Justice extracts $25M settlement from Accenture Federal over diversity goals"/>
    <hyperlink ref="E396" r:id="rId395" display="Judge Sets Date For Settlement Talks In Paramount-WBD Antitrust Case"/>
    <hyperlink ref="E397" r:id="rId396" display="$167.5M Visa, Mastercard non-bank ATM class action settlement"/>
    <hyperlink ref="E398" r:id="rId397" display="Vineyard Wind, GE Vernova reach settlement over contract"/>
    <hyperlink ref="E399" r:id="rId398" display="FTC Announces Additional Payments to Consumers Stemming from FTC’s Amazon Prime Settlement"/>
    <hyperlink ref="E400" r:id="rId399" display="Visa and Mastercard paying out $167M in class action settlement — see if you qualify"/>
    <hyperlink ref="E401" r:id="rId400" display="Amazon Prime settlement expands: More consumers eligible for refunds up to $200"/>
    <hyperlink ref="E402" r:id="rId401" display="Amazon FTC settlement update: More Prime members qualify and payout increased to $200"/>
    <hyperlink ref="E403" r:id="rId402" display="Visa, Mastercard agree to $167.5M class action settlement: Are you eligible for a payout?"/>
    <hyperlink ref="E404" r:id="rId403" display="Elevance Health sued again over out-of-network penalty"/>
    <hyperlink ref="E405" r:id="rId404" display="Visa, Mastercard $167.5 million settlement could mean money for ATM users. Who qualifies."/>
    <hyperlink ref="E406" r:id="rId405" display="Amazon Prime customers could receive up to $200 in refunds under expanded FTC settlement"/>
    <hyperlink ref="E407" r:id="rId406" display="Amazon Prime customers may be eligible to receive $200 as settlement grows"/>
    <hyperlink ref="E408" r:id="rId407" display="Amazon $2.5 billion settlement expanded | How much you can get if you're eligible under revised order"/>
    <hyperlink ref="E409" r:id="rId408" display="Abbott Laboratories Stock (ABT) Opinions on Infant Formula Settlement"/>
    <hyperlink ref="E410" r:id="rId409" display="Paramount reaches historic settlement with states, clearing way for WBD deal"/>
    <hyperlink ref="E411" r:id="rId410" display="Paramount-WBD Settlement Sets Up Editorial Independence Board For CNN And CBS News"/>
    <hyperlink ref="E412" r:id="rId411" display="Read the memo that Paramount CEO David Ellison sent to staffers after 2 settlements cleared the way for his WBD deal"/>
    <hyperlink ref="E413" r:id="rId412" display="David Ellison Reacts To Paramount-WBD Settlement With State AGs"/>
    <hyperlink ref="E414" r:id="rId413" display="NYC Mayor Mamdani reaches record DoorDash settlement for underpaid workers"/>
    <hyperlink ref="E415" r:id="rId414" display="264,000 DoorDash drivers are getting money in a massive $131.5 million settlement. Here’s what happened"/>
    <hyperlink ref="E416" r:id="rId415" display="Paramount Shares Tick Up After Settlement As Wall Street Remains Cautiously Optimistic About WBD Merger"/>
    <hyperlink ref="E417" r:id="rId416" display="DoorDash reaches $131.5M settlement with New York City over delivery workers’ pay"/>
    <hyperlink ref="E418" r:id="rId417" display="DoorDash reaches $131.5M settlement with NYC over courier pay"/>
    <hyperlink ref="E419" r:id="rId418" display="Paramount-WBD Hearing Date Set For Proposed AGs Settlement"/>
    <hyperlink ref="E420" r:id="rId419" display="SoFi Becomes First National Bank to Go Live with Stablecoin Settlement across Mastercard’s Global Payments Network"/>
    <hyperlink ref="E421" r:id="rId420" display="DoorDash Agrees to $131.5 Million Settlement for Shortchanging Workers"/>
    <hyperlink ref="E422" r:id="rId421" display="Online CVS Shoppers Might Be Able to Cash In on a $20.5 Million Settlement"/>
    <hyperlink ref="E423" r:id="rId422" display="Dealmakers React To Paramount-WBD Settlement: &quot;Tech Has Won&quot;"/>
    <hyperlink ref="E424" r:id="rId423" display="See if you qualify for the $167.5M Visa and Mastercard settlement and learn how to avoid out-of-network ATM fees"/>
    <hyperlink ref="E425" r:id="rId424" display="Claim your share of the $39 million Edwards Lifesciences securities class action settlement"/>
    <hyperlink ref="E426" r:id="rId425" display="Mastercard Stock Holds Flat as $25 Billion Stablecoin Settlement Goes Live"/>
    <hyperlink ref="E427" r:id="rId426" display="Apple (AAPL) Reaches $250 Million Siri Settlement Over Recent iPhone Claims"/>
    <hyperlink ref="E428" r:id="rId427" display="Do you qualify for a payment from the $30 million Equifax class action settlement?"/>
    <hyperlink ref="E429" r:id="rId428" display="Mastercard (MA) Rolls Out SoFiUSD Settlement, Is The 24% Undervalued View Still Compelling?"/>
    <hyperlink ref="E430" r:id="rId429" display="$167 million settlement seeks to reimburse Visa and Mastercard customers for ATM fees"/>
    <hyperlink ref="E431" r:id="rId430" display="451,558 Marylanders Impacted By Labcorp Data Breach; Company Reaches $2.3 Million Settlement"/>
    <hyperlink ref="E432" r:id="rId431" display="Corteva, Inari Reach Confidential Settlement in Seed-Patent Case"/>
    <hyperlink ref="E433" r:id="rId432" display="FTC Settlement Limits Corteva Pesticide Loyalty Rebates"/>
    <hyperlink ref="E434" r:id="rId433" display="Corteva to End Pesticides Loyalty Program in Settlement With FTC"/>
    <hyperlink ref="E435" r:id="rId434" display="Corteva reaches FTC antitrust settlement, agrees to $35M payment (CTVA:NYSE)"/>
    <hyperlink ref="E436" r:id="rId435" display="Paramount Woos Investors With Mega $44 Billion Debt Offer To Fund WBD Deal As Judge Weighs Settlement"/>
    <hyperlink ref="E437" r:id="rId436" display="States, FTC secure settlement in suit against Corteva pesticide loyalty programs"/>
    <hyperlink ref="E438" r:id="rId437" display="Corteva and Inari Reach Settlement Agreement"/>
    <hyperlink ref="E439" r:id="rId438" display="Used the CVS app? You may be owed part of $20.5M digital privacy settlement in NC"/>
    <hyperlink ref="E440" r:id="rId439" display="CVS Settlement: How to File a Claim and Get $10"/>
    <hyperlink ref="E441" r:id="rId440" display="Here's how to file a claim for the $100 million Equifax credit reporting error class action settlement!"/>
    <hyperlink ref="E442" r:id="rId441" display="Iowa, other attorneys general, FTC, reach settlement with Corteva"/>
    <hyperlink ref="E443" r:id="rId442" display="You could get a payment from Equifax's $100M settlement"/>
    <hyperlink ref="E444" r:id="rId443" display="$2.5 billion Amazon settlement: More payments being sent out, with another round possible"/>
    <hyperlink ref="E445" r:id="rId444" display="$30M Equifax hard inquiry dispute class action settlement"/>
    <hyperlink ref="E446" r:id="rId445" display="Some Equifax customers could be owed money from a class action settlement. See if you're eligible for a payout"/>
    <hyperlink ref="E447" r:id="rId446" display="DGX Station GB300 Cluster: Two Towers, Two 400G DACs, and Frontier Models Without the Offload Penalty"/>
    <hyperlink ref="E448" r:id="rId447" display="Equifax agrees to $100 million settlement over allegedly incorrect credit scores"/>
    <hyperlink ref="E449" r:id="rId448" display="Equifax agrees to proposed $100 million settlement over credit score errors"/>
    <hyperlink ref="E450" r:id="rId449" display="Equifax agrees to $100mil settlement"/>
    <hyperlink ref="E451" r:id="rId450" display="What to do if you qualify for the Equifax error settlement"/>
    <hyperlink ref="E452" r:id="rId451" display="Eligible for a payout? Some Equifax customers could get up to $280 in $100 million settlement"/>
    <hyperlink ref="E453" r:id="rId452" display="Payments could come soon in $177M AT&amp;T settlement: How much will you receive?"/>
    <hyperlink ref="E454" r:id="rId453" display="Duke Energy Reaches Settlement Requiring Data Centers To Pay Upfront Grid Connection Costs In N.C."/>
    <hyperlink ref="E455" r:id="rId454" display="Nursing home takes fight over CMS penalty authority to Supreme Court"/>
    <hyperlink ref="E456" r:id="rId455" display="Duke Energy, NC Public Staff Reach Settlement on Data Center Costs"/>
    <hyperlink ref="E457" r:id="rId456" display="Duke Energy utilities reach large-load payment settlement with North Carolina staff"/>
    <hyperlink ref="E458" r:id="rId457" display="ExxonMobil blocked $5B Kashagan environmental fine settlement"/>
    <hyperlink ref="E459" r:id="rId458" display="Market Chatter: ExxonMobil Blocks Settlement Over $5.2 Billion Kazakhstan Fine"/>
    <hyperlink ref="E460" r:id="rId459" display="Corteva agrees to end pesticide loyalty programmes in proposed settlement with Federal Trade Commission"/>
    <hyperlink ref="E461" r:id="rId460" display="Third bellwether trial in Uber sexual assault MDL ends in settlement"/>
    <hyperlink ref="E462" r:id="rId461" display="ExxonMobil Holdings (XOM) Is Blocking A $5 Billion Kashagan Settlement"/>
    <hyperlink ref="E463" r:id="rId462" display="What Does CVS Health (CVS) Resolve With Its $315 Million Opioid Settlement?"/>
    <hyperlink ref="E464" r:id="rId463" display="CVS to pay $315M after settlement in DOJ lawsuit over controlled prescriptions"/>
    <hyperlink ref="E465" r:id="rId464" display="CVS Pharmacy reaches $315M settlement with Justice Department over controlled substance prescriptions"/>
    <hyperlink ref="E466" r:id="rId465" display="CVS to pay $315M over opioid prescriptions in major DOJ settlement"/>
    <hyperlink ref="E467" r:id="rId466" display="CVS to pay $315 million settlement over opioid prescriptions"/>
    <hyperlink ref="E468" r:id="rId467" display="CVS to pay $315M settlement over allegations of illegally filling opioid prescriptions"/>
    <hyperlink ref="E469" r:id="rId468" display="CVS Agrees To $315 Million Settlement Over Opioid Prescriptions"/>
    <hyperlink ref="E470" r:id="rId469" display="CVS, DOJ reach $315M settlement in opioid prescription case"/>
    <hyperlink ref="E471" r:id="rId470" display="CVS agrees to $315M DOJ opioid settlement"/>
    <hyperlink ref="E472" r:id="rId471" display="Bank of America stock falls after earnings miss and $1.2 billion penalty"/>
    <hyperlink ref="E473" r:id="rId472" display="NLST Stock Rallies After ITC Patent Action Against MU, SMCI, HPE – Roth Capital Sees Settlement Upside"/>
    <hyperlink ref="E474" r:id="rId473" display="CVS opioid settlement leads Guckian, Block to criticize Foulkes"/>
    <hyperlink ref="E475" r:id="rId474" display="Bank of America shares drop after third-quarter revenue miss and regulatory penalty"/>
    <hyperlink ref="E476" r:id="rId475" display="CVS opioid settlement puts Foulkes' role for company back in spotlight"/>
    <hyperlink ref="E477" r:id="rId476" display="Auto Auctions, Money Order Gaps at Center of Bank of America Penalty"/>
    <hyperlink ref="E478" r:id="rId477" display="NextEra Energy (NEE) Proposes Legal Settlement, Is It Still Undervalued?"/>
    <hyperlink ref="E479" r:id="rId478" display="$100M Equifax FCRA violations class action settlement"/>
    <hyperlink ref="E480" r:id="rId479" display="Reg Wrap: Graham’s Russia sanctions bill breezes through Senate"/>
    <hyperlink ref="E481" r:id="rId480" display="1. F-35 Sale to Turkey Blocked by Statute 2. Trump Administration Weighs Legal Paths to Turkey Sanctions Relief 3. Congressional Restrictions Complicate Potential F-35 Transfer to Turkey"/>
    <hyperlink ref="E482" r:id="rId481" display="To further isolate Iran’s economy, U.S. rolls out ‘D-Day’ sanctions"/>
    <hyperlink ref="E483" r:id="rId482" display="Wave of anti-money laundering sanctions has Strip’s attention, says Venetian’s attorney"/>
    <hyperlink ref="E484" r:id="rId483" display="SCO slams attacks, sanctions on Iran: Key takeaways from Bishkek summit"/>
    <hyperlink ref="E485" r:id="rId484" display="Tayane Porfírio de Araújo Accepts Doping Sanction | USADA"/>
    <hyperlink ref="E486" r:id="rId485" display="Court Blocks Morgan Stanley’s Bid to Withhold Diversity Docs, Threatens Sanctions"/>
    <hyperlink ref="E487" r:id="rId486" display="Cardinal Health Loses Multiple &quot;Product Return&quot; Lawsuits Against Pharmacy Customers and Pays Attorneys' Fees to Settle Sanctions Motion for Frivolous Litigation"/>
    <hyperlink ref="E488" r:id="rId487" display="Investigative report details how export-restricted Nvidia AI chips reach China — public records reveal how Chinese entities skirt US sanctions"/>
    <hyperlink ref="E489" r:id="rId488" display="Financial sanctions and the global payments network"/>
    <hyperlink ref="E490" r:id="rId489" display="Moderna Sinks 4% After 18% Plunge as Melanoma Vaccine Selloff Extends; Merck and Pfizer Slip"/>
    <hyperlink ref="E491" r:id="rId490" display="Quest Diagnostics discloses cyberattack on lab services system"/>
    <hyperlink ref="E492" r:id="rId491" display="Crown Castle Soars on SpaceX News as Record Oil Prices Plunge Delta Air Lines"/>
    <hyperlink ref="E493" r:id="rId492" display="Former WWE Star Killer Kross Recalls Failed Entertainment Industry Promise From TKO"/>
    <hyperlink ref="E494" r:id="rId493" display="CTVA Stock Plunges As Corteva Completes Vylor Spin-Off"/>
    <hyperlink ref="E495" r:id="rId494" display="CTVA Stock Plunges As Vylor Spin-Off Triggers Massive Repricing"/>
    <hyperlink ref="E496" r:id="rId495" display="CTVA Stock Plunges As Vylor Spin-Off Triggers Sharp Repricing"/>
    <hyperlink ref="E497" r:id="rId496" display="Laminators sold on Amazon recalled for fire risk"/>
    <hyperlink ref="E498" r:id="rId497" display="State auditor reassigning resources to prioritize CMS investigation"/>
    <hyperlink ref="E499" r:id="rId498" display="CVS Caremark, Express Scripts, Optum Rx targeted in House investigation (UNH:NYSE)"/>
    <hyperlink ref="E500" r:id="rId499" display="CVS Caremark, Express Scripts, Optum Rx targeted in House investigation (UNH:NYSE)"/>
    <hyperlink ref="E501" r:id="rId500" display="《焦點》AI類股暴跌過後，交投轉為平淡"/>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0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24"/>
    <col collapsed="false" customWidth="true" hidden="false" outlineLevel="0" max="3" min="3" style="0" width="8"/>
  </cols>
  <sheetData>
    <row r="1" customFormat="false" ht="15" hidden="false" customHeight="false" outlineLevel="0" collapsed="false">
      <c r="A1" s="24" t="s">
        <v>2016</v>
      </c>
      <c r="B1" s="25" t="s">
        <v>2017</v>
      </c>
      <c r="C1" s="24" t="s">
        <v>2018</v>
      </c>
    </row>
    <row r="2" customFormat="false" ht="15" hidden="false" customHeight="false" outlineLevel="0" collapsed="false">
      <c r="A2" s="26" t="s">
        <v>2019</v>
      </c>
      <c r="B2" s="5" t="s">
        <v>2020</v>
      </c>
      <c r="C2" s="5" t="n">
        <v>5</v>
      </c>
    </row>
    <row r="3" customFormat="false" ht="15" hidden="false" customHeight="false" outlineLevel="0" collapsed="false">
      <c r="A3" s="26" t="s">
        <v>51</v>
      </c>
      <c r="B3" s="5" t="s">
        <v>52</v>
      </c>
      <c r="C3" s="5" t="n">
        <v>5</v>
      </c>
    </row>
    <row r="4" customFormat="false" ht="15" hidden="false" customHeight="false" outlineLevel="0" collapsed="false">
      <c r="A4" s="26" t="s">
        <v>132</v>
      </c>
      <c r="B4" s="5" t="s">
        <v>133</v>
      </c>
      <c r="C4" s="5" t="n">
        <v>5</v>
      </c>
    </row>
    <row r="5" customFormat="false" ht="15" hidden="false" customHeight="false" outlineLevel="0" collapsed="false">
      <c r="A5" s="26" t="s">
        <v>206</v>
      </c>
      <c r="B5" s="5" t="s">
        <v>207</v>
      </c>
      <c r="C5" s="5" t="n">
        <v>5</v>
      </c>
    </row>
    <row r="6" customFormat="false" ht="15" hidden="false" customHeight="false" outlineLevel="0" collapsed="false">
      <c r="A6" s="26" t="s">
        <v>2021</v>
      </c>
      <c r="B6" s="5" t="s">
        <v>2022</v>
      </c>
      <c r="C6" s="5" t="n">
        <v>5</v>
      </c>
    </row>
    <row r="7" customFormat="false" ht="15" hidden="false" customHeight="false" outlineLevel="0" collapsed="false">
      <c r="A7" s="26" t="s">
        <v>2023</v>
      </c>
      <c r="B7" s="5" t="s">
        <v>2024</v>
      </c>
      <c r="C7" s="5" t="n">
        <v>5</v>
      </c>
    </row>
    <row r="8" customFormat="false" ht="15" hidden="false" customHeight="false" outlineLevel="0" collapsed="false">
      <c r="A8" s="26" t="s">
        <v>2025</v>
      </c>
      <c r="B8" s="5" t="s">
        <v>2026</v>
      </c>
      <c r="C8" s="5" t="n">
        <v>5</v>
      </c>
    </row>
    <row r="9" customFormat="false" ht="15" hidden="false" customHeight="false" outlineLevel="0" collapsed="false">
      <c r="A9" s="26" t="s">
        <v>236</v>
      </c>
      <c r="B9" s="5" t="s">
        <v>237</v>
      </c>
      <c r="C9" s="5" t="n">
        <v>4</v>
      </c>
    </row>
    <row r="10" customFormat="false" ht="15" hidden="false" customHeight="false" outlineLevel="0" collapsed="false">
      <c r="A10" s="26" t="s">
        <v>2027</v>
      </c>
      <c r="B10" s="5" t="s">
        <v>2028</v>
      </c>
      <c r="C10" s="5" t="n">
        <v>4</v>
      </c>
    </row>
    <row r="11" customFormat="false" ht="15" hidden="false" customHeight="false" outlineLevel="0" collapsed="false">
      <c r="A11" s="26" t="s">
        <v>2029</v>
      </c>
      <c r="B11" s="5" t="s">
        <v>2030</v>
      </c>
      <c r="C11" s="5" t="n">
        <v>4</v>
      </c>
    </row>
    <row r="12" customFormat="false" ht="15" hidden="false" customHeight="false" outlineLevel="0" collapsed="false">
      <c r="A12" s="26" t="s">
        <v>2031</v>
      </c>
      <c r="B12" s="5" t="s">
        <v>2032</v>
      </c>
      <c r="C12" s="5" t="n">
        <v>4</v>
      </c>
    </row>
    <row r="13" customFormat="false" ht="15" hidden="false" customHeight="false" outlineLevel="0" collapsed="false">
      <c r="A13" s="26" t="s">
        <v>346</v>
      </c>
      <c r="B13" s="5" t="s">
        <v>347</v>
      </c>
      <c r="C13" s="5" t="n">
        <v>4</v>
      </c>
    </row>
    <row r="14" customFormat="false" ht="15" hidden="false" customHeight="false" outlineLevel="0" collapsed="false">
      <c r="A14" s="26" t="s">
        <v>2033</v>
      </c>
      <c r="B14" s="26" t="s">
        <v>2034</v>
      </c>
      <c r="C14" s="5" t="n">
        <v>4</v>
      </c>
    </row>
    <row r="15" customFormat="false" ht="15" hidden="false" customHeight="false" outlineLevel="0" collapsed="false">
      <c r="A15" s="26" t="s">
        <v>2035</v>
      </c>
      <c r="B15" s="5" t="s">
        <v>2036</v>
      </c>
      <c r="C15" s="5" t="n">
        <v>4</v>
      </c>
    </row>
    <row r="16" customFormat="false" ht="15" hidden="false" customHeight="false" outlineLevel="0" collapsed="false">
      <c r="A16" s="26" t="s">
        <v>374</v>
      </c>
      <c r="B16" s="5" t="s">
        <v>375</v>
      </c>
      <c r="C16" s="5" t="n">
        <v>4</v>
      </c>
    </row>
    <row r="17" customFormat="false" ht="15" hidden="false" customHeight="false" outlineLevel="0" collapsed="false">
      <c r="A17" s="26" t="s">
        <v>96</v>
      </c>
      <c r="B17" s="5" t="s">
        <v>397</v>
      </c>
      <c r="C17" s="5" t="n">
        <v>4</v>
      </c>
    </row>
    <row r="18" customFormat="false" ht="15" hidden="false" customHeight="false" outlineLevel="0" collapsed="false">
      <c r="A18" s="26" t="s">
        <v>960</v>
      </c>
      <c r="B18" s="5" t="s">
        <v>961</v>
      </c>
      <c r="C18" s="5" t="n">
        <v>4</v>
      </c>
    </row>
    <row r="19" customFormat="false" ht="15" hidden="false" customHeight="false" outlineLevel="0" collapsed="false">
      <c r="A19" s="26" t="s">
        <v>695</v>
      </c>
      <c r="B19" s="5" t="s">
        <v>1180</v>
      </c>
      <c r="C19" s="5" t="n">
        <v>4</v>
      </c>
    </row>
    <row r="20" customFormat="false" ht="15" hidden="false" customHeight="false" outlineLevel="0" collapsed="false">
      <c r="A20" s="26" t="s">
        <v>2037</v>
      </c>
      <c r="B20" s="5" t="s">
        <v>2038</v>
      </c>
      <c r="C20" s="5" t="n">
        <v>4</v>
      </c>
    </row>
    <row r="21" customFormat="false" ht="15" hidden="false" customHeight="false" outlineLevel="0" collapsed="false">
      <c r="A21" s="26" t="s">
        <v>1920</v>
      </c>
      <c r="B21" s="5" t="s">
        <v>1921</v>
      </c>
      <c r="C21" s="5" t="n">
        <v>4</v>
      </c>
    </row>
    <row r="22" customFormat="false" ht="15" hidden="false" customHeight="false" outlineLevel="0" collapsed="false">
      <c r="A22" s="26" t="s">
        <v>196</v>
      </c>
      <c r="B22" s="26" t="s">
        <v>2039</v>
      </c>
      <c r="C22" s="5" t="n">
        <v>3</v>
      </c>
    </row>
    <row r="23" customFormat="false" ht="15" hidden="false" customHeight="false" outlineLevel="0" collapsed="false">
      <c r="A23" s="26" t="s">
        <v>2040</v>
      </c>
      <c r="B23" s="26" t="s">
        <v>2041</v>
      </c>
      <c r="C23" s="5" t="n">
        <v>3</v>
      </c>
    </row>
    <row r="24" customFormat="false" ht="15" hidden="false" customHeight="false" outlineLevel="0" collapsed="false">
      <c r="A24" s="26" t="s">
        <v>2042</v>
      </c>
      <c r="B24" s="26" t="s">
        <v>2043</v>
      </c>
      <c r="C24" s="5" t="n">
        <v>3</v>
      </c>
    </row>
    <row r="25" customFormat="false" ht="15" hidden="false" customHeight="false" outlineLevel="0" collapsed="false">
      <c r="A25" s="26" t="s">
        <v>1972</v>
      </c>
      <c r="B25" s="5" t="s">
        <v>2044</v>
      </c>
      <c r="C25" s="5" t="n">
        <v>3</v>
      </c>
    </row>
    <row r="26" customFormat="false" ht="15" hidden="false" customHeight="false" outlineLevel="0" collapsed="false">
      <c r="A26" s="26" t="s">
        <v>516</v>
      </c>
      <c r="B26" s="5" t="s">
        <v>2045</v>
      </c>
      <c r="C26" s="5" t="n">
        <v>3</v>
      </c>
    </row>
    <row r="27" customFormat="false" ht="15" hidden="false" customHeight="false" outlineLevel="0" collapsed="false">
      <c r="A27" s="26" t="s">
        <v>2046</v>
      </c>
      <c r="B27" s="5" t="s">
        <v>2047</v>
      </c>
      <c r="C27" s="5" t="n">
        <v>3</v>
      </c>
    </row>
    <row r="28" customFormat="false" ht="15" hidden="false" customHeight="false" outlineLevel="0" collapsed="false">
      <c r="A28" s="26" t="s">
        <v>2048</v>
      </c>
      <c r="B28" s="5" t="s">
        <v>2049</v>
      </c>
      <c r="C28" s="5" t="n">
        <v>3</v>
      </c>
    </row>
    <row r="29" customFormat="false" ht="15" hidden="false" customHeight="false" outlineLevel="0" collapsed="false">
      <c r="A29" s="26" t="s">
        <v>1952</v>
      </c>
      <c r="B29" s="5" t="s">
        <v>2050</v>
      </c>
      <c r="C29" s="5" t="n">
        <v>3</v>
      </c>
    </row>
    <row r="30" customFormat="false" ht="15" hidden="false" customHeight="false" outlineLevel="0" collapsed="false">
      <c r="A30" s="26" t="s">
        <v>2051</v>
      </c>
      <c r="B30" s="5" t="s">
        <v>2052</v>
      </c>
      <c r="C30" s="5" t="n">
        <v>3</v>
      </c>
    </row>
    <row r="31" customFormat="false" ht="15" hidden="false" customHeight="false" outlineLevel="0" collapsed="false">
      <c r="A31" s="26" t="s">
        <v>2053</v>
      </c>
      <c r="B31" s="5" t="s">
        <v>2054</v>
      </c>
      <c r="C31" s="5" t="n">
        <v>3</v>
      </c>
    </row>
    <row r="32" customFormat="false" ht="15" hidden="false" customHeight="false" outlineLevel="0" collapsed="false">
      <c r="A32" s="26" t="s">
        <v>2055</v>
      </c>
      <c r="B32" s="5" t="s">
        <v>2056</v>
      </c>
      <c r="C32" s="5" t="n">
        <v>3</v>
      </c>
    </row>
    <row r="33" customFormat="false" ht="15" hidden="false" customHeight="false" outlineLevel="0" collapsed="false">
      <c r="A33" s="26" t="s">
        <v>1198</v>
      </c>
      <c r="B33" s="5" t="s">
        <v>2057</v>
      </c>
      <c r="C33" s="5" t="n">
        <v>3</v>
      </c>
    </row>
    <row r="34" customFormat="false" ht="15" hidden="false" customHeight="false" outlineLevel="0" collapsed="false">
      <c r="A34" s="26" t="s">
        <v>2058</v>
      </c>
      <c r="B34" s="5" t="s">
        <v>2059</v>
      </c>
      <c r="C34" s="5" t="n">
        <v>3</v>
      </c>
    </row>
    <row r="35" customFormat="false" ht="15" hidden="false" customHeight="false" outlineLevel="0" collapsed="false">
      <c r="A35" s="26" t="s">
        <v>2060</v>
      </c>
      <c r="B35" s="5" t="s">
        <v>2061</v>
      </c>
      <c r="C35" s="5" t="n">
        <v>3</v>
      </c>
    </row>
    <row r="36" customFormat="false" ht="15" hidden="false" customHeight="false" outlineLevel="0" collapsed="false">
      <c r="A36" s="26" t="s">
        <v>2062</v>
      </c>
      <c r="B36" s="5" t="s">
        <v>2063</v>
      </c>
      <c r="C36" s="5" t="n">
        <v>3</v>
      </c>
    </row>
    <row r="37" customFormat="false" ht="15" hidden="false" customHeight="false" outlineLevel="0" collapsed="false">
      <c r="A37" s="26" t="s">
        <v>2064</v>
      </c>
      <c r="B37" s="5" t="s">
        <v>2065</v>
      </c>
      <c r="C37" s="5" t="n">
        <v>3</v>
      </c>
    </row>
    <row r="38" customFormat="false" ht="15" hidden="false" customHeight="false" outlineLevel="0" collapsed="false">
      <c r="A38" s="26" t="s">
        <v>2066</v>
      </c>
      <c r="B38" s="5" t="s">
        <v>2067</v>
      </c>
      <c r="C38" s="5" t="n">
        <v>3</v>
      </c>
    </row>
    <row r="39" customFormat="false" ht="15" hidden="false" customHeight="false" outlineLevel="0" collapsed="false">
      <c r="A39" s="26" t="s">
        <v>2068</v>
      </c>
      <c r="B39" s="5" t="s">
        <v>2069</v>
      </c>
      <c r="C39" s="5" t="n">
        <v>3</v>
      </c>
    </row>
    <row r="40" customFormat="false" ht="15" hidden="false" customHeight="false" outlineLevel="0" collapsed="false">
      <c r="A40" s="26" t="s">
        <v>2070</v>
      </c>
      <c r="B40" s="5" t="s">
        <v>2071</v>
      </c>
      <c r="C40" s="5" t="n">
        <v>2</v>
      </c>
    </row>
    <row r="41" customFormat="false" ht="15" hidden="false" customHeight="false" outlineLevel="0" collapsed="false">
      <c r="A41" s="26" t="s">
        <v>2072</v>
      </c>
      <c r="B41" s="5" t="s">
        <v>2073</v>
      </c>
      <c r="C41" s="5" t="n">
        <v>2</v>
      </c>
    </row>
    <row r="42" customFormat="false" ht="15" hidden="false" customHeight="false" outlineLevel="0" collapsed="false">
      <c r="A42" s="26" t="s">
        <v>814</v>
      </c>
      <c r="B42" s="5" t="s">
        <v>2074</v>
      </c>
      <c r="C42" s="5" t="n">
        <v>2</v>
      </c>
    </row>
    <row r="43" customFormat="false" ht="15" hidden="false" customHeight="false" outlineLevel="0" collapsed="false">
      <c r="A43" s="26" t="s">
        <v>2075</v>
      </c>
      <c r="B43" s="5" t="s">
        <v>2076</v>
      </c>
      <c r="C43" s="5" t="n">
        <v>2</v>
      </c>
    </row>
    <row r="44" customFormat="false" ht="15" hidden="false" customHeight="false" outlineLevel="0" collapsed="false">
      <c r="A44" s="26" t="s">
        <v>2077</v>
      </c>
      <c r="B44" s="5" t="s">
        <v>2078</v>
      </c>
      <c r="C44" s="5" t="n">
        <v>2</v>
      </c>
    </row>
    <row r="45" customFormat="false" ht="15" hidden="false" customHeight="false" outlineLevel="0" collapsed="false">
      <c r="A45" s="26" t="s">
        <v>2079</v>
      </c>
      <c r="B45" s="5" t="s">
        <v>2080</v>
      </c>
      <c r="C45" s="5" t="n">
        <v>2</v>
      </c>
    </row>
    <row r="46" customFormat="false" ht="15" hidden="false" customHeight="false" outlineLevel="0" collapsed="false">
      <c r="A46" s="26" t="s">
        <v>2081</v>
      </c>
      <c r="B46" s="5" t="s">
        <v>2082</v>
      </c>
      <c r="C46" s="5" t="n">
        <v>1</v>
      </c>
    </row>
    <row r="47" customFormat="false" ht="15" hidden="false" customHeight="false" outlineLevel="0" collapsed="false">
      <c r="A47" s="26" t="s">
        <v>1966</v>
      </c>
      <c r="B47" s="5" t="s">
        <v>2083</v>
      </c>
      <c r="C47" s="5" t="n">
        <v>1</v>
      </c>
    </row>
    <row r="48" customFormat="false" ht="15" hidden="false" customHeight="false" outlineLevel="0" collapsed="false">
      <c r="A48" s="26" t="s">
        <v>2084</v>
      </c>
      <c r="B48" s="5" t="s">
        <v>2085</v>
      </c>
      <c r="C48" s="5" t="n">
        <v>1</v>
      </c>
    </row>
    <row r="49" customFormat="false" ht="15" hidden="false" customHeight="false" outlineLevel="0" collapsed="false">
      <c r="A49" s="26" t="s">
        <v>2086</v>
      </c>
      <c r="B49" s="5" t="s">
        <v>2087</v>
      </c>
      <c r="C49" s="5" t="n">
        <v>1</v>
      </c>
    </row>
    <row r="50" customFormat="false" ht="15" hidden="false" customHeight="false" outlineLevel="0" collapsed="false">
      <c r="A50" s="26" t="s">
        <v>2088</v>
      </c>
      <c r="B50" s="5" t="s">
        <v>2089</v>
      </c>
      <c r="C50" s="5" t="n">
        <v>0</v>
      </c>
    </row>
    <row r="51" customFormat="false" ht="15" hidden="false" customHeight="false" outlineLevel="0" collapsed="false">
      <c r="A51" s="26" t="s">
        <v>2090</v>
      </c>
      <c r="B51" s="5" t="s">
        <v>2091</v>
      </c>
      <c r="C51" s="5" t="n">
        <v>0</v>
      </c>
    </row>
    <row r="52" customFormat="false" ht="15" hidden="false" customHeight="false" outlineLevel="0" collapsed="false">
      <c r="A52" s="26" t="s">
        <v>2092</v>
      </c>
      <c r="B52" s="5" t="s">
        <v>2093</v>
      </c>
      <c r="C52" s="5" t="n">
        <v>0</v>
      </c>
    </row>
    <row r="53" customFormat="false" ht="15" hidden="false" customHeight="false" outlineLevel="0" collapsed="false">
      <c r="A53" s="26" t="s">
        <v>2094</v>
      </c>
      <c r="B53" s="5" t="s">
        <v>320</v>
      </c>
      <c r="C53" s="5" t="n">
        <v>0</v>
      </c>
    </row>
    <row r="55" customFormat="false" ht="15" hidden="false" customHeight="false" outlineLevel="0" collapsed="false">
      <c r="A55" s="27" t="s">
        <v>2095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2026-10-26T07:24:25Z</dcterms:created>
  <dc:creator>openpyxl</dc:creator>
  <dc:description/>
  <dc:language>en-US</dc:language>
  <cp:lastModifiedBy/>
  <dcterms:modified xsi:type="dcterms:W3CDTF">2026-10-26T07:24:27Z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